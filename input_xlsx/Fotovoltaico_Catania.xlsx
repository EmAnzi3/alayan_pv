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Filiali\"/>
    </mc:Choice>
  </mc:AlternateContent>
  <xr:revisionPtr revIDLastSave="25" documentId="14_{D54DA969-AA80-4228-9ACC-EB33E9D6A3B8}" xr6:coauthVersionLast="36" xr6:coauthVersionMax="47" xr10:uidLastSave="{DCA3EE77-6CD2-4F27-B98E-F75E6B4FF038}"/>
  <bookViews>
    <workbookView xWindow="0" yWindow="0" windowWidth="19200" windowHeight="6810" tabRatio="729" activeTab="1" xr2:uid="{00000000-000D-0000-FFFF-FFFF00000000}"/>
  </bookViews>
  <sheets>
    <sheet name="Istruzioni" sheetId="1" r:id="rId1"/>
    <sheet name="Progetti" sheetId="3" r:id="rId2"/>
    <sheet name="Liste" sheetId="2" state="hidden" r:id="rId3"/>
    <sheet name="Gantt Chart" sheetId="4" r:id="rId4"/>
    <sheet name="GeoListe" sheetId="5" state="hidden" r:id="rId5"/>
    <sheet name="GeoComuni" sheetId="6" state="hidden" r:id="rId6"/>
    <sheet name="GeoDropdown" sheetId="7" state="hidden" r:id="rId7"/>
    <sheet name="GeoMappe" sheetId="8" state="hidden" r:id="rId8"/>
  </sheets>
  <definedNames>
    <definedName name="_xlnm._FilterDatabase" localSheetId="3" hidden="1">'Gantt Chart'!$A$6:$L$206</definedName>
    <definedName name="_xlnm._FilterDatabase" localSheetId="1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4" l="1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5" i="1"/>
  <c r="E3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206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205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204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194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190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185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183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175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174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173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172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171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170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167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163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161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160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159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158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156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155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154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150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148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147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145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144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143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141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139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138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137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133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132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131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130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129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125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123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122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121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119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118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117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112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105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101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98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A93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83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82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A81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80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79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76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A75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A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70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A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3" i="4"/>
  <c r="AH204" i="3"/>
  <c r="T204" i="3"/>
  <c r="S204" i="3"/>
  <c r="A204" i="3"/>
  <c r="AH203" i="3"/>
  <c r="T203" i="3"/>
  <c r="S203" i="3"/>
  <c r="A203" i="3"/>
  <c r="AH202" i="3"/>
  <c r="T202" i="3"/>
  <c r="S202" i="3"/>
  <c r="A202" i="3"/>
  <c r="AH201" i="3"/>
  <c r="T201" i="3"/>
  <c r="S201" i="3"/>
  <c r="A201" i="3"/>
  <c r="AH200" i="3"/>
  <c r="T200" i="3"/>
  <c r="S200" i="3"/>
  <c r="A200" i="3"/>
  <c r="AH199" i="3"/>
  <c r="T199" i="3"/>
  <c r="S199" i="3"/>
  <c r="A199" i="3"/>
  <c r="AH198" i="3"/>
  <c r="T198" i="3"/>
  <c r="S198" i="3"/>
  <c r="A198" i="3"/>
  <c r="AH197" i="3"/>
  <c r="T197" i="3"/>
  <c r="S197" i="3"/>
  <c r="A197" i="3"/>
  <c r="AH196" i="3"/>
  <c r="T196" i="3"/>
  <c r="S196" i="3"/>
  <c r="A196" i="3"/>
  <c r="AH195" i="3"/>
  <c r="T195" i="3"/>
  <c r="S195" i="3"/>
  <c r="A195" i="3"/>
  <c r="AH194" i="3"/>
  <c r="T194" i="3"/>
  <c r="S194" i="3"/>
  <c r="A194" i="3"/>
  <c r="AH193" i="3"/>
  <c r="T193" i="3"/>
  <c r="S193" i="3"/>
  <c r="A193" i="3"/>
  <c r="AH192" i="3"/>
  <c r="T192" i="3"/>
  <c r="S192" i="3"/>
  <c r="A192" i="3"/>
  <c r="AH191" i="3"/>
  <c r="T191" i="3"/>
  <c r="S191" i="3"/>
  <c r="A191" i="3"/>
  <c r="AH190" i="3"/>
  <c r="T190" i="3"/>
  <c r="S190" i="3"/>
  <c r="A190" i="3"/>
  <c r="AH189" i="3"/>
  <c r="T189" i="3"/>
  <c r="S189" i="3"/>
  <c r="A189" i="3"/>
  <c r="AH188" i="3"/>
  <c r="T188" i="3"/>
  <c r="S188" i="3"/>
  <c r="A188" i="3"/>
  <c r="AH187" i="3"/>
  <c r="T187" i="3"/>
  <c r="S187" i="3"/>
  <c r="A187" i="3"/>
  <c r="AH186" i="3"/>
  <c r="T186" i="3"/>
  <c r="S186" i="3"/>
  <c r="A186" i="3"/>
  <c r="AH185" i="3"/>
  <c r="T185" i="3"/>
  <c r="S185" i="3"/>
  <c r="A185" i="3"/>
  <c r="AH184" i="3"/>
  <c r="T184" i="3"/>
  <c r="S184" i="3"/>
  <c r="A184" i="3"/>
  <c r="AH183" i="3"/>
  <c r="T183" i="3"/>
  <c r="S183" i="3"/>
  <c r="A183" i="3"/>
  <c r="AH182" i="3"/>
  <c r="T182" i="3"/>
  <c r="S182" i="3"/>
  <c r="A182" i="3"/>
  <c r="AH181" i="3"/>
  <c r="T181" i="3"/>
  <c r="S181" i="3"/>
  <c r="A181" i="3"/>
  <c r="AH180" i="3"/>
  <c r="T180" i="3"/>
  <c r="S180" i="3"/>
  <c r="A180" i="3"/>
  <c r="AH179" i="3"/>
  <c r="T179" i="3"/>
  <c r="S179" i="3"/>
  <c r="A179" i="3"/>
  <c r="AH178" i="3"/>
  <c r="T178" i="3"/>
  <c r="S178" i="3"/>
  <c r="A178" i="3"/>
  <c r="AH177" i="3"/>
  <c r="T177" i="3"/>
  <c r="S177" i="3"/>
  <c r="A177" i="3"/>
  <c r="AH176" i="3"/>
  <c r="T176" i="3"/>
  <c r="S176" i="3"/>
  <c r="A176" i="3"/>
  <c r="AH175" i="3"/>
  <c r="T175" i="3"/>
  <c r="S175" i="3"/>
  <c r="A175" i="3"/>
  <c r="AH174" i="3"/>
  <c r="T174" i="3"/>
  <c r="S174" i="3"/>
  <c r="A174" i="3"/>
  <c r="AH173" i="3"/>
  <c r="T173" i="3"/>
  <c r="S173" i="3"/>
  <c r="A173" i="3"/>
  <c r="AH172" i="3"/>
  <c r="T172" i="3"/>
  <c r="S172" i="3"/>
  <c r="A172" i="3"/>
  <c r="AH171" i="3"/>
  <c r="T171" i="3"/>
  <c r="S171" i="3"/>
  <c r="A171" i="3"/>
  <c r="AH170" i="3"/>
  <c r="T170" i="3"/>
  <c r="S170" i="3"/>
  <c r="A170" i="3"/>
  <c r="AH169" i="3"/>
  <c r="T169" i="3"/>
  <c r="S169" i="3"/>
  <c r="A169" i="3"/>
  <c r="AH168" i="3"/>
  <c r="T168" i="3"/>
  <c r="S168" i="3"/>
  <c r="A168" i="3"/>
  <c r="AH167" i="3"/>
  <c r="T167" i="3"/>
  <c r="S167" i="3"/>
  <c r="A167" i="3"/>
  <c r="AH166" i="3"/>
  <c r="T166" i="3"/>
  <c r="S166" i="3"/>
  <c r="A166" i="3"/>
  <c r="AH165" i="3"/>
  <c r="T165" i="3"/>
  <c r="S165" i="3"/>
  <c r="A165" i="3"/>
  <c r="AH164" i="3"/>
  <c r="T164" i="3"/>
  <c r="S164" i="3"/>
  <c r="A164" i="3"/>
  <c r="AH163" i="3"/>
  <c r="T163" i="3"/>
  <c r="S163" i="3"/>
  <c r="A163" i="3"/>
  <c r="AH162" i="3"/>
  <c r="T162" i="3"/>
  <c r="S162" i="3"/>
  <c r="A162" i="3"/>
  <c r="AH161" i="3"/>
  <c r="T161" i="3"/>
  <c r="S161" i="3"/>
  <c r="A161" i="3"/>
  <c r="AH160" i="3"/>
  <c r="T160" i="3"/>
  <c r="S160" i="3"/>
  <c r="A160" i="3"/>
  <c r="AH159" i="3"/>
  <c r="T159" i="3"/>
  <c r="S159" i="3"/>
  <c r="A159" i="3"/>
  <c r="AH158" i="3"/>
  <c r="T158" i="3"/>
  <c r="S158" i="3"/>
  <c r="A158" i="3"/>
  <c r="AH157" i="3"/>
  <c r="T157" i="3"/>
  <c r="S157" i="3"/>
  <c r="A157" i="3"/>
  <c r="AH156" i="3"/>
  <c r="T156" i="3"/>
  <c r="S156" i="3"/>
  <c r="A156" i="3"/>
  <c r="AH155" i="3"/>
  <c r="T155" i="3"/>
  <c r="S155" i="3"/>
  <c r="A155" i="3"/>
  <c r="AH154" i="3"/>
  <c r="T154" i="3"/>
  <c r="S154" i="3"/>
  <c r="A154" i="3"/>
  <c r="AH153" i="3"/>
  <c r="T153" i="3"/>
  <c r="S153" i="3"/>
  <c r="A153" i="3"/>
  <c r="AH152" i="3"/>
  <c r="T152" i="3"/>
  <c r="S152" i="3"/>
  <c r="A152" i="3"/>
  <c r="AH151" i="3"/>
  <c r="T151" i="3"/>
  <c r="S151" i="3"/>
  <c r="A151" i="3"/>
  <c r="AH150" i="3"/>
  <c r="T150" i="3"/>
  <c r="S150" i="3"/>
  <c r="A150" i="3"/>
  <c r="AH149" i="3"/>
  <c r="T149" i="3"/>
  <c r="S149" i="3"/>
  <c r="A149" i="3"/>
  <c r="AH148" i="3"/>
  <c r="T148" i="3"/>
  <c r="S148" i="3"/>
  <c r="A148" i="3"/>
  <c r="AH147" i="3"/>
  <c r="T147" i="3"/>
  <c r="S147" i="3"/>
  <c r="A147" i="3"/>
  <c r="AH146" i="3"/>
  <c r="T146" i="3"/>
  <c r="S146" i="3"/>
  <c r="A146" i="3"/>
  <c r="AH145" i="3"/>
  <c r="T145" i="3"/>
  <c r="S145" i="3"/>
  <c r="A145" i="3"/>
  <c r="AH144" i="3"/>
  <c r="T144" i="3"/>
  <c r="S144" i="3"/>
  <c r="A144" i="3"/>
  <c r="AH143" i="3"/>
  <c r="T143" i="3"/>
  <c r="S143" i="3"/>
  <c r="A143" i="3"/>
  <c r="AH142" i="3"/>
  <c r="T142" i="3"/>
  <c r="S142" i="3"/>
  <c r="A142" i="3"/>
  <c r="AH141" i="3"/>
  <c r="T141" i="3"/>
  <c r="S141" i="3"/>
  <c r="A141" i="3"/>
  <c r="AH140" i="3"/>
  <c r="T140" i="3"/>
  <c r="S140" i="3"/>
  <c r="A140" i="3"/>
  <c r="AH139" i="3"/>
  <c r="T139" i="3"/>
  <c r="S139" i="3"/>
  <c r="A139" i="3"/>
  <c r="AH138" i="3"/>
  <c r="T138" i="3"/>
  <c r="S138" i="3"/>
  <c r="A138" i="3"/>
  <c r="AH137" i="3"/>
  <c r="T137" i="3"/>
  <c r="S137" i="3"/>
  <c r="A137" i="3"/>
  <c r="AH136" i="3"/>
  <c r="T136" i="3"/>
  <c r="S136" i="3"/>
  <c r="A136" i="3"/>
  <c r="AH135" i="3"/>
  <c r="T135" i="3"/>
  <c r="S135" i="3"/>
  <c r="A135" i="3"/>
  <c r="AH134" i="3"/>
  <c r="T134" i="3"/>
  <c r="S134" i="3"/>
  <c r="A134" i="3"/>
  <c r="AH133" i="3"/>
  <c r="T133" i="3"/>
  <c r="S133" i="3"/>
  <c r="A133" i="3"/>
  <c r="AH132" i="3"/>
  <c r="T132" i="3"/>
  <c r="S132" i="3"/>
  <c r="A132" i="3"/>
  <c r="AH131" i="3"/>
  <c r="T131" i="3"/>
  <c r="S131" i="3"/>
  <c r="A131" i="3"/>
  <c r="AH130" i="3"/>
  <c r="T130" i="3"/>
  <c r="S130" i="3"/>
  <c r="A130" i="3"/>
  <c r="AH129" i="3"/>
  <c r="T129" i="3"/>
  <c r="S129" i="3"/>
  <c r="A129" i="3"/>
  <c r="AH128" i="3"/>
  <c r="T128" i="3"/>
  <c r="S128" i="3"/>
  <c r="A128" i="3"/>
  <c r="AH127" i="3"/>
  <c r="T127" i="3"/>
  <c r="S127" i="3"/>
  <c r="A127" i="3"/>
  <c r="AH126" i="3"/>
  <c r="T126" i="3"/>
  <c r="S126" i="3"/>
  <c r="A126" i="3"/>
  <c r="AH125" i="3"/>
  <c r="T125" i="3"/>
  <c r="S125" i="3"/>
  <c r="A125" i="3"/>
  <c r="AH124" i="3"/>
  <c r="T124" i="3"/>
  <c r="S124" i="3"/>
  <c r="A124" i="3"/>
  <c r="AH123" i="3"/>
  <c r="T123" i="3"/>
  <c r="S123" i="3"/>
  <c r="A123" i="3"/>
  <c r="AH122" i="3"/>
  <c r="T122" i="3"/>
  <c r="S122" i="3"/>
  <c r="A122" i="3"/>
  <c r="AH121" i="3"/>
  <c r="T121" i="3"/>
  <c r="S121" i="3"/>
  <c r="A121" i="3"/>
  <c r="AH120" i="3"/>
  <c r="T120" i="3"/>
  <c r="S120" i="3"/>
  <c r="A120" i="3"/>
  <c r="AH119" i="3"/>
  <c r="T119" i="3"/>
  <c r="S119" i="3"/>
  <c r="A119" i="3"/>
  <c r="AH118" i="3"/>
  <c r="T118" i="3"/>
  <c r="S118" i="3"/>
  <c r="A118" i="3"/>
  <c r="AH117" i="3"/>
  <c r="T117" i="3"/>
  <c r="S117" i="3"/>
  <c r="A117" i="3"/>
  <c r="AH116" i="3"/>
  <c r="T116" i="3"/>
  <c r="S116" i="3"/>
  <c r="A116" i="3"/>
  <c r="AH115" i="3"/>
  <c r="T115" i="3"/>
  <c r="S115" i="3"/>
  <c r="A115" i="3"/>
  <c r="AH114" i="3"/>
  <c r="T114" i="3"/>
  <c r="S114" i="3"/>
  <c r="A114" i="3"/>
  <c r="AH113" i="3"/>
  <c r="T113" i="3"/>
  <c r="S113" i="3"/>
  <c r="A113" i="3"/>
  <c r="AH112" i="3"/>
  <c r="T112" i="3"/>
  <c r="S112" i="3"/>
  <c r="A112" i="3"/>
  <c r="AH111" i="3"/>
  <c r="T111" i="3"/>
  <c r="S111" i="3"/>
  <c r="A111" i="3"/>
  <c r="AH110" i="3"/>
  <c r="T110" i="3"/>
  <c r="S110" i="3"/>
  <c r="A110" i="3"/>
  <c r="AH109" i="3"/>
  <c r="T109" i="3"/>
  <c r="S109" i="3"/>
  <c r="A109" i="3"/>
  <c r="AH108" i="3"/>
  <c r="T108" i="3"/>
  <c r="S108" i="3"/>
  <c r="A108" i="3"/>
  <c r="AH107" i="3"/>
  <c r="T107" i="3"/>
  <c r="S107" i="3"/>
  <c r="A107" i="3"/>
  <c r="AH106" i="3"/>
  <c r="T106" i="3"/>
  <c r="S106" i="3"/>
  <c r="A106" i="3"/>
  <c r="AH105" i="3"/>
  <c r="T105" i="3"/>
  <c r="S105" i="3"/>
  <c r="A105" i="3"/>
  <c r="AH104" i="3"/>
  <c r="T104" i="3"/>
  <c r="S104" i="3"/>
  <c r="A104" i="3"/>
  <c r="AH103" i="3"/>
  <c r="T103" i="3"/>
  <c r="S103" i="3"/>
  <c r="A103" i="3"/>
  <c r="AH102" i="3"/>
  <c r="T102" i="3"/>
  <c r="S102" i="3"/>
  <c r="A102" i="3"/>
  <c r="AH101" i="3"/>
  <c r="T101" i="3"/>
  <c r="S101" i="3"/>
  <c r="A101" i="3"/>
  <c r="AH100" i="3"/>
  <c r="T100" i="3"/>
  <c r="S100" i="3"/>
  <c r="A100" i="3"/>
  <c r="AH99" i="3"/>
  <c r="T99" i="3"/>
  <c r="S99" i="3"/>
  <c r="A99" i="3"/>
  <c r="AH98" i="3"/>
  <c r="T98" i="3"/>
  <c r="S98" i="3"/>
  <c r="A98" i="3"/>
  <c r="AH97" i="3"/>
  <c r="T97" i="3"/>
  <c r="S97" i="3"/>
  <c r="A97" i="3"/>
  <c r="AH96" i="3"/>
  <c r="T96" i="3"/>
  <c r="S96" i="3"/>
  <c r="A96" i="3"/>
  <c r="AH95" i="3"/>
  <c r="T95" i="3"/>
  <c r="S95" i="3"/>
  <c r="A95" i="3"/>
  <c r="AH94" i="3"/>
  <c r="T94" i="3"/>
  <c r="S94" i="3"/>
  <c r="A94" i="3"/>
  <c r="AH93" i="3"/>
  <c r="T93" i="3"/>
  <c r="S93" i="3"/>
  <c r="A93" i="3"/>
  <c r="AH92" i="3"/>
  <c r="T92" i="3"/>
  <c r="S92" i="3"/>
  <c r="A92" i="3"/>
  <c r="AH91" i="3"/>
  <c r="T91" i="3"/>
  <c r="S91" i="3"/>
  <c r="A91" i="3"/>
  <c r="AH90" i="3"/>
  <c r="T90" i="3"/>
  <c r="S90" i="3"/>
  <c r="A90" i="3"/>
  <c r="AH89" i="3"/>
  <c r="T89" i="3"/>
  <c r="S89" i="3"/>
  <c r="A89" i="3"/>
  <c r="AH88" i="3"/>
  <c r="T88" i="3"/>
  <c r="S88" i="3"/>
  <c r="A88" i="3"/>
  <c r="AH87" i="3"/>
  <c r="T87" i="3"/>
  <c r="S87" i="3"/>
  <c r="A87" i="3"/>
  <c r="AH86" i="3"/>
  <c r="T86" i="3"/>
  <c r="S86" i="3"/>
  <c r="A86" i="3"/>
  <c r="AH85" i="3"/>
  <c r="T85" i="3"/>
  <c r="S85" i="3"/>
  <c r="A85" i="3"/>
  <c r="AH84" i="3"/>
  <c r="T84" i="3"/>
  <c r="S84" i="3"/>
  <c r="A84" i="3"/>
  <c r="AH83" i="3"/>
  <c r="T83" i="3"/>
  <c r="S83" i="3"/>
  <c r="A83" i="3"/>
  <c r="AH82" i="3"/>
  <c r="T82" i="3"/>
  <c r="S82" i="3"/>
  <c r="A82" i="3"/>
  <c r="AH81" i="3"/>
  <c r="T81" i="3"/>
  <c r="S81" i="3"/>
  <c r="A81" i="3"/>
  <c r="AH80" i="3"/>
  <c r="T80" i="3"/>
  <c r="S80" i="3"/>
  <c r="A80" i="3"/>
  <c r="AH79" i="3"/>
  <c r="T79" i="3"/>
  <c r="S79" i="3"/>
  <c r="A79" i="3"/>
  <c r="AH78" i="3"/>
  <c r="T78" i="3"/>
  <c r="S78" i="3"/>
  <c r="A78" i="3"/>
  <c r="AH77" i="3"/>
  <c r="T77" i="3"/>
  <c r="S77" i="3"/>
  <c r="A77" i="3"/>
  <c r="AH76" i="3"/>
  <c r="T76" i="3"/>
  <c r="S76" i="3"/>
  <c r="A76" i="3"/>
  <c r="AH75" i="3"/>
  <c r="T75" i="3"/>
  <c r="S75" i="3"/>
  <c r="A75" i="3"/>
  <c r="AH74" i="3"/>
  <c r="T74" i="3"/>
  <c r="S74" i="3"/>
  <c r="A74" i="3"/>
  <c r="AH73" i="3"/>
  <c r="T73" i="3"/>
  <c r="S73" i="3"/>
  <c r="A73" i="3"/>
  <c r="AH72" i="3"/>
  <c r="T72" i="3"/>
  <c r="S72" i="3"/>
  <c r="A72" i="3"/>
  <c r="AH71" i="3"/>
  <c r="T71" i="3"/>
  <c r="S71" i="3"/>
  <c r="A71" i="3"/>
  <c r="AH70" i="3"/>
  <c r="T70" i="3"/>
  <c r="S70" i="3"/>
  <c r="A70" i="3"/>
  <c r="AH69" i="3"/>
  <c r="T69" i="3"/>
  <c r="S69" i="3"/>
  <c r="A69" i="3"/>
  <c r="AH68" i="3"/>
  <c r="T68" i="3"/>
  <c r="S68" i="3"/>
  <c r="A68" i="3"/>
  <c r="AH67" i="3"/>
  <c r="T67" i="3"/>
  <c r="S67" i="3"/>
  <c r="A67" i="3"/>
  <c r="AH66" i="3"/>
  <c r="T66" i="3"/>
  <c r="S66" i="3"/>
  <c r="A66" i="3"/>
  <c r="AH65" i="3"/>
  <c r="T65" i="3"/>
  <c r="S65" i="3"/>
  <c r="A65" i="3"/>
  <c r="AH64" i="3"/>
  <c r="T64" i="3"/>
  <c r="S64" i="3"/>
  <c r="A64" i="3"/>
  <c r="AH63" i="3"/>
  <c r="T63" i="3"/>
  <c r="S63" i="3"/>
  <c r="A63" i="3"/>
  <c r="AH62" i="3"/>
  <c r="T62" i="3"/>
  <c r="S62" i="3"/>
  <c r="A62" i="3"/>
  <c r="AH61" i="3"/>
  <c r="T61" i="3"/>
  <c r="S61" i="3"/>
  <c r="A61" i="3"/>
  <c r="AH60" i="3"/>
  <c r="T60" i="3"/>
  <c r="S60" i="3"/>
  <c r="A60" i="3"/>
  <c r="AH59" i="3"/>
  <c r="T59" i="3"/>
  <c r="S59" i="3"/>
  <c r="A59" i="3"/>
  <c r="AH58" i="3"/>
  <c r="T58" i="3"/>
  <c r="S58" i="3"/>
  <c r="A58" i="3"/>
  <c r="AH57" i="3"/>
  <c r="T57" i="3"/>
  <c r="S57" i="3"/>
  <c r="A57" i="3"/>
  <c r="AH56" i="3"/>
  <c r="T56" i="3"/>
  <c r="S56" i="3"/>
  <c r="A56" i="3"/>
  <c r="AH55" i="3"/>
  <c r="T55" i="3"/>
  <c r="S55" i="3"/>
  <c r="A55" i="3"/>
  <c r="AH54" i="3"/>
  <c r="T54" i="3"/>
  <c r="S54" i="3"/>
  <c r="A54" i="3"/>
  <c r="AH53" i="3"/>
  <c r="T53" i="3"/>
  <c r="S53" i="3"/>
  <c r="A53" i="3"/>
  <c r="AH52" i="3"/>
  <c r="T52" i="3"/>
  <c r="S52" i="3"/>
  <c r="A52" i="3"/>
  <c r="AH51" i="3"/>
  <c r="T51" i="3"/>
  <c r="S51" i="3"/>
  <c r="A51" i="3"/>
  <c r="AH50" i="3"/>
  <c r="T50" i="3"/>
  <c r="S50" i="3"/>
  <c r="A50" i="3"/>
  <c r="AH49" i="3"/>
  <c r="T49" i="3"/>
  <c r="S49" i="3"/>
  <c r="A49" i="3"/>
  <c r="AH48" i="3"/>
  <c r="T48" i="3"/>
  <c r="S48" i="3"/>
  <c r="A48" i="3"/>
  <c r="AH47" i="3"/>
  <c r="T47" i="3"/>
  <c r="S47" i="3"/>
  <c r="A47" i="3"/>
  <c r="AH46" i="3"/>
  <c r="T46" i="3"/>
  <c r="S46" i="3"/>
  <c r="A46" i="3"/>
  <c r="AH45" i="3"/>
  <c r="T45" i="3"/>
  <c r="S45" i="3"/>
  <c r="A45" i="3"/>
  <c r="AH44" i="3"/>
  <c r="T44" i="3"/>
  <c r="S44" i="3"/>
  <c r="A44" i="3"/>
  <c r="AH43" i="3"/>
  <c r="T43" i="3"/>
  <c r="S43" i="3"/>
  <c r="A43" i="3"/>
  <c r="AH42" i="3"/>
  <c r="T42" i="3"/>
  <c r="S42" i="3"/>
  <c r="A42" i="3"/>
  <c r="AH41" i="3"/>
  <c r="T41" i="3"/>
  <c r="S41" i="3"/>
  <c r="A41" i="3"/>
  <c r="AH40" i="3"/>
  <c r="T40" i="3"/>
  <c r="S40" i="3"/>
  <c r="A40" i="3"/>
  <c r="AH39" i="3"/>
  <c r="T39" i="3"/>
  <c r="S39" i="3"/>
  <c r="A39" i="3"/>
  <c r="AH38" i="3"/>
  <c r="T38" i="3"/>
  <c r="S38" i="3"/>
  <c r="A38" i="3"/>
  <c r="AH37" i="3"/>
  <c r="T37" i="3"/>
  <c r="S37" i="3"/>
  <c r="A37" i="3"/>
  <c r="AH36" i="3"/>
  <c r="T36" i="3"/>
  <c r="S36" i="3"/>
  <c r="A36" i="3"/>
  <c r="AH35" i="3"/>
  <c r="T35" i="3"/>
  <c r="S35" i="3"/>
  <c r="A35" i="3"/>
  <c r="AH34" i="3"/>
  <c r="T34" i="3"/>
  <c r="S34" i="3"/>
  <c r="A34" i="3"/>
  <c r="AH33" i="3"/>
  <c r="T33" i="3"/>
  <c r="S33" i="3"/>
  <c r="A33" i="3"/>
  <c r="AH32" i="3"/>
  <c r="T32" i="3"/>
  <c r="S32" i="3"/>
  <c r="A32" i="3"/>
  <c r="AH31" i="3"/>
  <c r="T31" i="3"/>
  <c r="S31" i="3"/>
  <c r="A31" i="3"/>
  <c r="AH30" i="3"/>
  <c r="T30" i="3"/>
  <c r="S30" i="3"/>
  <c r="A30" i="3"/>
  <c r="AH29" i="3"/>
  <c r="T29" i="3"/>
  <c r="S29" i="3"/>
  <c r="A29" i="3"/>
  <c r="AH28" i="3"/>
  <c r="T28" i="3"/>
  <c r="S28" i="3"/>
  <c r="A28" i="3"/>
  <c r="AH27" i="3"/>
  <c r="T27" i="3"/>
  <c r="S27" i="3"/>
  <c r="A27" i="3"/>
  <c r="AH26" i="3"/>
  <c r="T26" i="3"/>
  <c r="S26" i="3"/>
  <c r="A26" i="3"/>
  <c r="AH25" i="3"/>
  <c r="T25" i="3"/>
  <c r="S25" i="3"/>
  <c r="A25" i="3"/>
  <c r="AH24" i="3"/>
  <c r="T24" i="3"/>
  <c r="S24" i="3"/>
  <c r="A24" i="3"/>
  <c r="AH23" i="3"/>
  <c r="T23" i="3"/>
  <c r="S23" i="3"/>
  <c r="A23" i="3"/>
  <c r="A25" i="4" s="1"/>
  <c r="AH22" i="3"/>
  <c r="T22" i="3"/>
  <c r="S22" i="3"/>
  <c r="A22" i="3"/>
  <c r="A24" i="4" s="1"/>
  <c r="AH21" i="3"/>
  <c r="T21" i="3"/>
  <c r="S21" i="3"/>
  <c r="A21" i="3"/>
  <c r="A23" i="4" s="1"/>
  <c r="AH20" i="3"/>
  <c r="T20" i="3"/>
  <c r="S20" i="3"/>
  <c r="A20" i="3"/>
  <c r="A22" i="4" s="1"/>
  <c r="AH19" i="3"/>
  <c r="T19" i="3"/>
  <c r="S19" i="3"/>
  <c r="A19" i="3"/>
  <c r="A21" i="4" s="1"/>
  <c r="AH18" i="3"/>
  <c r="T18" i="3"/>
  <c r="S18" i="3"/>
  <c r="A18" i="3"/>
  <c r="A20" i="4" s="1"/>
  <c r="AH17" i="3"/>
  <c r="T17" i="3"/>
  <c r="S17" i="3"/>
  <c r="A17" i="3"/>
  <c r="A19" i="4" s="1"/>
  <c r="AH16" i="3"/>
  <c r="T16" i="3"/>
  <c r="S16" i="3"/>
  <c r="A16" i="3"/>
  <c r="A18" i="4" s="1"/>
  <c r="AH15" i="3"/>
  <c r="T15" i="3"/>
  <c r="S15" i="3"/>
  <c r="A15" i="3"/>
  <c r="A17" i="4" s="1"/>
  <c r="AH14" i="3"/>
  <c r="T14" i="3"/>
  <c r="S14" i="3"/>
  <c r="A14" i="3"/>
  <c r="A16" i="4" s="1"/>
  <c r="AH13" i="3"/>
  <c r="T13" i="3"/>
  <c r="S13" i="3"/>
  <c r="A13" i="3"/>
  <c r="A15" i="4" s="1"/>
  <c r="AH12" i="3"/>
  <c r="T12" i="3"/>
  <c r="S12" i="3"/>
  <c r="A12" i="3"/>
  <c r="A14" i="4" s="1"/>
  <c r="AH11" i="3"/>
  <c r="T11" i="3"/>
  <c r="S11" i="3"/>
  <c r="A11" i="3"/>
  <c r="A13" i="4" s="1"/>
  <c r="AH10" i="3"/>
  <c r="T10" i="3"/>
  <c r="S10" i="3"/>
  <c r="A10" i="3"/>
  <c r="A12" i="4" s="1"/>
  <c r="AH9" i="3"/>
  <c r="T9" i="3"/>
  <c r="S9" i="3"/>
  <c r="A9" i="3"/>
  <c r="A11" i="4" s="1"/>
  <c r="AH8" i="3"/>
  <c r="T8" i="3"/>
  <c r="S8" i="3"/>
  <c r="A8" i="3"/>
  <c r="A10" i="4" s="1"/>
  <c r="AH7" i="3"/>
  <c r="T7" i="3"/>
  <c r="S7" i="3"/>
  <c r="A7" i="3"/>
  <c r="A9" i="4" s="1"/>
  <c r="AH6" i="3"/>
  <c r="T6" i="3"/>
  <c r="S6" i="3"/>
  <c r="A6" i="3"/>
  <c r="A8" i="4" s="1"/>
  <c r="AH5" i="3"/>
  <c r="T5" i="3"/>
  <c r="S5" i="3"/>
  <c r="A5" i="3"/>
  <c r="A7" i="4" s="1"/>
  <c r="BG6" i="4" l="1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6" i="3"/>
  <c r="B8" i="4" s="1"/>
  <c r="B7" i="3"/>
  <c r="B9" i="4" s="1"/>
  <c r="B8" i="3"/>
  <c r="B10" i="4" s="1"/>
  <c r="B9" i="3"/>
  <c r="B11" i="4" s="1"/>
  <c r="B10" i="3"/>
  <c r="B12" i="4" s="1"/>
  <c r="B11" i="3"/>
  <c r="B13" i="4" s="1"/>
  <c r="B12" i="3"/>
  <c r="B14" i="4" s="1"/>
  <c r="B13" i="3"/>
  <c r="B15" i="4" s="1"/>
  <c r="B14" i="3"/>
  <c r="B16" i="4" s="1"/>
  <c r="B15" i="3"/>
  <c r="B17" i="4" s="1"/>
  <c r="B16" i="3"/>
  <c r="B18" i="4" s="1"/>
  <c r="B17" i="3"/>
  <c r="B19" i="4" s="1"/>
  <c r="B18" i="3"/>
  <c r="B20" i="4" s="1"/>
  <c r="B19" i="3"/>
  <c r="B21" i="4" s="1"/>
  <c r="B20" i="3"/>
  <c r="B22" i="4" s="1"/>
  <c r="B21" i="3"/>
  <c r="B23" i="4" s="1"/>
  <c r="B22" i="3"/>
  <c r="B24" i="4" s="1"/>
  <c r="B23" i="3"/>
  <c r="B25" i="4" s="1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5" i="3"/>
  <c r="B7" i="4" s="1"/>
  <c r="BC6" i="4"/>
  <c r="AK6" i="4"/>
  <c r="AL6" i="4"/>
  <c r="AM6" i="4"/>
  <c r="AB6" i="4"/>
  <c r="AR6" i="4"/>
  <c r="AC6" i="4"/>
  <c r="AT6" i="4"/>
  <c r="AD6" i="4"/>
  <c r="AU6" i="4"/>
  <c r="AE6" i="4"/>
  <c r="AZ6" i="4"/>
  <c r="AJ6" i="4"/>
  <c r="BB6" i="4"/>
  <c r="AS6" i="4"/>
  <c r="BA6" i="4"/>
  <c r="AF6" i="4"/>
  <c r="AN6" i="4"/>
  <c r="AV6" i="4"/>
  <c r="BD6" i="4"/>
  <c r="Y6" i="4"/>
  <c r="AG6" i="4"/>
  <c r="AO6" i="4"/>
  <c r="AW6" i="4"/>
  <c r="BE6" i="4"/>
  <c r="Z6" i="4"/>
  <c r="AH6" i="4"/>
  <c r="AP6" i="4"/>
  <c r="AX6" i="4"/>
  <c r="BF6" i="4"/>
  <c r="AA6" i="4"/>
  <c r="AI6" i="4"/>
  <c r="AQ6" i="4"/>
  <c r="AY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sharedStrings.xml><?xml version="1.0" encoding="utf-8"?>
<sst xmlns="http://schemas.openxmlformats.org/spreadsheetml/2006/main" count="32440" uniqueCount="8213">
  <si>
    <t>Alayan - Template Filiale Pipeline FV</t>
  </si>
  <si>
    <t>Compilare questo file direttamente su OneDrive / SharePoint. Nessun invio via email.</t>
  </si>
  <si>
    <t>Nome filiale</t>
  </si>
  <si>
    <t>Catania</t>
  </si>
  <si>
    <t>Area filiale</t>
  </si>
  <si>
    <t>Anno base Gantt</t>
  </si>
  <si>
    <t>Cartella consigliata</t>
  </si>
  <si>
    <t>/Alayan Pipeline FV/Filiali/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</si>
  <si>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</si>
  <si>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</si>
  <si>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</si>
  <si>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</si>
  <si>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</si>
  <si>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5. Non modificare intestazioni, formule o struttura colonne: il dashboard nazionale legge questo layout.</t>
  </si>
  <si>
    <t>6. Per nuovi progetti usare una riga libera nel foglio 'Pipeline'. Le righe sono predisposte fino a 200 progetti.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</si>
  <si>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</si>
  <si>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</si>
  <si>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</si>
  <si>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</si>
  <si>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</si>
  <si>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</si>
  <si>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</si>
  <si>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Liste e mapping</t>
  </si>
  <si>
    <t>Stato progetto</t>
  </si>
  <si>
    <t>Albenga</t>
  </si>
  <si>
    <t>Fase</t>
  </si>
  <si>
    <t>Avanzamento</t>
  </si>
  <si>
    <t>Stato scadenza</t>
  </si>
  <si>
    <t>Legenda Gantt</t>
  </si>
  <si>
    <t>In pipeline</t>
  </si>
  <si>
    <t>Bari</t>
  </si>
  <si>
    <t>Studio di fattibilità</t>
  </si>
  <si>
    <t>On track</t>
  </si>
  <si>
    <t xml:space="preserve"> </t>
  </si>
  <si>
    <t>Attivo</t>
  </si>
  <si>
    <t>Bergamo</t>
  </si>
  <si>
    <t>Progettazione</t>
  </si>
  <si>
    <t>In scadenza</t>
  </si>
  <si>
    <t>In pausa</t>
  </si>
  <si>
    <t>Bologna</t>
  </si>
  <si>
    <t>Autorizzazioni</t>
  </si>
  <si>
    <t>In ritardo</t>
  </si>
  <si>
    <t>Completato</t>
  </si>
  <si>
    <t>Bolzano</t>
  </si>
  <si>
    <t>Procurement</t>
  </si>
  <si>
    <t>Perso</t>
  </si>
  <si>
    <t>Brescia</t>
  </si>
  <si>
    <t>Costruzione</t>
  </si>
  <si>
    <t>Brunico</t>
  </si>
  <si>
    <t>Commissioning</t>
  </si>
  <si>
    <t>Cagliari</t>
  </si>
  <si>
    <t>Operativo</t>
  </si>
  <si>
    <t>Cosenza</t>
  </si>
  <si>
    <t>Cuneo</t>
  </si>
  <si>
    <t>Firenze</t>
  </si>
  <si>
    <t>Frosinone</t>
  </si>
  <si>
    <t>Genova</t>
  </si>
  <si>
    <t>Lecco</t>
  </si>
  <si>
    <t>Livorno</t>
  </si>
  <si>
    <t>Lucca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</si>
  <si>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</si>
  <si>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</si>
  <si>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</si>
  <si>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</si>
  <si>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</si>
  <si>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</si>
  <si>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</si>
  <si>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</si>
  <si>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</si>
  <si>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</si>
  <si>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</si>
  <si>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</si>
  <si>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</si>
  <si>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</si>
  <si>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</si>
  <si>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</si>
  <si>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</si>
  <si>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</si>
  <si>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</si>
  <si>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</si>
  <si>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Verona</t>
  </si>
  <si>
    <t>Pipeline progetti filiale</t>
  </si>
  <si>
    <t>Compilare una riga per progetto. Le date alimentano il Gantt.</t>
  </si>
  <si>
    <t>Filiale</t>
  </si>
  <si>
    <t>Area</t>
  </si>
  <si>
    <t>Cliente</t>
  </si>
  <si>
    <t>Cod. Cliente</t>
  </si>
  <si>
    <t>Progetto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</si>
  <si>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</si>
  <si>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</si>
  <si>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</si>
  <si>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</si>
  <si>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</si>
  <si>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</si>
  <si>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</si>
  <si>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</si>
  <si>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</si>
  <si>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</si>
  <si>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</si>
  <si>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</si>
  <si>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</si>
  <si>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</si>
  <si>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</si>
  <si>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</si>
  <si>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</si>
  <si>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</si>
  <si>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</si>
  <si>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</si>
  <si>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</si>
  <si>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</si>
  <si>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</si>
  <si>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</si>
  <si>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</si>
  <si>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</si>
  <si>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</si>
  <si>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ALTOBRANDO SRL</t>
  </si>
  <si>
    <t>Altobrando</t>
  </si>
  <si>
    <t>Sicilia</t>
  </si>
  <si>
    <t>Caltagirone</t>
  </si>
  <si>
    <t>VIA approvata</t>
  </si>
  <si>
    <t>IBERDROLA RENOVABLES ITALIA SPA</t>
  </si>
  <si>
    <t>Lentini1</t>
  </si>
  <si>
    <t>Siracusa</t>
  </si>
  <si>
    <t>Lentini</t>
  </si>
  <si>
    <t>Progetto anche a Palagonia (CT)</t>
  </si>
  <si>
    <t>VARNA SOLAR SRL</t>
  </si>
  <si>
    <t>Varna Solar</t>
  </si>
  <si>
    <t>Belpasso</t>
  </si>
  <si>
    <t>INE ELIOSMENTA SRL</t>
  </si>
  <si>
    <t>FV Agrivoltaico Buseto</t>
  </si>
  <si>
    <t>Trapani</t>
  </si>
  <si>
    <t>Buseto Palizzolo</t>
  </si>
  <si>
    <t>VIA approvata, agrivoltaico</t>
  </si>
  <si>
    <t>ENGIE GRILLO SRL</t>
  </si>
  <si>
    <t>Grillo</t>
  </si>
  <si>
    <t>Mazara del Vallo</t>
  </si>
  <si>
    <t>Progetto anche a Marsala (TP)</t>
  </si>
  <si>
    <t>ARYA SOLAR SRL</t>
  </si>
  <si>
    <t>Arya Mazara</t>
  </si>
  <si>
    <t>PIROIDE SRL</t>
  </si>
  <si>
    <t>Progetto Piana degli Albanesi</t>
  </si>
  <si>
    <t>Palermo</t>
  </si>
  <si>
    <t>Piana degli Albanesi</t>
  </si>
  <si>
    <t>Progetto anche a Monreale (PA)</t>
  </si>
  <si>
    <t>11PIU' ENERGIA SRL</t>
  </si>
  <si>
    <t>Favara 2</t>
  </si>
  <si>
    <t>Agrigento</t>
  </si>
  <si>
    <t>Favara</t>
  </si>
  <si>
    <t>Agrivoltaico</t>
  </si>
  <si>
    <t>NDTHREE SRL</t>
  </si>
  <si>
    <t>Pecciapertosa</t>
  </si>
  <si>
    <t>Castronovo di Sicilia</t>
  </si>
  <si>
    <t>Progetto anche a Lercara Friddi (PA)</t>
  </si>
  <si>
    <t>IBVI 5 SRL</t>
  </si>
  <si>
    <t>Castel di Iudica II</t>
  </si>
  <si>
    <t>Castel di Iudica</t>
  </si>
  <si>
    <t>Progetto anche a Ramacca (CT)</t>
  </si>
  <si>
    <t>IBVI 22 SRL</t>
  </si>
  <si>
    <t>Mineo</t>
  </si>
  <si>
    <t>Enna</t>
  </si>
  <si>
    <t>Aidone</t>
  </si>
  <si>
    <t>Progetto anche a Mineo e Ramacca (CT)</t>
  </si>
  <si>
    <t>ENNA 1 PV SRL</t>
  </si>
  <si>
    <t>Enna 1</t>
  </si>
  <si>
    <t>ENNA 2 PV SRL</t>
  </si>
  <si>
    <t>Enna 2</t>
  </si>
  <si>
    <t>ENNA 3 PV SRL</t>
  </si>
  <si>
    <t>Enna 3</t>
  </si>
  <si>
    <t>FRI-EL SOLAR SRL</t>
  </si>
  <si>
    <t>Raddusa</t>
  </si>
  <si>
    <t>Accumulo da 20 MW. Progetto anche a Ramacca (CT)</t>
  </si>
  <si>
    <t>RB SOLAR ENERGY SRL</t>
  </si>
  <si>
    <t>Licata</t>
  </si>
  <si>
    <t>Agrivoltaico anche a Campobello di Licata (AG)</t>
  </si>
  <si>
    <t>D2M GREEN ENERGY - CONCHE DELL'ORO SRL</t>
  </si>
  <si>
    <t>Conche dell’Oro</t>
  </si>
  <si>
    <t>Monreale</t>
  </si>
  <si>
    <t>Agrivoltaico anche a Poggioreale e Gibellina (TP)</t>
  </si>
  <si>
    <t>CVA EOS SRL</t>
  </si>
  <si>
    <t>AGV Gatto Corvino</t>
  </si>
  <si>
    <t>Ragusa</t>
  </si>
  <si>
    <t>Agrivoltaico, VIA approvata</t>
  </si>
  <si>
    <t>PERIDOT SOLAR (ITALY) SRL</t>
  </si>
  <si>
    <t>PV Monreale e Gibellina</t>
  </si>
  <si>
    <t>Progetto anche a Gibellina(TP)</t>
  </si>
  <si>
    <t>Gantt chart progetti filiale</t>
  </si>
  <si>
    <t>Barre colorate per fase. Le date arrivano dal foglio 'Pipeline'.</t>
  </si>
  <si>
    <t>Anno base</t>
  </si>
  <si>
    <t>Fatturato</t>
  </si>
  <si>
    <t>Stato</t>
  </si>
  <si>
    <t>MWp</t>
  </si>
  <si>
    <t>Target COD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</si>
  <si>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</si>
  <si>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</si>
  <si>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</si>
  <si>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</si>
  <si>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</si>
  <si>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</si>
  <si>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</si>
  <si>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</si>
  <si>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</si>
  <si>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</si>
  <si>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</si>
  <si>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</si>
  <si>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</si>
  <si>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</si>
  <si>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</si>
  <si>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</si>
  <si>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</si>
  <si>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</si>
  <si>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</si>
  <si>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</si>
  <si>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</si>
  <si>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</si>
  <si>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</si>
  <si>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</si>
  <si>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</si>
  <si>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</si>
  <si>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</si>
  <si>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Toscana</t>
  </si>
  <si>
    <t>Trentino-Alto Adige/Südtirol</t>
  </si>
  <si>
    <t>Umbria</t>
  </si>
  <si>
    <t>Valle d'Aosta/Vallée d'Aoste</t>
  </si>
  <si>
    <t>Veneto</t>
  </si>
  <si>
    <t>Chieti</t>
  </si>
  <si>
    <t>Matera</t>
  </si>
  <si>
    <t>Catanzaro</t>
  </si>
  <si>
    <t>Avellino</t>
  </si>
  <si>
    <t>Gorizia</t>
  </si>
  <si>
    <t>Ancona</t>
  </si>
  <si>
    <t>Campobasso</t>
  </si>
  <si>
    <t>Alessandria</t>
  </si>
  <si>
    <t>Arezzo</t>
  </si>
  <si>
    <t>Bolzano/Bozen</t>
  </si>
  <si>
    <t>Belluno</t>
  </si>
  <si>
    <t>L'Aquila</t>
  </si>
  <si>
    <t>Potenza</t>
  </si>
  <si>
    <t>Benevento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</si>
  <si>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</si>
  <si>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</si>
  <si>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</si>
  <si>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</si>
  <si>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</si>
  <si>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</si>
  <si>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</si>
  <si>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</si>
  <si>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</si>
  <si>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</si>
  <si>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Terni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</si>
  <si>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</si>
  <si>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</si>
  <si>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</si>
  <si>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</si>
  <si>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</si>
  <si>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</si>
  <si>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</si>
  <si>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</si>
  <si>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</si>
  <si>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</si>
  <si>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Brindisi</t>
  </si>
  <si>
    <t>Oristano</t>
  </si>
  <si>
    <t>Grosseto</t>
  </si>
  <si>
    <t>Rovigo</t>
  </si>
  <si>
    <t>Teramo</t>
  </si>
  <si>
    <t>Reggio Calabria</t>
  </si>
  <si>
    <t>Modena</t>
  </si>
  <si>
    <t>Roma</t>
  </si>
  <si>
    <t>Savona</t>
  </si>
  <si>
    <t>Cremona</t>
  </si>
  <si>
    <t>Macerata</t>
  </si>
  <si>
    <t>Foggia</t>
  </si>
  <si>
    <t>Vibo Valentia</t>
  </si>
  <si>
    <t>Viterbo</t>
  </si>
  <si>
    <t>Pesaro e Urbino</t>
  </si>
  <si>
    <t>Novara</t>
  </si>
  <si>
    <t>Lecce</t>
  </si>
  <si>
    <t>Sud Sardegna</t>
  </si>
  <si>
    <t>Messina</t>
  </si>
  <si>
    <t>Piacenza</t>
  </si>
  <si>
    <t>Lodi</t>
  </si>
  <si>
    <t>Taranto</t>
  </si>
  <si>
    <t>Massa-Carrara</t>
  </si>
  <si>
    <t>Ravenna</t>
  </si>
  <si>
    <t>Mantova</t>
  </si>
  <si>
    <t>Verbano-Cusio-Ossola</t>
  </si>
  <si>
    <t>Pisa</t>
  </si>
  <si>
    <t>Vicenza</t>
  </si>
  <si>
    <t>Reggio nell'Emilia</t>
  </si>
  <si>
    <t>Milano</t>
  </si>
  <si>
    <t>Vercelli</t>
  </si>
  <si>
    <t>Pistoia</t>
  </si>
  <si>
    <t>Monza e della Brianza</t>
  </si>
  <si>
    <t>Prato</t>
  </si>
  <si>
    <t>Pavia</t>
  </si>
  <si>
    <t>Siena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</si>
  <si>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</si>
  <si>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</si>
  <si>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</si>
  <si>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</si>
  <si>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</si>
  <si>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</si>
  <si>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</si>
  <si>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</si>
  <si>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</si>
  <si>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</si>
  <si>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</si>
  <si>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</si>
  <si>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</si>
  <si>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</si>
  <si>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</si>
  <si>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</si>
  <si>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</si>
  <si>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</si>
  <si>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</si>
  <si>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</si>
  <si>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</si>
  <si>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</si>
  <si>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</si>
  <si>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</si>
  <si>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</si>
  <si>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</si>
  <si>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</si>
  <si>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</si>
  <si>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</si>
  <si>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</si>
  <si>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</si>
  <si>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</si>
  <si>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</si>
  <si>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</si>
  <si>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</si>
  <si>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</si>
  <si>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</si>
  <si>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</si>
  <si>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</si>
  <si>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</si>
  <si>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</si>
  <si>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</si>
  <si>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</si>
  <si>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</si>
  <si>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</si>
  <si>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</si>
  <si>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</si>
  <si>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</si>
  <si>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</si>
  <si>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</si>
  <si>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</si>
  <si>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</si>
  <si>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</si>
  <si>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</si>
  <si>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</si>
  <si>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</si>
  <si>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</si>
  <si>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</si>
  <si>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</si>
  <si>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</si>
  <si>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</si>
  <si>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</si>
  <si>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</si>
  <si>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</si>
  <si>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</si>
  <si>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</si>
  <si>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</si>
  <si>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</si>
  <si>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</si>
  <si>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</si>
  <si>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</si>
  <si>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</si>
  <si>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</si>
  <si>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</si>
  <si>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</si>
  <si>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</si>
  <si>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</si>
  <si>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</si>
  <si>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</si>
  <si>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</si>
  <si>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</si>
  <si>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</si>
  <si>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</si>
  <si>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</si>
  <si>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</si>
  <si>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</si>
  <si>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</si>
  <si>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</si>
  <si>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</si>
  <si>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</si>
  <si>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</si>
  <si>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</si>
  <si>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</si>
  <si>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</si>
  <si>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</si>
  <si>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</si>
  <si>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</si>
  <si>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</si>
  <si>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</si>
  <si>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</si>
  <si>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</si>
  <si>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</si>
  <si>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</si>
  <si>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</si>
  <si>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</si>
  <si>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</si>
  <si>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</si>
  <si>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</si>
  <si>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</si>
  <si>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</si>
  <si>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</si>
  <si>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</si>
  <si>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</si>
  <si>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</si>
  <si>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</si>
  <si>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</si>
  <si>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</si>
  <si>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</si>
  <si>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</si>
  <si>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</si>
  <si>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</si>
  <si>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</si>
  <si>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</si>
  <si>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</si>
  <si>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</si>
  <si>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</si>
  <si>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</si>
  <si>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</si>
  <si>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</si>
  <si>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</si>
  <si>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</si>
  <si>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</si>
  <si>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</si>
  <si>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</si>
  <si>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</si>
  <si>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</si>
  <si>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</si>
  <si>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</si>
  <si>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</si>
  <si>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</si>
  <si>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</si>
  <si>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</si>
  <si>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</si>
  <si>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</si>
  <si>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</si>
  <si>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</si>
  <si>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</si>
  <si>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</si>
  <si>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</si>
  <si>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</si>
  <si>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</si>
  <si>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</si>
  <si>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</si>
  <si>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</si>
  <si>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</si>
  <si>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</si>
  <si>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</si>
  <si>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</si>
  <si>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</si>
  <si>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</si>
  <si>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</si>
  <si>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</si>
  <si>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</si>
  <si>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</si>
  <si>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</si>
  <si>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</si>
  <si>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</si>
  <si>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</si>
  <si>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</si>
  <si>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</si>
  <si>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</si>
  <si>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</si>
  <si>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</si>
  <si>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</si>
  <si>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</si>
  <si>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</si>
  <si>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</si>
  <si>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</si>
  <si>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</si>
  <si>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</si>
  <si>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</si>
  <si>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</si>
  <si>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</si>
  <si>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</si>
  <si>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</si>
  <si>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</si>
  <si>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</si>
  <si>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</si>
  <si>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</si>
  <si>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</si>
  <si>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</si>
  <si>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</si>
  <si>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</si>
  <si>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</si>
  <si>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</si>
  <si>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</si>
  <si>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</si>
  <si>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</si>
  <si>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</si>
  <si>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</si>
  <si>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</si>
  <si>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</si>
  <si>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</si>
  <si>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</si>
  <si>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</si>
  <si>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</si>
  <si>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</si>
  <si>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</si>
  <si>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</si>
  <si>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</si>
  <si>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</si>
  <si>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</si>
  <si>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</si>
  <si>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</si>
  <si>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</si>
  <si>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</si>
  <si>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</si>
  <si>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</si>
  <si>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</si>
  <si>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</si>
  <si>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</si>
  <si>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</si>
  <si>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</si>
  <si>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</si>
  <si>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</si>
  <si>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</si>
  <si>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</si>
  <si>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</si>
  <si>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</si>
  <si>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</si>
  <si>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</si>
  <si>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</si>
  <si>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</si>
  <si>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</si>
  <si>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</si>
  <si>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</si>
  <si>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</si>
  <si>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</si>
  <si>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</si>
  <si>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</si>
  <si>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</si>
  <si>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</si>
  <si>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</si>
  <si>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</si>
  <si>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</si>
  <si>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</si>
  <si>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</si>
  <si>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</si>
  <si>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</si>
  <si>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</si>
  <si>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</si>
  <si>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</si>
  <si>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</si>
  <si>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</si>
  <si>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</si>
  <si>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</si>
  <si>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</si>
  <si>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</si>
  <si>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</si>
  <si>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</si>
  <si>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</si>
  <si>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</si>
  <si>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</si>
  <si>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</si>
  <si>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</si>
  <si>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</si>
  <si>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</si>
  <si>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</si>
  <si>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</si>
  <si>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</si>
  <si>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</si>
  <si>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</si>
  <si>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</si>
  <si>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</si>
  <si>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</si>
  <si>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</si>
  <si>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</si>
  <si>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</si>
  <si>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</si>
  <si>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</si>
  <si>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</si>
  <si>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</si>
  <si>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</si>
  <si>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</si>
  <si>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</si>
  <si>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</si>
  <si>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</si>
  <si>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</si>
  <si>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</si>
  <si>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</si>
  <si>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</si>
  <si>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</si>
  <si>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</si>
  <si>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</si>
  <si>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</si>
  <si>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</si>
  <si>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</si>
  <si>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</si>
  <si>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</si>
  <si>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</si>
  <si>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</si>
  <si>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</si>
  <si>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</si>
  <si>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</si>
  <si>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</si>
  <si>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</si>
  <si>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</si>
  <si>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</si>
  <si>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</si>
  <si>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</si>
  <si>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</si>
  <si>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</si>
  <si>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</si>
  <si>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</si>
  <si>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</si>
  <si>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</si>
  <si>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</si>
  <si>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</si>
  <si>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</si>
  <si>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</si>
  <si>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</si>
  <si>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</si>
  <si>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</si>
  <si>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</si>
  <si>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</si>
  <si>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</si>
  <si>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</si>
  <si>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</si>
  <si>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</si>
  <si>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</si>
  <si>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</si>
  <si>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</si>
  <si>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</si>
  <si>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</si>
  <si>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</si>
  <si>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</si>
  <si>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</si>
  <si>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</si>
  <si>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</si>
  <si>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</si>
  <si>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</si>
  <si>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</si>
  <si>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</si>
  <si>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</si>
  <si>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</si>
  <si>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</si>
  <si>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</si>
  <si>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</si>
  <si>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</si>
  <si>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</si>
  <si>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</si>
  <si>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</si>
  <si>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</si>
  <si>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</si>
  <si>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</si>
  <si>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</si>
  <si>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</si>
  <si>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</si>
  <si>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</si>
  <si>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</si>
  <si>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</si>
  <si>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</si>
  <si>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</si>
  <si>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</si>
  <si>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</si>
  <si>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</si>
  <si>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</si>
  <si>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</si>
  <si>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</si>
  <si>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</si>
  <si>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</si>
  <si>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</si>
  <si>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</si>
  <si>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</si>
  <si>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</si>
  <si>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</si>
  <si>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</si>
  <si>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</si>
  <si>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</si>
  <si>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</si>
  <si>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</si>
  <si>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</si>
  <si>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</si>
  <si>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</si>
  <si>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</si>
  <si>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</si>
  <si>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</si>
  <si>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</si>
  <si>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</si>
  <si>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</si>
  <si>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</si>
  <si>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</si>
  <si>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</si>
  <si>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</si>
  <si>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</si>
  <si>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</si>
  <si>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</si>
  <si>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</si>
  <si>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</si>
  <si>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</si>
  <si>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</si>
  <si>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</si>
  <si>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</si>
  <si>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</si>
  <si>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</si>
  <si>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</si>
  <si>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</si>
  <si>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</si>
  <si>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</si>
  <si>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</si>
  <si>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</si>
  <si>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</si>
  <si>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</si>
  <si>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</si>
  <si>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</si>
  <si>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</si>
  <si>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</si>
  <si>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</si>
  <si>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</si>
  <si>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</si>
  <si>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</si>
  <si>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</si>
  <si>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</si>
  <si>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</si>
  <si>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</si>
  <si>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</si>
  <si>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</si>
  <si>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</si>
  <si>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</si>
  <si>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</si>
  <si>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</si>
  <si>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</si>
  <si>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</si>
  <si>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</si>
  <si>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</si>
  <si>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</si>
  <si>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</si>
  <si>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</si>
  <si>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</si>
  <si>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</si>
  <si>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</si>
  <si>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</si>
  <si>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</si>
  <si>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</si>
  <si>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</si>
  <si>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</si>
  <si>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</si>
  <si>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</si>
  <si>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</si>
  <si>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</si>
  <si>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</si>
  <si>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</si>
  <si>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</si>
  <si>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</si>
  <si>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</si>
  <si>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</si>
  <si>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</si>
  <si>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</si>
  <si>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</si>
  <si>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</si>
  <si>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</si>
  <si>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</si>
  <si>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</si>
  <si>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</si>
  <si>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</si>
  <si>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</si>
  <si>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</si>
  <si>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</si>
  <si>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</si>
  <si>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</si>
  <si>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</si>
  <si>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</si>
  <si>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</si>
  <si>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</si>
  <si>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</si>
  <si>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</si>
  <si>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</si>
  <si>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</si>
  <si>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</si>
  <si>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</si>
  <si>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</si>
  <si>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</si>
  <si>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</si>
  <si>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</si>
  <si>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</si>
  <si>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</si>
  <si>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</si>
  <si>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</si>
  <si>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</si>
  <si>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</si>
  <si>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</si>
  <si>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</si>
  <si>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</si>
  <si>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</si>
  <si>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</si>
  <si>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</si>
  <si>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</si>
  <si>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</si>
  <si>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</si>
  <si>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</si>
  <si>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</si>
  <si>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</si>
  <si>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</si>
  <si>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</si>
  <si>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</si>
  <si>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</si>
  <si>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</si>
  <si>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</si>
  <si>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</si>
  <si>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</si>
  <si>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</si>
  <si>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</si>
  <si>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</si>
  <si>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</si>
  <si>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</si>
  <si>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</si>
  <si>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</si>
  <si>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</si>
  <si>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</si>
  <si>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</si>
  <si>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</si>
  <si>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</si>
  <si>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</si>
  <si>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</si>
  <si>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</si>
  <si>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</si>
  <si>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</si>
  <si>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</si>
  <si>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</si>
  <si>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</si>
  <si>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</si>
  <si>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</si>
  <si>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</si>
  <si>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</si>
  <si>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</si>
  <si>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</si>
  <si>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</si>
  <si>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</si>
  <si>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</si>
  <si>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</si>
  <si>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</si>
  <si>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</si>
  <si>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</si>
  <si>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</si>
  <si>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</si>
  <si>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</si>
  <si>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</si>
  <si>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</si>
  <si>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</si>
  <si>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</si>
  <si>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</si>
  <si>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</si>
  <si>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</si>
  <si>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</si>
  <si>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</si>
  <si>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</si>
  <si>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</si>
  <si>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</si>
  <si>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</si>
  <si>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</si>
  <si>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</si>
  <si>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</si>
  <si>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</si>
  <si>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</si>
  <si>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</si>
  <si>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</si>
  <si>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</si>
  <si>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</si>
  <si>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</si>
  <si>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</si>
  <si>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</si>
  <si>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</si>
  <si>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</si>
  <si>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</si>
  <si>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</si>
  <si>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</si>
  <si>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</si>
  <si>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</si>
  <si>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</si>
  <si>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</si>
  <si>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</si>
  <si>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</si>
  <si>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</si>
  <si>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</si>
  <si>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</si>
  <si>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</si>
  <si>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</si>
  <si>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</si>
  <si>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</si>
  <si>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</si>
  <si>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</si>
  <si>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</si>
  <si>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</si>
  <si>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</si>
  <si>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</si>
  <si>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</si>
  <si>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</si>
  <si>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</si>
  <si>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</si>
  <si>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</si>
  <si>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</si>
  <si>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</si>
  <si>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</si>
  <si>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</si>
  <si>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</si>
  <si>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</si>
  <si>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</si>
  <si>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</si>
  <si>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</si>
  <si>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</si>
  <si>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</si>
  <si>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</si>
  <si>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</si>
  <si>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</si>
  <si>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</si>
  <si>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</si>
  <si>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</si>
  <si>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</si>
  <si>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</si>
  <si>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</si>
  <si>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</si>
  <si>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</si>
  <si>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</si>
  <si>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</si>
  <si>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</si>
  <si>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</si>
  <si>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</si>
  <si>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</si>
  <si>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</si>
  <si>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</si>
  <si>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</si>
  <si>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</si>
  <si>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</si>
  <si>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</si>
  <si>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</si>
  <si>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</si>
  <si>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</si>
  <si>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</si>
  <si>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</si>
  <si>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</si>
  <si>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</si>
  <si>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</si>
  <si>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</si>
  <si>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</si>
  <si>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</si>
  <si>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</si>
  <si>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</si>
  <si>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</si>
  <si>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</si>
  <si>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</si>
  <si>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</si>
  <si>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</si>
  <si>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</si>
  <si>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</si>
  <si>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</si>
  <si>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</si>
  <si>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</si>
  <si>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</si>
  <si>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</si>
  <si>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</si>
  <si>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</si>
  <si>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</si>
  <si>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</si>
  <si>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</si>
  <si>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</si>
  <si>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</si>
  <si>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</si>
  <si>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</si>
  <si>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</si>
  <si>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</si>
  <si>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</si>
  <si>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</si>
  <si>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</si>
  <si>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</si>
  <si>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</si>
  <si>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</si>
  <si>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</si>
  <si>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</si>
  <si>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</si>
  <si>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</si>
  <si>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</si>
  <si>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</si>
  <si>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</si>
  <si>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</si>
  <si>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</si>
  <si>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</si>
  <si>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</si>
  <si>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</si>
  <si>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</si>
  <si>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</si>
  <si>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</si>
  <si>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</si>
  <si>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</si>
  <si>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</si>
  <si>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</si>
  <si>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</si>
  <si>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</si>
  <si>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</si>
  <si>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</si>
  <si>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</si>
  <si>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</si>
  <si>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</si>
  <si>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</si>
  <si>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</si>
  <si>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</si>
  <si>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</si>
  <si>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</si>
  <si>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</si>
  <si>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</si>
  <si>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</si>
  <si>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</si>
  <si>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</si>
  <si>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</si>
  <si>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</si>
  <si>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</si>
  <si>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</si>
  <si>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</si>
  <si>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</si>
  <si>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</si>
  <si>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</si>
  <si>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</si>
  <si>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</si>
  <si>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</si>
  <si>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</si>
  <si>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</si>
  <si>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</si>
  <si>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</si>
  <si>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</si>
  <si>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</si>
  <si>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</si>
  <si>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</si>
  <si>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</si>
  <si>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</si>
  <si>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</si>
  <si>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</si>
  <si>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</si>
  <si>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</si>
  <si>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</si>
  <si>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</si>
  <si>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</si>
  <si>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</si>
  <si>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</si>
  <si>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</si>
  <si>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</si>
  <si>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</si>
  <si>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</si>
  <si>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</si>
  <si>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</si>
  <si>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</si>
  <si>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</si>
  <si>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</si>
  <si>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</si>
  <si>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</si>
  <si>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</si>
  <si>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</si>
  <si>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</si>
  <si>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</si>
  <si>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</si>
  <si>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</si>
  <si>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</si>
  <si>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</si>
  <si>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</si>
  <si>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</si>
  <si>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</si>
  <si>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</si>
  <si>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</si>
  <si>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</si>
  <si>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</si>
  <si>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</si>
  <si>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</si>
  <si>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</si>
  <si>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</si>
  <si>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</si>
  <si>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</si>
  <si>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</si>
  <si>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</si>
  <si>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</si>
  <si>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</si>
  <si>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</si>
  <si>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</si>
  <si>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</si>
  <si>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</si>
  <si>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</si>
  <si>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</si>
  <si>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</si>
  <si>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</si>
  <si>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</si>
  <si>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</si>
  <si>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</si>
  <si>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</si>
  <si>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</si>
  <si>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</si>
  <si>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</si>
  <si>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</si>
  <si>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</si>
  <si>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</si>
  <si>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</si>
  <si>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</si>
  <si>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</si>
  <si>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</si>
  <si>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</si>
  <si>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</si>
  <si>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</si>
  <si>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</si>
  <si>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</si>
  <si>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</si>
  <si>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</si>
  <si>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</si>
  <si>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</si>
  <si>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</si>
  <si>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</si>
  <si>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</si>
  <si>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</si>
  <si>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</si>
  <si>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</si>
  <si>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</si>
  <si>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</si>
  <si>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</si>
  <si>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</si>
  <si>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</si>
  <si>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</si>
  <si>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</si>
  <si>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</si>
  <si>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</si>
  <si>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</si>
  <si>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</si>
  <si>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</si>
  <si>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</si>
  <si>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</si>
  <si>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</si>
  <si>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</si>
  <si>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</si>
  <si>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</si>
  <si>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</si>
  <si>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</si>
  <si>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</si>
  <si>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</si>
  <si>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</si>
  <si>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</si>
  <si>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</si>
  <si>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</si>
  <si>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</si>
  <si>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</si>
  <si>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</si>
  <si>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</si>
  <si>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</si>
  <si>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</si>
  <si>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</si>
  <si>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</si>
  <si>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</si>
  <si>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</si>
  <si>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</si>
  <si>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</si>
  <si>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</si>
  <si>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</si>
  <si>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</si>
  <si>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</si>
  <si>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</si>
  <si>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</si>
  <si>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</si>
  <si>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</si>
  <si>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</si>
  <si>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</si>
  <si>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</si>
  <si>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</si>
  <si>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</si>
  <si>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</si>
  <si>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</si>
  <si>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</si>
  <si>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</si>
  <si>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</si>
  <si>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</si>
  <si>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</si>
  <si>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</si>
  <si>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</si>
  <si>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</si>
  <si>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</si>
  <si>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</si>
  <si>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</si>
  <si>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</si>
  <si>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</si>
  <si>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</si>
  <si>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</si>
  <si>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</si>
  <si>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</si>
  <si>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</si>
  <si>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</si>
  <si>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</si>
  <si>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</si>
  <si>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</si>
  <si>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</si>
  <si>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</si>
  <si>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</si>
  <si>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</si>
  <si>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</si>
  <si>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</si>
  <si>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</si>
  <si>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</si>
  <si>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</si>
  <si>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</si>
  <si>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</si>
  <si>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</si>
  <si>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</si>
  <si>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</si>
  <si>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</si>
  <si>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</si>
  <si>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</si>
  <si>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</si>
  <si>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</si>
  <si>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</si>
  <si>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</si>
  <si>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</si>
  <si>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</si>
  <si>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</si>
  <si>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</si>
  <si>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</si>
  <si>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</si>
  <si>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</si>
  <si>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</si>
  <si>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</si>
  <si>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</si>
  <si>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</si>
  <si>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</si>
  <si>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</si>
  <si>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</si>
  <si>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</si>
  <si>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</si>
  <si>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</si>
  <si>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</si>
  <si>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</si>
  <si>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</si>
  <si>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</si>
  <si>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</si>
  <si>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</si>
  <si>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</si>
  <si>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</si>
  <si>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</si>
  <si>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</si>
  <si>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</si>
  <si>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</si>
  <si>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</si>
  <si>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</si>
  <si>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</si>
  <si>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</si>
  <si>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</si>
  <si>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</si>
  <si>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</si>
  <si>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</si>
  <si>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</si>
  <si>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</si>
  <si>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</si>
  <si>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</si>
  <si>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</si>
  <si>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</si>
  <si>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</si>
  <si>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</si>
  <si>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</si>
  <si>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</si>
  <si>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</si>
  <si>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</si>
  <si>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</si>
  <si>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</si>
  <si>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</si>
  <si>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</si>
  <si>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</si>
  <si>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</si>
  <si>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</si>
  <si>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</si>
  <si>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</si>
  <si>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</si>
  <si>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</si>
  <si>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</si>
  <si>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</si>
  <si>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</si>
  <si>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</si>
  <si>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</si>
  <si>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</si>
  <si>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</si>
  <si>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</si>
  <si>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</si>
  <si>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</si>
  <si>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</si>
  <si>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</si>
  <si>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</si>
  <si>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</si>
  <si>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</si>
  <si>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</si>
  <si>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</si>
  <si>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</si>
  <si>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</si>
  <si>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</si>
  <si>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</si>
  <si>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</si>
  <si>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</si>
  <si>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</si>
  <si>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</si>
  <si>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</si>
  <si>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</si>
  <si>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</si>
  <si>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</si>
  <si>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</si>
  <si>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</si>
  <si>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</si>
  <si>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</si>
  <si>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</si>
  <si>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</si>
  <si>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</si>
  <si>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</si>
  <si>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</si>
  <si>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</si>
  <si>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</si>
  <si>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</si>
  <si>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</si>
  <si>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</si>
  <si>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</si>
  <si>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</si>
  <si>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</si>
  <si>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</si>
  <si>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</si>
  <si>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</si>
  <si>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</si>
  <si>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</si>
  <si>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</si>
  <si>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</si>
  <si>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</si>
  <si>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</si>
  <si>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</si>
  <si>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</si>
  <si>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</si>
  <si>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</si>
  <si>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</si>
  <si>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</si>
  <si>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</si>
  <si>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</si>
  <si>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</si>
  <si>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</si>
  <si>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</si>
  <si>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</si>
  <si>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</si>
  <si>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</si>
  <si>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</si>
  <si>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</si>
  <si>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</si>
  <si>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</si>
  <si>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</si>
  <si>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</si>
  <si>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</si>
  <si>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</si>
  <si>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</si>
  <si>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</si>
  <si>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</si>
  <si>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</si>
  <si>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</si>
  <si>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</si>
  <si>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</si>
  <si>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</si>
  <si>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</si>
  <si>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</si>
  <si>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</si>
  <si>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</si>
  <si>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</si>
  <si>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</si>
  <si>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</si>
  <si>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</si>
  <si>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</si>
  <si>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</si>
  <si>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</si>
  <si>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</si>
  <si>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</si>
  <si>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</si>
  <si>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</si>
  <si>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</si>
  <si>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</si>
  <si>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</si>
  <si>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</si>
  <si>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</si>
  <si>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</si>
  <si>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</si>
  <si>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</si>
  <si>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</si>
  <si>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</si>
  <si>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</si>
  <si>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</si>
  <si>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</si>
  <si>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</si>
  <si>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</si>
  <si>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</si>
  <si>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</si>
  <si>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</si>
  <si>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</si>
  <si>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</si>
  <si>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</si>
  <si>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</si>
  <si>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</si>
  <si>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</si>
  <si>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</si>
  <si>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</si>
  <si>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</si>
  <si>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</si>
  <si>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</si>
  <si>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</si>
  <si>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</si>
  <si>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</si>
  <si>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</si>
  <si>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</si>
  <si>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</si>
  <si>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</si>
  <si>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</si>
  <si>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</si>
  <si>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</si>
  <si>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</si>
  <si>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</si>
  <si>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</si>
  <si>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</si>
  <si>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</si>
  <si>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</si>
  <si>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</si>
  <si>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</si>
  <si>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</si>
  <si>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</si>
  <si>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</si>
  <si>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</si>
  <si>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</si>
  <si>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</si>
  <si>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</si>
  <si>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</si>
  <si>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</si>
  <si>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</si>
  <si>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</si>
  <si>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</si>
  <si>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</si>
  <si>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</si>
  <si>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</si>
  <si>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</si>
  <si>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</si>
  <si>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</si>
  <si>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</si>
  <si>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</si>
  <si>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</si>
  <si>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</si>
  <si>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</si>
  <si>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</si>
  <si>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</si>
  <si>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</si>
  <si>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</si>
  <si>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</si>
  <si>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</si>
  <si>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</si>
  <si>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</si>
  <si>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</si>
  <si>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</si>
  <si>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</si>
  <si>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</si>
  <si>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</si>
  <si>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</si>
  <si>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</si>
  <si>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</si>
  <si>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</si>
  <si>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</si>
  <si>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</si>
  <si>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</si>
  <si>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</si>
  <si>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</si>
  <si>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</si>
  <si>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</si>
  <si>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</si>
  <si>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</si>
  <si>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</si>
  <si>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</si>
  <si>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</si>
  <si>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</si>
  <si>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</si>
  <si>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</si>
  <si>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</si>
  <si>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</si>
  <si>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</si>
  <si>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</si>
  <si>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</si>
  <si>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</si>
  <si>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</si>
  <si>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</si>
  <si>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</si>
  <si>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</si>
  <si>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</si>
  <si>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</si>
  <si>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</si>
  <si>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</si>
  <si>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</si>
  <si>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</si>
  <si>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</si>
  <si>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</si>
  <si>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</si>
  <si>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</si>
  <si>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</si>
  <si>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</si>
  <si>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</si>
  <si>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</si>
  <si>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</si>
  <si>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</si>
  <si>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</si>
  <si>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</si>
  <si>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</si>
  <si>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</si>
  <si>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</si>
  <si>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</si>
  <si>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</si>
  <si>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</si>
  <si>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</si>
  <si>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</si>
  <si>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</si>
  <si>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</si>
  <si>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</si>
  <si>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</si>
  <si>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</si>
  <si>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</si>
  <si>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</si>
  <si>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</si>
  <si>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</si>
  <si>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</si>
  <si>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</si>
  <si>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</si>
  <si>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</si>
  <si>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</si>
  <si>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</si>
  <si>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</si>
  <si>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</si>
  <si>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</si>
  <si>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</si>
  <si>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</si>
  <si>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</si>
  <si>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</si>
  <si>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</si>
  <si>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</si>
  <si>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</si>
  <si>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</si>
  <si>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</si>
  <si>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</si>
  <si>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</si>
  <si>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</si>
  <si>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</si>
  <si>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</si>
  <si>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</si>
  <si>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</si>
  <si>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</si>
  <si>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</si>
  <si>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</si>
  <si>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</si>
  <si>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</si>
  <si>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</si>
  <si>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</si>
  <si>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</si>
  <si>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</si>
  <si>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</si>
  <si>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</si>
  <si>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</si>
  <si>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</si>
  <si>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</si>
  <si>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</si>
  <si>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</si>
  <si>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</si>
  <si>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</si>
  <si>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</si>
  <si>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</si>
  <si>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</si>
  <si>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</si>
  <si>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</si>
  <si>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</si>
  <si>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</si>
  <si>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</si>
  <si>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</si>
  <si>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</si>
  <si>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</si>
  <si>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</si>
  <si>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</si>
  <si>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</si>
  <si>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</si>
  <si>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</si>
  <si>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</si>
  <si>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</si>
  <si>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</si>
  <si>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</si>
  <si>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</si>
  <si>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</si>
  <si>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</si>
  <si>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</si>
  <si>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</si>
  <si>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</si>
  <si>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</si>
  <si>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</si>
  <si>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</si>
  <si>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</si>
  <si>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</si>
  <si>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</si>
  <si>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</si>
  <si>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</si>
  <si>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</si>
  <si>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</si>
  <si>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</si>
  <si>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</si>
  <si>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</si>
  <si>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</si>
  <si>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</si>
  <si>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</si>
  <si>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</si>
  <si>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</si>
  <si>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</si>
  <si>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</si>
  <si>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</si>
  <si>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</si>
  <si>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</si>
  <si>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</si>
  <si>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</si>
  <si>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</si>
  <si>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</si>
  <si>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</si>
  <si>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</si>
  <si>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</si>
  <si>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</si>
  <si>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</si>
  <si>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</si>
  <si>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</si>
  <si>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</si>
  <si>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</si>
  <si>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</si>
  <si>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</si>
  <si>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</si>
  <si>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</si>
  <si>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</si>
  <si>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</si>
  <si>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</si>
  <si>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</si>
  <si>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</si>
  <si>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</si>
  <si>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</si>
  <si>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</si>
  <si>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</si>
  <si>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</si>
  <si>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</si>
  <si>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</si>
  <si>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</si>
  <si>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</si>
  <si>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</si>
  <si>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</si>
  <si>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</si>
  <si>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</si>
  <si>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</si>
  <si>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</si>
  <si>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</si>
  <si>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</si>
  <si>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</si>
  <si>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</si>
  <si>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</si>
  <si>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</si>
  <si>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</si>
  <si>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</si>
  <si>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</si>
  <si>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</si>
  <si>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</si>
  <si>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</si>
  <si>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</si>
  <si>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</si>
  <si>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</si>
  <si>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</si>
  <si>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</si>
  <si>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</si>
  <si>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</si>
  <si>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</si>
  <si>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</si>
  <si>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</si>
  <si>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</si>
  <si>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</si>
  <si>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</si>
  <si>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</si>
  <si>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</si>
  <si>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</si>
  <si>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</si>
  <si>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</si>
  <si>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</si>
  <si>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</si>
  <si>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</si>
  <si>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</si>
  <si>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</si>
  <si>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</si>
  <si>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</si>
  <si>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</si>
  <si>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</si>
  <si>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</si>
  <si>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</si>
  <si>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</si>
  <si>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</si>
  <si>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</si>
  <si>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</si>
  <si>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</si>
  <si>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</si>
  <si>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</si>
  <si>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</si>
  <si>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</si>
  <si>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</si>
  <si>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</si>
  <si>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</si>
  <si>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</si>
  <si>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</si>
  <si>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</si>
  <si>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</si>
  <si>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</si>
  <si>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</si>
  <si>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</si>
  <si>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</si>
  <si>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</si>
  <si>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</si>
  <si>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</si>
  <si>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</si>
  <si>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</si>
  <si>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</si>
  <si>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</si>
  <si>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</si>
  <si>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</si>
  <si>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</si>
  <si>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</si>
  <si>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</si>
  <si>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</si>
  <si>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</si>
  <si>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</si>
  <si>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</si>
  <si>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</si>
  <si>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</si>
  <si>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</si>
  <si>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</si>
  <si>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</si>
  <si>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</si>
  <si>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</si>
  <si>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</si>
  <si>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</si>
  <si>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</si>
  <si>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</si>
  <si>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</si>
  <si>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</si>
  <si>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</si>
  <si>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</si>
  <si>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</si>
  <si>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</si>
  <si>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</si>
  <si>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</si>
  <si>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</si>
  <si>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</si>
  <si>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</si>
  <si>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</si>
  <si>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</si>
  <si>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</si>
  <si>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</si>
  <si>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</si>
  <si>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</si>
  <si>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</si>
  <si>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</si>
  <si>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</si>
  <si>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</si>
  <si>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</si>
  <si>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</si>
  <si>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</si>
  <si>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</si>
  <si>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</si>
  <si>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</si>
  <si>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</si>
  <si>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</si>
  <si>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</si>
  <si>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</si>
  <si>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</si>
  <si>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</si>
  <si>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</si>
  <si>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</si>
  <si>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</si>
  <si>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</si>
  <si>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</si>
  <si>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</si>
  <si>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</si>
  <si>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</si>
  <si>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</si>
  <si>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</si>
  <si>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</si>
  <si>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</si>
  <si>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</si>
  <si>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</si>
  <si>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</si>
  <si>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</si>
  <si>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</si>
  <si>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</si>
  <si>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</si>
  <si>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</si>
  <si>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</si>
  <si>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</si>
  <si>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</si>
  <si>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</si>
  <si>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</si>
  <si>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</si>
  <si>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</si>
  <si>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</si>
  <si>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</si>
  <si>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</si>
  <si>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</si>
  <si>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</si>
  <si>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</si>
  <si>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</si>
  <si>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</si>
  <si>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</si>
  <si>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</si>
  <si>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</si>
  <si>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</si>
  <si>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</si>
  <si>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</si>
  <si>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</si>
  <si>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</si>
  <si>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</si>
  <si>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</si>
  <si>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</si>
  <si>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</si>
  <si>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</si>
  <si>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</si>
  <si>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</si>
  <si>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</si>
  <si>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</si>
  <si>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</si>
  <si>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</si>
  <si>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</si>
  <si>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</si>
  <si>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</si>
  <si>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</si>
  <si>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</si>
  <si>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</si>
  <si>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</si>
  <si>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</si>
  <si>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</si>
  <si>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</si>
  <si>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</si>
  <si>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</si>
  <si>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</si>
  <si>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</si>
  <si>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</si>
  <si>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</si>
  <si>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</si>
  <si>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</si>
  <si>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</si>
  <si>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</si>
  <si>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</si>
  <si>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</si>
  <si>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</si>
  <si>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</si>
  <si>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</si>
  <si>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</si>
  <si>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</si>
  <si>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</si>
  <si>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</si>
  <si>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</si>
  <si>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</si>
  <si>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</si>
  <si>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</si>
  <si>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</si>
  <si>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</si>
  <si>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</si>
  <si>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</si>
  <si>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</si>
  <si>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</si>
  <si>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</si>
  <si>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</si>
  <si>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</si>
  <si>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</si>
  <si>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</si>
  <si>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</si>
  <si>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</si>
  <si>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</si>
  <si>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</si>
  <si>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</si>
  <si>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</si>
  <si>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</si>
  <si>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</si>
  <si>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</si>
  <si>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</si>
  <si>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</si>
  <si>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</si>
  <si>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</si>
  <si>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</si>
  <si>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</si>
  <si>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</si>
  <si>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</si>
  <si>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</si>
  <si>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</si>
  <si>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</si>
  <si>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</si>
  <si>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</si>
  <si>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</si>
  <si>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</si>
  <si>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</si>
  <si>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</si>
  <si>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</si>
  <si>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</si>
  <si>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</si>
  <si>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</si>
  <si>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</si>
  <si>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</si>
  <si>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</si>
  <si>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</si>
  <si>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</si>
  <si>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</si>
  <si>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</si>
  <si>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</si>
  <si>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</si>
  <si>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</si>
  <si>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</si>
  <si>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</si>
  <si>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</si>
  <si>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</si>
  <si>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</si>
  <si>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</si>
  <si>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</si>
  <si>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</si>
  <si>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</si>
  <si>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</si>
  <si>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</si>
  <si>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</si>
  <si>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</si>
  <si>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</si>
  <si>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</si>
  <si>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</si>
  <si>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</si>
  <si>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</si>
  <si>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</si>
  <si>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</si>
  <si>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</si>
  <si>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</si>
  <si>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</si>
  <si>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</si>
  <si>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</si>
  <si>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</si>
  <si>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</si>
  <si>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</si>
  <si>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</si>
  <si>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</si>
  <si>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</si>
  <si>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</si>
  <si>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</si>
  <si>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</si>
  <si>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</si>
  <si>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</si>
  <si>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</si>
  <si>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</si>
  <si>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</si>
  <si>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</si>
  <si>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</si>
  <si>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</si>
  <si>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</si>
  <si>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</si>
  <si>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</si>
  <si>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</si>
  <si>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</si>
  <si>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</si>
  <si>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</si>
  <si>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</si>
  <si>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</si>
  <si>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</si>
  <si>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</si>
  <si>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</si>
  <si>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</si>
  <si>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</si>
  <si>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</si>
  <si>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</si>
  <si>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</si>
  <si>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</si>
  <si>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</si>
  <si>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</si>
  <si>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</si>
  <si>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</si>
  <si>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</si>
  <si>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</si>
  <si>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</si>
  <si>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</si>
  <si>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</si>
  <si>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</si>
  <si>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</si>
  <si>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</si>
  <si>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</si>
  <si>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</si>
  <si>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</si>
  <si>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</si>
  <si>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</si>
  <si>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</si>
  <si>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</si>
  <si>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</si>
  <si>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</si>
  <si>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</si>
  <si>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</si>
  <si>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</si>
  <si>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</si>
  <si>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</si>
  <si>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</si>
  <si>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</si>
  <si>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</si>
  <si>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</si>
  <si>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</si>
  <si>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</si>
  <si>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</si>
  <si>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</si>
  <si>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</si>
  <si>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</si>
  <si>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</si>
  <si>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</si>
  <si>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</si>
  <si>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</si>
  <si>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</si>
  <si>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</si>
  <si>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</si>
  <si>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</si>
  <si>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</si>
  <si>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</si>
  <si>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</si>
  <si>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</si>
  <si>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</si>
  <si>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</si>
  <si>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</si>
  <si>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</si>
  <si>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</si>
  <si>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</si>
  <si>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</si>
  <si>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</si>
  <si>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</si>
  <si>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</si>
  <si>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</si>
  <si>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</si>
  <si>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</si>
  <si>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</si>
  <si>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</si>
  <si>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</si>
  <si>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</si>
  <si>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</si>
  <si>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</si>
  <si>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</si>
  <si>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</si>
  <si>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</si>
  <si>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</si>
  <si>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</si>
  <si>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</si>
  <si>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</si>
  <si>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</si>
  <si>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</si>
  <si>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</si>
  <si>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</si>
  <si>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</si>
  <si>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</si>
  <si>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</si>
  <si>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</si>
  <si>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</si>
  <si>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</si>
  <si>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</si>
  <si>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</si>
  <si>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</si>
  <si>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</si>
  <si>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</si>
  <si>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</si>
  <si>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</si>
  <si>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</si>
  <si>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</si>
  <si>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</si>
  <si>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</si>
  <si>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</si>
  <si>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</si>
  <si>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</si>
  <si>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</si>
  <si>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</si>
  <si>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</si>
  <si>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</si>
  <si>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</si>
  <si>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</si>
  <si>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</si>
  <si>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</si>
  <si>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</si>
  <si>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</si>
  <si>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</si>
  <si>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</si>
  <si>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</si>
  <si>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</si>
  <si>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</si>
  <si>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</si>
  <si>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</si>
  <si>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</si>
  <si>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</si>
  <si>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</si>
  <si>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</si>
  <si>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</si>
  <si>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</si>
  <si>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</si>
  <si>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</si>
  <si>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</si>
  <si>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</si>
  <si>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</si>
  <si>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</si>
  <si>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</si>
  <si>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</si>
  <si>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</si>
  <si>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</si>
  <si>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</si>
  <si>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</si>
  <si>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</si>
  <si>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</si>
  <si>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</si>
  <si>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</si>
  <si>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</si>
  <si>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</si>
  <si>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</si>
  <si>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</si>
  <si>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</si>
  <si>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</si>
  <si>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</si>
  <si>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</si>
  <si>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</si>
  <si>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</si>
  <si>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</si>
  <si>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</si>
  <si>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</si>
  <si>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</si>
  <si>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</si>
  <si>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</si>
  <si>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</si>
  <si>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</si>
  <si>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</si>
  <si>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</si>
  <si>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</si>
  <si>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</si>
  <si>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</si>
  <si>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</si>
  <si>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</si>
  <si>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</si>
  <si>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</si>
  <si>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</si>
  <si>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</si>
  <si>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</si>
  <si>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</si>
  <si>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</si>
  <si>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</si>
  <si>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</si>
  <si>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</si>
  <si>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</si>
  <si>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</si>
  <si>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</si>
  <si>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</si>
  <si>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</si>
  <si>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</si>
  <si>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</si>
  <si>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</si>
  <si>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</si>
  <si>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</si>
  <si>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</si>
  <si>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</si>
  <si>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</si>
  <si>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</si>
  <si>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</si>
  <si>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</si>
  <si>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</si>
  <si>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</si>
  <si>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</si>
  <si>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</si>
  <si>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</si>
  <si>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</si>
  <si>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</si>
  <si>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</si>
  <si>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</si>
  <si>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</si>
  <si>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</si>
  <si>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</si>
  <si>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</si>
  <si>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</si>
  <si>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</si>
  <si>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</si>
  <si>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</si>
  <si>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</si>
  <si>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</si>
  <si>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</si>
  <si>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</si>
  <si>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</si>
  <si>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</si>
  <si>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</si>
  <si>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</si>
  <si>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</si>
  <si>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</si>
  <si>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</si>
  <si>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</si>
  <si>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</si>
  <si>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</si>
  <si>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</si>
  <si>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</si>
  <si>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</si>
  <si>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</si>
  <si>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</si>
  <si>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</si>
  <si>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</si>
  <si>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</si>
  <si>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</si>
  <si>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</si>
  <si>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</si>
  <si>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</si>
  <si>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</si>
  <si>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</si>
  <si>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</si>
  <si>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</si>
  <si>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</si>
  <si>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</si>
  <si>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</si>
  <si>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</si>
  <si>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</si>
  <si>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</si>
  <si>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</si>
  <si>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</si>
  <si>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</si>
  <si>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</si>
  <si>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</si>
  <si>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</si>
  <si>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</si>
  <si>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</si>
  <si>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</si>
  <si>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</si>
  <si>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</si>
  <si>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</si>
  <si>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</si>
  <si>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</si>
  <si>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</si>
  <si>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</si>
  <si>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</si>
  <si>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</si>
  <si>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</si>
  <si>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</si>
  <si>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</si>
  <si>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</si>
  <si>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</si>
  <si>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</si>
  <si>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</si>
  <si>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</si>
  <si>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</si>
  <si>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</si>
  <si>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</si>
  <si>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</si>
  <si>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</si>
  <si>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</si>
  <si>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</si>
  <si>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</si>
  <si>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</si>
  <si>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</si>
  <si>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</si>
  <si>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</si>
  <si>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</si>
  <si>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</si>
  <si>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</si>
  <si>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</si>
  <si>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</si>
  <si>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</si>
  <si>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</si>
  <si>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</si>
  <si>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</si>
  <si>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</si>
  <si>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</si>
  <si>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</si>
  <si>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</si>
  <si>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</si>
  <si>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</si>
  <si>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</si>
  <si>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</si>
  <si>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</si>
  <si>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</si>
  <si>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</si>
  <si>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</si>
  <si>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</si>
  <si>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</si>
  <si>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</si>
  <si>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</si>
  <si>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</si>
  <si>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</si>
  <si>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</si>
  <si>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</si>
  <si>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</si>
  <si>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</si>
  <si>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</si>
  <si>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</si>
  <si>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</si>
  <si>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</si>
  <si>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</si>
  <si>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</si>
  <si>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</si>
  <si>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</si>
  <si>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</si>
  <si>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</si>
  <si>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</si>
  <si>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</si>
  <si>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</si>
  <si>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</si>
  <si>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</si>
  <si>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</si>
  <si>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</si>
  <si>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</si>
  <si>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</si>
  <si>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</si>
  <si>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</si>
  <si>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</si>
  <si>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</si>
  <si>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</si>
  <si>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</si>
  <si>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</si>
  <si>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</si>
  <si>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</si>
  <si>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</si>
  <si>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</si>
  <si>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</si>
  <si>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</si>
  <si>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</si>
  <si>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</si>
  <si>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</si>
  <si>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</si>
  <si>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</si>
  <si>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</si>
  <si>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</si>
  <si>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</si>
  <si>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</si>
  <si>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</si>
  <si>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</si>
  <si>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</si>
  <si>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</si>
  <si>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</si>
  <si>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</si>
  <si>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</si>
  <si>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</si>
  <si>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</si>
  <si>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</si>
  <si>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</si>
  <si>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</si>
  <si>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</si>
  <si>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</si>
  <si>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</si>
  <si>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</si>
  <si>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</si>
  <si>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</si>
  <si>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</si>
  <si>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</si>
  <si>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</si>
  <si>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</si>
  <si>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</si>
  <si>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</si>
  <si>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</si>
  <si>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</si>
  <si>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</si>
  <si>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</si>
  <si>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</si>
  <si>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</si>
  <si>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</si>
  <si>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</si>
  <si>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</si>
  <si>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</si>
  <si>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</si>
  <si>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</si>
  <si>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</si>
  <si>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</si>
  <si>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</si>
  <si>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</si>
  <si>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</si>
  <si>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</si>
  <si>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</si>
  <si>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</si>
  <si>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</si>
  <si>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</si>
  <si>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</si>
  <si>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</si>
  <si>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</si>
  <si>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</si>
  <si>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</si>
  <si>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</si>
  <si>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</si>
  <si>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</si>
  <si>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</si>
  <si>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</si>
  <si>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</si>
  <si>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</si>
  <si>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</si>
  <si>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</si>
  <si>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</si>
  <si>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</si>
  <si>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</si>
  <si>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</si>
  <si>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</si>
  <si>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</si>
  <si>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</si>
  <si>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</si>
  <si>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</si>
  <si>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</si>
  <si>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</si>
  <si>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</si>
  <si>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</si>
  <si>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</si>
  <si>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</si>
  <si>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</si>
  <si>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</si>
  <si>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</si>
  <si>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</si>
  <si>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</si>
  <si>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</si>
  <si>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</si>
  <si>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</si>
  <si>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</si>
  <si>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</si>
  <si>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</si>
  <si>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</si>
  <si>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</si>
  <si>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</si>
  <si>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</si>
  <si>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</si>
  <si>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</si>
  <si>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</si>
  <si>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</si>
  <si>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</si>
  <si>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</si>
  <si>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</si>
  <si>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</si>
  <si>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</si>
  <si>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</si>
  <si>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</si>
  <si>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</si>
  <si>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</si>
  <si>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</si>
  <si>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</si>
  <si>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</si>
  <si>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</si>
  <si>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</si>
  <si>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</si>
  <si>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</si>
  <si>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</si>
  <si>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</si>
  <si>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</si>
  <si>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</si>
  <si>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</si>
  <si>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</si>
  <si>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</si>
  <si>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</si>
  <si>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</si>
  <si>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</si>
  <si>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</si>
  <si>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</si>
  <si>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</si>
  <si>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</si>
  <si>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</si>
  <si>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</si>
  <si>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</si>
  <si>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</si>
  <si>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</si>
  <si>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</si>
  <si>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</si>
  <si>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</si>
  <si>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</si>
  <si>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</si>
  <si>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</si>
  <si>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</si>
  <si>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</si>
  <si>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</si>
  <si>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</si>
  <si>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</si>
  <si>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</si>
  <si>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</si>
  <si>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</si>
  <si>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</si>
  <si>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</si>
  <si>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</si>
  <si>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</si>
  <si>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</si>
  <si>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</si>
  <si>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</si>
  <si>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</si>
  <si>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</si>
  <si>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</si>
  <si>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</si>
  <si>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</si>
  <si>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</si>
  <si>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</si>
  <si>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</si>
  <si>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</si>
  <si>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</si>
  <si>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</si>
  <si>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</si>
  <si>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</si>
  <si>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</si>
  <si>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</si>
  <si>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</si>
  <si>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</si>
  <si>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</si>
  <si>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</si>
  <si>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</si>
  <si>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</si>
  <si>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</si>
  <si>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</si>
  <si>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</si>
  <si>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</si>
  <si>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</si>
  <si>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</si>
  <si>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</si>
  <si>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</si>
  <si>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</si>
  <si>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</si>
  <si>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</si>
  <si>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</si>
  <si>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</si>
  <si>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</si>
  <si>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</si>
  <si>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</si>
  <si>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</si>
  <si>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</si>
  <si>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</si>
  <si>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</si>
  <si>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</si>
  <si>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</si>
  <si>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</si>
  <si>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</si>
  <si>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</si>
  <si>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</si>
  <si>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</si>
  <si>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</si>
  <si>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</si>
  <si>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</si>
  <si>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</si>
  <si>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</si>
  <si>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</si>
  <si>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</si>
  <si>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</si>
  <si>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</si>
  <si>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</si>
  <si>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</si>
  <si>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</si>
  <si>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</si>
  <si>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</si>
  <si>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</si>
  <si>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</si>
  <si>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</si>
  <si>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</si>
  <si>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</si>
  <si>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</si>
  <si>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</si>
  <si>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</si>
  <si>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</si>
  <si>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</si>
  <si>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</si>
  <si>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</si>
  <si>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</si>
  <si>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</si>
  <si>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</si>
  <si>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</si>
  <si>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</si>
  <si>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</si>
  <si>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</si>
  <si>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</si>
  <si>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</si>
  <si>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</si>
  <si>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</si>
  <si>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</si>
  <si>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</si>
  <si>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</si>
  <si>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</si>
  <si>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</si>
  <si>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</si>
  <si>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</si>
  <si>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</si>
  <si>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</si>
  <si>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</si>
  <si>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</si>
  <si>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</si>
  <si>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</si>
  <si>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</si>
  <si>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</si>
  <si>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</si>
  <si>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</si>
  <si>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</si>
  <si>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</si>
  <si>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</si>
  <si>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</si>
  <si>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</si>
  <si>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</si>
  <si>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</si>
  <si>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</si>
  <si>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</si>
  <si>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</si>
  <si>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</si>
  <si>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</si>
  <si>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</si>
  <si>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</si>
  <si>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</si>
  <si>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</si>
  <si>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</si>
  <si>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</si>
  <si>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</si>
  <si>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</si>
  <si>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</si>
  <si>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</si>
  <si>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</si>
  <si>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</si>
  <si>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</si>
  <si>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</si>
  <si>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</si>
  <si>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</si>
  <si>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</si>
  <si>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</si>
  <si>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</si>
  <si>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</si>
  <si>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</si>
  <si>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</si>
  <si>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</si>
  <si>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</si>
  <si>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</si>
  <si>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</si>
  <si>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</si>
  <si>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</si>
  <si>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</si>
  <si>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</si>
  <si>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</si>
  <si>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</si>
  <si>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</si>
  <si>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</si>
  <si>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</si>
  <si>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</si>
  <si>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</si>
  <si>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</si>
  <si>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</si>
  <si>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</si>
  <si>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</si>
  <si>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</si>
  <si>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</si>
  <si>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</si>
  <si>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</si>
  <si>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</si>
  <si>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</si>
  <si>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</si>
  <si>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</si>
  <si>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</si>
  <si>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</si>
  <si>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</si>
  <si>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</si>
  <si>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</si>
  <si>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</si>
  <si>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</si>
  <si>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</si>
  <si>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</si>
  <si>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</si>
  <si>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</si>
  <si>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</si>
  <si>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</si>
  <si>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</si>
  <si>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</si>
  <si>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</si>
  <si>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</si>
  <si>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</si>
  <si>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</si>
  <si>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</si>
  <si>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</si>
  <si>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</si>
  <si>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</si>
  <si>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</si>
  <si>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</si>
  <si>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</si>
  <si>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</si>
  <si>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</si>
  <si>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</si>
  <si>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</si>
  <si>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</si>
  <si>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</si>
  <si>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</si>
  <si>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</si>
  <si>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</si>
  <si>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</si>
  <si>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</si>
  <si>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</si>
  <si>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</si>
  <si>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</si>
  <si>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</si>
  <si>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</si>
  <si>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</si>
  <si>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</si>
  <si>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</si>
  <si>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</si>
  <si>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</si>
  <si>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</si>
  <si>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</si>
  <si>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</si>
  <si>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</si>
  <si>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</si>
  <si>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</si>
  <si>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</si>
  <si>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</si>
  <si>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</si>
  <si>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</si>
  <si>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</si>
  <si>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</si>
  <si>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</si>
  <si>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</si>
  <si>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</si>
  <si>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</si>
  <si>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</si>
  <si>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</si>
  <si>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</si>
  <si>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</si>
  <si>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</si>
  <si>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</si>
  <si>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</si>
  <si>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</si>
  <si>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</si>
  <si>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</si>
  <si>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</si>
  <si>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</si>
  <si>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</si>
  <si>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</si>
  <si>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</si>
  <si>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</si>
  <si>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</si>
  <si>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</si>
  <si>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</si>
  <si>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</si>
  <si>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</si>
  <si>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</si>
  <si>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</si>
  <si>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</si>
  <si>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</si>
  <si>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</si>
  <si>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</si>
  <si>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</si>
  <si>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</si>
  <si>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</si>
  <si>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</si>
  <si>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</si>
  <si>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</si>
  <si>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</si>
  <si>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</si>
  <si>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</si>
  <si>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</si>
  <si>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</si>
  <si>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</si>
  <si>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</si>
  <si>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</si>
  <si>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</si>
  <si>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</si>
  <si>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</si>
  <si>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</si>
  <si>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</si>
  <si>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</si>
  <si>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</si>
  <si>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</si>
  <si>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</si>
  <si>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</si>
  <si>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</si>
  <si>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</si>
  <si>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</si>
  <si>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</si>
  <si>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</si>
  <si>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</si>
  <si>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</si>
  <si>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</si>
  <si>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</si>
  <si>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</si>
  <si>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</si>
  <si>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</si>
  <si>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</si>
  <si>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</si>
  <si>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</si>
  <si>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</si>
  <si>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</si>
  <si>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</si>
  <si>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</si>
  <si>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</si>
  <si>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</si>
  <si>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</si>
  <si>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</si>
  <si>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</si>
  <si>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</si>
  <si>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</si>
  <si>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</si>
  <si>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</si>
  <si>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</si>
  <si>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</si>
  <si>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</si>
  <si>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</si>
  <si>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</si>
  <si>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</si>
  <si>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</si>
  <si>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</si>
  <si>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</si>
  <si>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</si>
  <si>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</si>
  <si>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</si>
  <si>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</si>
  <si>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</si>
  <si>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</si>
  <si>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</si>
  <si>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</si>
  <si>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</si>
  <si>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</si>
  <si>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</si>
  <si>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</si>
  <si>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</si>
  <si>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</si>
  <si>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</si>
  <si>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</si>
  <si>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</si>
  <si>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</si>
  <si>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</si>
  <si>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</si>
  <si>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</si>
  <si>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</si>
  <si>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</si>
  <si>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</si>
  <si>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</si>
  <si>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</si>
  <si>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</si>
  <si>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</si>
  <si>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</si>
  <si>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</si>
  <si>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</si>
  <si>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</si>
  <si>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</si>
  <si>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</si>
  <si>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</si>
  <si>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</si>
  <si>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</si>
  <si>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</si>
  <si>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</si>
  <si>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</si>
  <si>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</si>
  <si>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</si>
  <si>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</si>
  <si>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</si>
  <si>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</si>
  <si>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</si>
  <si>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</si>
  <si>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</si>
  <si>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</si>
  <si>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</si>
  <si>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</si>
  <si>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</si>
  <si>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</si>
  <si>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</si>
  <si>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</si>
  <si>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</si>
  <si>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</si>
  <si>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</si>
  <si>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</si>
  <si>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</si>
  <si>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</si>
  <si>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</si>
  <si>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</si>
  <si>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</si>
  <si>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</si>
  <si>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</si>
  <si>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</si>
  <si>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</si>
  <si>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</si>
  <si>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</si>
  <si>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</si>
  <si>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</si>
  <si>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</si>
  <si>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</si>
  <si>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</si>
  <si>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</si>
  <si>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</si>
  <si>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</si>
  <si>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</si>
  <si>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</si>
  <si>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</si>
  <si>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</si>
  <si>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</si>
  <si>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</si>
  <si>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</si>
  <si>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</si>
  <si>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</si>
  <si>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</si>
  <si>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</si>
  <si>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</si>
  <si>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</si>
  <si>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</si>
  <si>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</si>
  <si>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</si>
  <si>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</si>
  <si>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</si>
  <si>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</si>
  <si>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</si>
  <si>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</si>
  <si>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</si>
  <si>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</si>
  <si>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</si>
  <si>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</si>
  <si>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</si>
  <si>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</si>
  <si>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</si>
  <si>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</si>
  <si>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</si>
  <si>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</si>
  <si>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</si>
  <si>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</si>
  <si>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</si>
  <si>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</si>
  <si>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</si>
  <si>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</si>
  <si>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</si>
  <si>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</si>
  <si>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</si>
  <si>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</si>
  <si>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</si>
  <si>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</si>
  <si>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</si>
  <si>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</si>
  <si>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</si>
  <si>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</si>
  <si>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</si>
  <si>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</si>
  <si>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</si>
  <si>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</si>
  <si>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</si>
  <si>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</si>
  <si>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</si>
  <si>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</si>
  <si>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</si>
  <si>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</si>
  <si>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</si>
  <si>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</si>
  <si>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</si>
  <si>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</si>
  <si>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</si>
  <si>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</si>
  <si>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</si>
  <si>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</si>
  <si>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</si>
  <si>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</si>
  <si>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</si>
  <si>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</si>
  <si>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</si>
  <si>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</si>
  <si>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</si>
  <si>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</si>
  <si>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</si>
  <si>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</si>
  <si>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</si>
  <si>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</si>
  <si>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</si>
  <si>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</si>
  <si>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</si>
  <si>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</si>
  <si>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</si>
  <si>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</si>
  <si>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</si>
  <si>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</si>
  <si>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</si>
  <si>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</si>
  <si>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</si>
  <si>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</si>
  <si>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</si>
  <si>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</si>
  <si>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</si>
  <si>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</si>
  <si>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</si>
  <si>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</si>
  <si>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</si>
  <si>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</si>
  <si>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</si>
  <si>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</si>
  <si>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</si>
  <si>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</si>
  <si>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</si>
  <si>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</si>
  <si>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</si>
  <si>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</si>
  <si>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</si>
  <si>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</si>
  <si>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</si>
  <si>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</si>
  <si>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</si>
  <si>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</si>
  <si>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</si>
  <si>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</si>
  <si>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</si>
  <si>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</si>
  <si>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</si>
  <si>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</si>
  <si>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</si>
  <si>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</si>
  <si>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</si>
  <si>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</si>
  <si>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</si>
  <si>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</si>
  <si>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</si>
  <si>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</si>
  <si>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</si>
  <si>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</si>
  <si>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</si>
  <si>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</si>
  <si>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</si>
  <si>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</si>
  <si>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</si>
  <si>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</si>
  <si>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</si>
  <si>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</si>
  <si>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</si>
  <si>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</si>
  <si>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</si>
  <si>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</si>
  <si>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</si>
  <si>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</si>
  <si>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</si>
  <si>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</si>
  <si>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</si>
  <si>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</si>
  <si>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</si>
  <si>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</si>
  <si>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</si>
  <si>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</si>
  <si>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</si>
  <si>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</si>
  <si>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</si>
  <si>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</si>
  <si>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</si>
  <si>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</si>
  <si>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</si>
  <si>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</si>
  <si>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</si>
  <si>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</si>
  <si>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</si>
  <si>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</si>
  <si>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</si>
  <si>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</si>
  <si>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</si>
  <si>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</si>
  <si>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</si>
  <si>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</si>
  <si>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</si>
  <si>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</si>
  <si>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</si>
  <si>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</si>
  <si>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</si>
  <si>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</si>
  <si>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</si>
  <si>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</si>
  <si>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</si>
  <si>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</si>
  <si>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</si>
  <si>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</si>
  <si>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</si>
  <si>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</si>
  <si>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</si>
  <si>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</si>
  <si>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</si>
  <si>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</si>
  <si>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</si>
  <si>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</si>
  <si>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</si>
  <si>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</si>
  <si>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</si>
  <si>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</si>
  <si>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</si>
  <si>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</si>
  <si>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</si>
  <si>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</si>
  <si>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</si>
  <si>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</si>
  <si>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</si>
  <si>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</si>
  <si>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</si>
  <si>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</si>
  <si>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</si>
  <si>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</si>
  <si>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</si>
  <si>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</si>
  <si>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</si>
  <si>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</si>
  <si>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</si>
  <si>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</si>
  <si>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</si>
  <si>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</si>
  <si>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</si>
  <si>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</si>
  <si>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</si>
  <si>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</si>
  <si>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</si>
  <si>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</si>
  <si>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</si>
  <si>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</si>
  <si>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</si>
  <si>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</si>
  <si>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</si>
  <si>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</si>
  <si>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</si>
  <si>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</si>
  <si>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</si>
  <si>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</si>
  <si>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</si>
  <si>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</si>
  <si>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</si>
  <si>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</si>
  <si>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</si>
  <si>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</si>
  <si>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</si>
  <si>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</si>
  <si>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</si>
  <si>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</si>
  <si>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</si>
  <si>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</si>
  <si>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</si>
  <si>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</si>
  <si>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</si>
  <si>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</si>
  <si>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</si>
  <si>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</si>
  <si>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</si>
  <si>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</si>
  <si>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</si>
  <si>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</si>
  <si>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</si>
  <si>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</si>
  <si>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</si>
  <si>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</si>
  <si>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</si>
  <si>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</si>
  <si>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</si>
  <si>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</si>
  <si>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</si>
  <si>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</si>
  <si>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</si>
  <si>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</si>
  <si>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</si>
  <si>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</si>
  <si>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</si>
  <si>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</si>
  <si>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</si>
  <si>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</si>
  <si>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</si>
  <si>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</si>
  <si>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</si>
  <si>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</si>
  <si>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</si>
  <si>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</si>
  <si>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</si>
  <si>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</si>
  <si>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</si>
  <si>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</si>
  <si>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</si>
  <si>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</si>
  <si>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</si>
  <si>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</si>
  <si>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</si>
  <si>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</si>
  <si>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</si>
  <si>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</si>
  <si>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</si>
  <si>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</si>
  <si>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</si>
  <si>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</si>
  <si>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</si>
  <si>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</si>
  <si>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</si>
  <si>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</si>
  <si>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</si>
  <si>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</si>
  <si>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</si>
  <si>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</si>
  <si>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</si>
  <si>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</si>
  <si>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</si>
  <si>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</si>
  <si>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</si>
  <si>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</si>
  <si>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</si>
  <si>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</si>
  <si>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</si>
  <si>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</si>
  <si>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</si>
  <si>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</si>
  <si>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</si>
  <si>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</si>
  <si>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</si>
  <si>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</si>
  <si>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</si>
  <si>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</si>
  <si>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</si>
  <si>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</si>
  <si>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</si>
  <si>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</si>
  <si>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</si>
  <si>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</si>
  <si>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</si>
  <si>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</si>
  <si>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</si>
  <si>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</si>
  <si>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</si>
  <si>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</si>
  <si>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</si>
  <si>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</si>
  <si>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</si>
  <si>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</si>
  <si>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</si>
  <si>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</si>
  <si>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</si>
  <si>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</si>
  <si>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</si>
  <si>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</si>
  <si>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</si>
  <si>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</si>
  <si>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</si>
  <si>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</si>
  <si>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</si>
  <si>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</si>
  <si>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</si>
  <si>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</si>
  <si>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</si>
  <si>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</si>
  <si>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</si>
  <si>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</si>
  <si>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</si>
  <si>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</si>
  <si>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</si>
  <si>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</si>
  <si>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</si>
  <si>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</si>
  <si>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</si>
  <si>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</si>
  <si>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</si>
  <si>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</si>
  <si>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</si>
  <si>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</si>
  <si>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</si>
  <si>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</si>
  <si>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</si>
  <si>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</si>
  <si>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</si>
  <si>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</si>
  <si>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</si>
  <si>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</si>
  <si>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</si>
  <si>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</si>
  <si>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</si>
  <si>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</si>
  <si>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</si>
  <si>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</si>
  <si>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</si>
  <si>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</si>
  <si>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</si>
  <si>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</si>
  <si>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</si>
  <si>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</si>
  <si>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</si>
  <si>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</si>
  <si>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</si>
  <si>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</si>
  <si>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</si>
  <si>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</si>
  <si>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</si>
  <si>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</si>
  <si>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</si>
  <si>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</si>
  <si>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</si>
  <si>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</si>
  <si>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</si>
  <si>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</si>
  <si>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</si>
  <si>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</si>
  <si>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</si>
  <si>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</si>
  <si>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</si>
  <si>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</si>
  <si>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</si>
  <si>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</si>
  <si>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</si>
  <si>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</si>
  <si>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</si>
  <si>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</si>
  <si>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</si>
  <si>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</si>
  <si>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</si>
  <si>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</si>
  <si>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</si>
  <si>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</si>
  <si>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</si>
  <si>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</si>
  <si>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</si>
  <si>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</si>
  <si>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</si>
  <si>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</si>
  <si>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</si>
  <si>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</si>
  <si>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</si>
  <si>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</si>
  <si>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</si>
  <si>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</si>
  <si>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</si>
  <si>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</si>
  <si>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</si>
  <si>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</si>
  <si>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</si>
  <si>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</si>
  <si>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</si>
  <si>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</si>
  <si>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</si>
  <si>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</si>
  <si>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</si>
  <si>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</si>
  <si>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</si>
  <si>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</si>
  <si>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</si>
  <si>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</si>
  <si>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</si>
  <si>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</si>
  <si>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</si>
  <si>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</si>
  <si>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</si>
  <si>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</si>
  <si>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</si>
  <si>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</si>
  <si>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</si>
  <si>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</si>
  <si>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</si>
  <si>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</si>
  <si>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</si>
  <si>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</si>
  <si>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</si>
  <si>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</si>
  <si>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</si>
  <si>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</si>
  <si>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</si>
  <si>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</si>
  <si>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</si>
  <si>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</si>
  <si>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</si>
  <si>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</si>
  <si>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</si>
  <si>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</si>
  <si>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</si>
  <si>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</si>
  <si>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</si>
  <si>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</si>
  <si>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</si>
  <si>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</si>
  <si>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</si>
  <si>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</si>
  <si>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</si>
  <si>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</si>
  <si>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</si>
  <si>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</si>
  <si>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</si>
  <si>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</si>
  <si>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</si>
  <si>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</si>
  <si>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</si>
  <si>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</si>
  <si>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</si>
  <si>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</si>
  <si>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</si>
  <si>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</si>
  <si>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</si>
  <si>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</si>
  <si>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</si>
  <si>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</si>
  <si>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</si>
  <si>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</si>
  <si>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</si>
  <si>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</si>
  <si>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</si>
  <si>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</si>
  <si>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</si>
  <si>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</si>
  <si>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</si>
  <si>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</si>
  <si>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</si>
  <si>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</si>
  <si>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</si>
  <si>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</si>
  <si>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</si>
  <si>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</si>
  <si>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</si>
  <si>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</si>
  <si>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</si>
  <si>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</si>
  <si>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</si>
  <si>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</si>
  <si>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</si>
  <si>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</si>
  <si>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</si>
  <si>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</si>
  <si>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</si>
  <si>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</si>
  <si>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</si>
  <si>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</si>
  <si>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</si>
  <si>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</si>
  <si>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</si>
  <si>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</si>
  <si>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</si>
  <si>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</si>
  <si>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</si>
  <si>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</si>
  <si>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</si>
  <si>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</si>
  <si>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</si>
  <si>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</si>
  <si>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</si>
  <si>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</si>
  <si>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</si>
  <si>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</si>
  <si>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</si>
  <si>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</si>
  <si>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</si>
  <si>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</si>
  <si>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</si>
  <si>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</si>
  <si>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</si>
  <si>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</si>
  <si>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</si>
  <si>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</si>
  <si>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</si>
  <si>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</si>
  <si>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</si>
  <si>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</si>
  <si>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</si>
  <si>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</si>
  <si>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</si>
  <si>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</si>
  <si>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</si>
  <si>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</si>
  <si>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</si>
  <si>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</si>
  <si>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</si>
  <si>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</si>
  <si>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</si>
  <si>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</si>
  <si>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</si>
  <si>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</si>
  <si>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</si>
  <si>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</si>
  <si>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</si>
  <si>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</si>
  <si>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</si>
  <si>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</si>
  <si>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</si>
  <si>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</si>
  <si>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</si>
  <si>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</si>
  <si>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</si>
  <si>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</si>
  <si>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</si>
  <si>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</si>
  <si>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</si>
  <si>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</si>
  <si>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</si>
  <si>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</si>
  <si>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</si>
  <si>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</si>
  <si>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</si>
  <si>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</si>
  <si>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</si>
  <si>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</si>
  <si>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</si>
  <si>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</si>
  <si>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</si>
  <si>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</si>
  <si>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</si>
  <si>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</si>
  <si>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</si>
  <si>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</si>
  <si>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</si>
  <si>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</si>
  <si>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</si>
  <si>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</si>
  <si>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</si>
  <si>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</si>
  <si>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</si>
  <si>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</si>
  <si>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</si>
  <si>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</si>
  <si>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</si>
  <si>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</si>
  <si>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</si>
  <si>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</si>
  <si>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</si>
  <si>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</si>
  <si>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</si>
  <si>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</si>
  <si>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</si>
  <si>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</si>
  <si>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</si>
  <si>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</si>
  <si>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</si>
  <si>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</si>
  <si>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</si>
  <si>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</si>
  <si>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</si>
  <si>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</si>
  <si>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</si>
  <si>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</si>
  <si>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</si>
  <si>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</si>
  <si>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</si>
  <si>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</si>
  <si>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</si>
  <si>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</si>
  <si>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</si>
  <si>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</si>
  <si>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</si>
  <si>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</si>
  <si>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</si>
  <si>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</si>
  <si>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</si>
  <si>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</si>
  <si>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</si>
  <si>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</si>
  <si>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</si>
  <si>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</si>
  <si>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</si>
  <si>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</si>
  <si>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</si>
  <si>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</si>
  <si>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</si>
  <si>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</si>
  <si>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</si>
  <si>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</si>
  <si>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</si>
  <si>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</si>
  <si>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</si>
  <si>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</si>
  <si>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</si>
  <si>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</si>
  <si>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</si>
  <si>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</si>
  <si>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</si>
  <si>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</si>
  <si>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</si>
  <si>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</si>
  <si>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</si>
  <si>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</si>
  <si>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</si>
  <si>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</si>
  <si>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</si>
  <si>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</si>
  <si>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</si>
  <si>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</si>
  <si>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</si>
  <si>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</si>
  <si>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</si>
  <si>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</si>
  <si>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</si>
  <si>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</si>
  <si>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</si>
  <si>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</si>
  <si>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</si>
  <si>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</si>
  <si>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</si>
  <si>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</si>
  <si>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</si>
  <si>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</si>
  <si>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</si>
  <si>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</si>
  <si>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</si>
  <si>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</si>
  <si>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</si>
  <si>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</si>
  <si>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</si>
  <si>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</si>
  <si>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</si>
  <si>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</si>
  <si>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</si>
  <si>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</si>
  <si>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</si>
  <si>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</si>
  <si>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</si>
  <si>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</si>
  <si>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</si>
  <si>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</si>
  <si>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</si>
  <si>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</si>
  <si>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</si>
  <si>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</si>
  <si>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</si>
  <si>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</si>
  <si>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</si>
  <si>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</si>
  <si>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</si>
  <si>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</si>
  <si>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</si>
  <si>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</si>
  <si>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</si>
  <si>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</si>
  <si>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</si>
  <si>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</si>
  <si>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</si>
  <si>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</si>
  <si>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</si>
  <si>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</si>
  <si>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</si>
  <si>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</si>
  <si>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</si>
  <si>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</si>
  <si>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</si>
  <si>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</si>
  <si>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</si>
  <si>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</si>
  <si>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</si>
  <si>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</si>
  <si>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</si>
  <si>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</si>
  <si>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</si>
  <si>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</si>
  <si>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</si>
  <si>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</si>
  <si>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</si>
  <si>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</si>
  <si>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</si>
  <si>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</si>
  <si>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</si>
  <si>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</si>
  <si>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</si>
  <si>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</si>
  <si>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</si>
  <si>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</si>
  <si>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</si>
  <si>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</si>
  <si>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</si>
  <si>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</si>
  <si>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</si>
  <si>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</si>
  <si>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</si>
  <si>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</si>
  <si>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</si>
  <si>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</si>
  <si>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</si>
  <si>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</si>
  <si>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</si>
  <si>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</si>
  <si>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</si>
  <si>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</si>
  <si>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</si>
  <si>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</si>
  <si>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</si>
  <si>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</si>
  <si>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</si>
  <si>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</si>
  <si>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</si>
  <si>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</si>
  <si>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</si>
  <si>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</si>
  <si>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</si>
  <si>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</si>
  <si>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</si>
  <si>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</si>
  <si>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</si>
  <si>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</si>
  <si>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</si>
  <si>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</si>
  <si>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</si>
  <si>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</si>
  <si>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</si>
  <si>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</si>
  <si>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</si>
  <si>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</si>
  <si>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</si>
  <si>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</si>
  <si>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</si>
  <si>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</si>
  <si>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</si>
  <si>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</si>
  <si>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</si>
  <si>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</si>
  <si>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</si>
  <si>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</si>
  <si>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</si>
  <si>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</si>
  <si>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</si>
  <si>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</si>
  <si>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</si>
  <si>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</si>
  <si>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</si>
  <si>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</si>
  <si>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</si>
  <si>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</si>
  <si>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</si>
  <si>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</si>
  <si>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</si>
  <si>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</si>
  <si>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</si>
  <si>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</si>
  <si>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</si>
  <si>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</si>
  <si>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</si>
  <si>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</si>
  <si>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</si>
  <si>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</si>
  <si>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</si>
  <si>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</si>
  <si>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</si>
  <si>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</si>
  <si>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</si>
  <si>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</si>
  <si>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</si>
  <si>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</si>
  <si>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</si>
  <si>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</si>
  <si>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</si>
  <si>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</si>
  <si>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</si>
  <si>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</si>
  <si>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</si>
  <si>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</si>
  <si>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</si>
  <si>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</si>
  <si>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</si>
  <si>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</si>
  <si>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</si>
  <si>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</si>
  <si>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</si>
  <si>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</si>
  <si>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</si>
  <si>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</si>
  <si>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</si>
  <si>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</si>
  <si>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</si>
  <si>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</si>
  <si>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</si>
  <si>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</si>
  <si>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</si>
  <si>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</si>
  <si>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</si>
  <si>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</si>
  <si>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</si>
  <si>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</si>
  <si>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</si>
  <si>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</si>
  <si>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</si>
  <si>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</si>
  <si>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</si>
  <si>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</si>
  <si>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</si>
  <si>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</si>
  <si>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</si>
  <si>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</si>
  <si>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</si>
  <si>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</si>
  <si>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</si>
  <si>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</si>
  <si>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</si>
  <si>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</si>
  <si>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</si>
  <si>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</si>
  <si>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</si>
  <si>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</si>
  <si>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</si>
  <si>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</si>
  <si>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</si>
  <si>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</si>
  <si>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</si>
  <si>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</si>
  <si>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</si>
  <si>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</si>
  <si>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</si>
  <si>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</si>
  <si>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</si>
  <si>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</si>
  <si>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</si>
  <si>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</si>
  <si>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</si>
  <si>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</si>
  <si>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</si>
  <si>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</si>
  <si>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</si>
  <si>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</si>
  <si>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</si>
  <si>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</si>
  <si>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</si>
  <si>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</si>
  <si>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</si>
  <si>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</si>
  <si>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</si>
  <si>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</si>
  <si>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</si>
  <si>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</si>
  <si>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</si>
  <si>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</si>
  <si>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</si>
  <si>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</si>
  <si>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</si>
  <si>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</si>
  <si>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</si>
  <si>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</si>
  <si>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</si>
  <si>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</si>
  <si>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</si>
  <si>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</si>
  <si>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</si>
  <si>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</si>
  <si>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</si>
  <si>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</si>
  <si>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</si>
  <si>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</si>
  <si>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</si>
  <si>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</si>
  <si>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</si>
  <si>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</si>
  <si>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</si>
  <si>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</si>
  <si>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</si>
  <si>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</si>
  <si>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</si>
  <si>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</si>
  <si>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</si>
  <si>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</si>
  <si>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</si>
  <si>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</si>
  <si>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</si>
  <si>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</si>
  <si>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</si>
  <si>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</si>
  <si>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</si>
  <si>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</si>
  <si>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</si>
  <si>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</si>
  <si>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</si>
  <si>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</si>
  <si>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</si>
  <si>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</si>
  <si>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</si>
  <si>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</si>
  <si>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</si>
  <si>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</si>
  <si>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</si>
  <si>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</si>
  <si>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</si>
  <si>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</si>
  <si>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</si>
  <si>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</si>
  <si>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</si>
  <si>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</si>
  <si>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</si>
  <si>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</si>
  <si>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</si>
  <si>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</si>
  <si>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</si>
  <si>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</si>
  <si>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</si>
  <si>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</si>
  <si>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</si>
  <si>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</si>
  <si>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</si>
  <si>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</si>
  <si>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</si>
  <si>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</si>
  <si>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</si>
  <si>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</si>
  <si>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</si>
  <si>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</si>
  <si>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</si>
  <si>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</si>
  <si>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</si>
  <si>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</si>
  <si>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</si>
  <si>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</si>
  <si>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</si>
  <si>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</si>
  <si>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</si>
  <si>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</si>
  <si>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</si>
  <si>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</si>
  <si>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</si>
  <si>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</si>
  <si>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</si>
  <si>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</si>
  <si>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</si>
  <si>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</si>
  <si>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</si>
  <si>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</si>
  <si>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</si>
  <si>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</si>
  <si>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</si>
  <si>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</si>
  <si>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</si>
  <si>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</si>
  <si>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</si>
  <si>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</si>
  <si>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</si>
  <si>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</si>
  <si>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</si>
  <si>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</si>
  <si>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</si>
  <si>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</si>
  <si>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</si>
  <si>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</si>
  <si>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</si>
  <si>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</si>
  <si>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</si>
  <si>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</si>
  <si>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</si>
  <si>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</si>
  <si>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</si>
  <si>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</si>
  <si>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</si>
  <si>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</si>
  <si>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</si>
  <si>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</si>
  <si>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</si>
  <si>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</si>
  <si>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</si>
  <si>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</si>
  <si>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</si>
  <si>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</si>
  <si>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</si>
  <si>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</si>
  <si>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</si>
  <si>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</si>
  <si>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</si>
  <si>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</si>
  <si>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</si>
  <si>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</si>
  <si>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</si>
  <si>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</si>
  <si>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</si>
  <si>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</si>
  <si>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</si>
  <si>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</si>
  <si>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</si>
  <si>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</si>
  <si>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</si>
  <si>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</si>
  <si>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</si>
  <si>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</si>
  <si>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</si>
  <si>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</si>
  <si>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</si>
  <si>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</si>
  <si>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</si>
  <si>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</si>
  <si>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</si>
  <si>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</si>
  <si>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</si>
  <si>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</si>
  <si>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</si>
  <si>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</si>
  <si>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</si>
  <si>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</si>
  <si>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</si>
  <si>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</si>
  <si>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</si>
  <si>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</si>
  <si>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</si>
  <si>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</si>
  <si>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</si>
  <si>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</si>
  <si>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</si>
  <si>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</si>
  <si>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</si>
  <si>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</si>
  <si>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</si>
  <si>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</si>
  <si>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</si>
  <si>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</si>
  <si>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</si>
  <si>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</si>
  <si>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</si>
  <si>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</si>
  <si>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</si>
  <si>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</si>
  <si>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</si>
  <si>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</si>
  <si>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</si>
  <si>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</si>
  <si>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</si>
  <si>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</si>
  <si>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</si>
  <si>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</si>
  <si>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</si>
  <si>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</si>
  <si>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</si>
  <si>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</si>
  <si>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</si>
  <si>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</si>
  <si>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</si>
  <si>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</si>
  <si>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</si>
  <si>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</si>
  <si>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</si>
  <si>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</si>
  <si>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</si>
  <si>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</si>
  <si>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</si>
  <si>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</si>
  <si>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</si>
  <si>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</si>
  <si>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</si>
  <si>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</si>
  <si>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</si>
  <si>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</si>
  <si>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</si>
  <si>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</si>
  <si>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</si>
  <si>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</si>
  <si>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</si>
  <si>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</si>
  <si>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</si>
  <si>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</si>
  <si>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</si>
  <si>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</si>
  <si>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</si>
  <si>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</si>
  <si>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</si>
  <si>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</si>
  <si>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</si>
  <si>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</si>
  <si>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</si>
  <si>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</si>
  <si>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</si>
  <si>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</si>
  <si>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</si>
  <si>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</si>
  <si>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</si>
  <si>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</si>
  <si>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</si>
  <si>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</si>
  <si>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</si>
  <si>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</si>
  <si>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</si>
  <si>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</si>
  <si>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</si>
  <si>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</si>
  <si>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</si>
  <si>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</si>
  <si>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</si>
  <si>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</si>
  <si>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</si>
  <si>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</si>
  <si>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</si>
  <si>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</si>
  <si>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</si>
  <si>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</si>
  <si>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</si>
  <si>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</si>
  <si>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</si>
  <si>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</si>
  <si>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</si>
  <si>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</si>
  <si>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</si>
  <si>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</si>
  <si>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</si>
  <si>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</si>
  <si>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</si>
  <si>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</si>
  <si>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</si>
  <si>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</si>
  <si>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</si>
  <si>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</si>
  <si>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</si>
  <si>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</si>
  <si>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</si>
  <si>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</si>
  <si>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</si>
  <si>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</si>
  <si>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</si>
  <si>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</si>
  <si>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</si>
  <si>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</si>
  <si>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</si>
  <si>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</si>
  <si>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</si>
  <si>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</si>
  <si>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</si>
  <si>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</si>
  <si>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</si>
  <si>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</si>
  <si>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</si>
  <si>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</si>
  <si>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</si>
  <si>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</si>
  <si>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</si>
  <si>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</si>
  <si>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</si>
  <si>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</si>
  <si>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</si>
  <si>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</si>
  <si>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</si>
  <si>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</si>
  <si>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</si>
  <si>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</si>
  <si>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</si>
  <si>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</si>
  <si>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</si>
  <si>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</si>
  <si>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</si>
  <si>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</si>
  <si>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</si>
  <si>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</si>
  <si>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</si>
  <si>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</si>
  <si>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</si>
  <si>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</si>
  <si>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</si>
  <si>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</si>
  <si>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</si>
  <si>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</si>
  <si>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</si>
  <si>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</si>
  <si>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</si>
  <si>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</si>
  <si>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</si>
  <si>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</si>
  <si>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</si>
  <si>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</si>
  <si>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</si>
  <si>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</si>
  <si>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</si>
  <si>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</si>
  <si>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</si>
  <si>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</si>
  <si>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</si>
  <si>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</si>
  <si>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</si>
  <si>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</si>
  <si>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</si>
  <si>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</si>
  <si>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</si>
  <si>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</si>
  <si>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</si>
  <si>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</si>
  <si>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</si>
  <si>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</si>
  <si>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</si>
  <si>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</si>
  <si>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</si>
  <si>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</si>
  <si>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</si>
  <si>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</si>
  <si>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</si>
  <si>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</si>
  <si>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</si>
  <si>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</si>
  <si>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</si>
  <si>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</si>
  <si>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</si>
  <si>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</si>
  <si>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</si>
  <si>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</si>
  <si>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</si>
  <si>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</si>
  <si>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</si>
  <si>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</si>
  <si>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</si>
  <si>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</si>
  <si>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</si>
  <si>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</si>
  <si>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</si>
  <si>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</si>
  <si>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</si>
  <si>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</si>
  <si>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</si>
  <si>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</si>
  <si>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</si>
  <si>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</si>
  <si>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</si>
  <si>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</si>
  <si>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</si>
  <si>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</si>
  <si>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</si>
  <si>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</si>
  <si>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</si>
  <si>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</si>
  <si>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</si>
  <si>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</si>
  <si>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</si>
  <si>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</si>
  <si>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</si>
  <si>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</si>
  <si>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</si>
  <si>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</si>
  <si>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</si>
  <si>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</si>
  <si>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</si>
  <si>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</si>
  <si>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</si>
  <si>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</si>
  <si>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</si>
  <si>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</si>
  <si>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</si>
  <si>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</si>
  <si>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</si>
  <si>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</si>
  <si>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</si>
  <si>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</si>
  <si>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</si>
  <si>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</si>
  <si>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</si>
  <si>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</si>
  <si>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</si>
  <si>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</si>
  <si>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</si>
  <si>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</si>
  <si>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</si>
  <si>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</si>
  <si>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</si>
  <si>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</si>
  <si>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</si>
  <si>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</si>
  <si>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</si>
  <si>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</si>
  <si>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</si>
  <si>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</si>
  <si>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</si>
  <si>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</si>
  <si>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</si>
  <si>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</si>
  <si>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</si>
  <si>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</si>
  <si>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</si>
  <si>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</si>
  <si>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</si>
  <si>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</si>
  <si>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</si>
  <si>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</si>
  <si>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</si>
  <si>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</si>
  <si>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</si>
  <si>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</si>
  <si>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</si>
  <si>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</si>
  <si>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</si>
  <si>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</si>
  <si>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</si>
  <si>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</si>
  <si>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</si>
  <si>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</si>
  <si>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</si>
  <si>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</si>
  <si>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</si>
  <si>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</si>
  <si>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</si>
  <si>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</si>
  <si>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</si>
  <si>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</si>
  <si>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</si>
  <si>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</si>
  <si>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</si>
  <si>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</si>
  <si>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</si>
  <si>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</si>
  <si>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</si>
  <si>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</si>
  <si>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</si>
  <si>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</si>
  <si>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</si>
  <si>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</si>
  <si>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</si>
  <si>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</si>
  <si>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</si>
  <si>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</si>
  <si>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</si>
  <si>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</si>
  <si>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</si>
  <si>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</si>
  <si>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</si>
  <si>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</si>
  <si>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</si>
  <si>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</si>
  <si>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</si>
  <si>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</si>
  <si>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</si>
  <si>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</si>
  <si>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</si>
  <si>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</si>
  <si>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</si>
  <si>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</si>
  <si>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</si>
  <si>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</si>
  <si>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</si>
  <si>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</si>
  <si>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</si>
  <si>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</si>
  <si>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</si>
  <si>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</si>
  <si>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</si>
  <si>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</si>
  <si>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</si>
  <si>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</si>
  <si>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</si>
  <si>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</si>
  <si>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</si>
  <si>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</si>
  <si>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</si>
  <si>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</si>
  <si>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</si>
  <si>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</si>
  <si>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</si>
  <si>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</si>
  <si>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</si>
  <si>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</si>
  <si>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</si>
  <si>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</si>
  <si>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</si>
  <si>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</si>
  <si>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</si>
  <si>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</si>
  <si>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</si>
  <si>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</si>
  <si>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</si>
  <si>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</si>
  <si>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</si>
  <si>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</si>
  <si>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</si>
  <si>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</si>
  <si>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</si>
  <si>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</si>
  <si>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</si>
  <si>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</si>
  <si>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</si>
  <si>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</si>
  <si>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</si>
  <si>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</si>
  <si>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</si>
  <si>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</si>
  <si>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</si>
  <si>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</si>
  <si>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</si>
  <si>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</si>
  <si>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</si>
  <si>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</si>
  <si>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</si>
  <si>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</si>
  <si>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</si>
  <si>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</si>
  <si>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</si>
  <si>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</si>
  <si>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</si>
  <si>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</si>
  <si>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</si>
  <si>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</si>
  <si>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</si>
  <si>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</si>
  <si>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</si>
  <si>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</si>
  <si>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</si>
  <si>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</si>
  <si>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</si>
  <si>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</si>
  <si>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</si>
  <si>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</si>
  <si>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</si>
  <si>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</si>
  <si>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</si>
  <si>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</si>
  <si>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</si>
  <si>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</si>
  <si>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</si>
  <si>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</si>
  <si>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</si>
  <si>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</si>
  <si>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</si>
  <si>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</si>
  <si>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</si>
  <si>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</si>
  <si>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</si>
  <si>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</si>
  <si>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</si>
  <si>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</si>
  <si>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</si>
  <si>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</si>
  <si>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</si>
  <si>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</si>
  <si>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</si>
  <si>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</si>
  <si>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</si>
  <si>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</si>
  <si>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</si>
  <si>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</si>
  <si>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</si>
  <si>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</si>
  <si>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</si>
  <si>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</si>
  <si>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</si>
  <si>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</si>
  <si>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</si>
  <si>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</si>
  <si>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</si>
  <si>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</si>
  <si>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</si>
  <si>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</si>
  <si>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</si>
  <si>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</si>
  <si>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</si>
  <si>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</si>
  <si>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</si>
  <si>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</si>
  <si>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</si>
  <si>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</si>
  <si>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</si>
  <si>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</si>
  <si>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</si>
  <si>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</si>
  <si>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</si>
  <si>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</si>
  <si>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</si>
  <si>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</si>
  <si>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</si>
  <si>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</si>
  <si>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</si>
  <si>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</si>
  <si>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</si>
  <si>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</si>
  <si>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</si>
  <si>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</si>
  <si>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</si>
  <si>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</si>
  <si>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</si>
  <si>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</si>
  <si>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</si>
  <si>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</si>
  <si>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</si>
  <si>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</si>
  <si>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</si>
  <si>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</si>
  <si>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</si>
  <si>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</si>
  <si>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</si>
  <si>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</si>
  <si>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</si>
  <si>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</si>
  <si>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</si>
  <si>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</si>
  <si>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</si>
  <si>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</si>
  <si>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</si>
  <si>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</si>
  <si>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</si>
  <si>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</si>
  <si>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</si>
  <si>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</si>
  <si>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</si>
  <si>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</si>
  <si>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</si>
  <si>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</si>
  <si>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</si>
  <si>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</si>
  <si>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</si>
  <si>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</si>
  <si>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</si>
  <si>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</si>
  <si>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</si>
  <si>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</si>
  <si>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</si>
  <si>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</si>
  <si>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</si>
  <si>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</si>
  <si>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</si>
  <si>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</si>
  <si>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</si>
  <si>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</si>
  <si>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</si>
  <si>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</si>
  <si>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</si>
  <si>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</si>
  <si>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</si>
  <si>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</si>
  <si>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</si>
  <si>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</si>
  <si>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</si>
  <si>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</si>
  <si>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</si>
  <si>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</si>
  <si>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</si>
  <si>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</si>
  <si>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</si>
  <si>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</si>
  <si>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</si>
  <si>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</si>
  <si>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</si>
  <si>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</si>
  <si>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</si>
  <si>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</si>
  <si>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</si>
  <si>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</si>
  <si>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</si>
  <si>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</si>
  <si>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</si>
  <si>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</si>
  <si>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</si>
  <si>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</si>
  <si>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</si>
  <si>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</si>
  <si>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</si>
  <si>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</si>
  <si>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</si>
  <si>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</si>
  <si>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</si>
  <si>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</si>
  <si>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</si>
  <si>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</si>
  <si>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</si>
  <si>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</si>
  <si>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</si>
  <si>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</si>
  <si>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</si>
  <si>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</si>
  <si>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</si>
  <si>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</si>
  <si>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</si>
  <si>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</si>
  <si>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</si>
  <si>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</si>
  <si>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</si>
  <si>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</si>
  <si>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</si>
  <si>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</si>
  <si>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</si>
  <si>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</si>
  <si>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</si>
  <si>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</si>
  <si>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</si>
  <si>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</si>
  <si>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</si>
  <si>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</si>
  <si>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</si>
  <si>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</si>
  <si>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</si>
  <si>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</si>
  <si>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</si>
  <si>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</si>
  <si>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</si>
  <si>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</si>
  <si>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</si>
  <si>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</si>
  <si>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</si>
  <si>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</si>
  <si>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</si>
  <si>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</si>
  <si>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</si>
  <si>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</si>
  <si>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</si>
  <si>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</si>
  <si>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</si>
  <si>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</si>
  <si>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</si>
  <si>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</si>
  <si>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</si>
  <si>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</si>
  <si>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</si>
  <si>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</si>
  <si>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</si>
  <si>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</si>
  <si>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</si>
  <si>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</si>
  <si>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</si>
  <si>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</si>
  <si>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</si>
  <si>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</si>
  <si>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</si>
  <si>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</si>
  <si>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</si>
  <si>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</si>
  <si>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</si>
  <si>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</si>
  <si>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</si>
  <si>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</si>
  <si>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</si>
  <si>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</si>
  <si>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</si>
  <si>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</si>
  <si>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</si>
  <si>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</si>
  <si>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</si>
  <si>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</si>
  <si>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</si>
  <si>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</si>
  <si>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</si>
  <si>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</si>
  <si>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</si>
  <si>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</si>
  <si>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</si>
  <si>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</si>
  <si>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</si>
  <si>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</si>
  <si>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</si>
  <si>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</si>
  <si>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</si>
  <si>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</si>
  <si>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</si>
  <si>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</si>
  <si>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</si>
  <si>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</si>
  <si>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</si>
  <si>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</si>
  <si>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</si>
  <si>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</si>
  <si>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</si>
  <si>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</si>
  <si>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</si>
  <si>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</si>
  <si>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</si>
  <si>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</si>
  <si>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</si>
  <si>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</si>
  <si>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</si>
  <si>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</si>
  <si>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</si>
  <si>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</si>
  <si>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</si>
  <si>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</si>
  <si>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</si>
  <si>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</si>
  <si>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</si>
  <si>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</si>
  <si>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</si>
  <si>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</si>
  <si>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</si>
  <si>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</si>
  <si>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</si>
  <si>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</si>
  <si>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</si>
  <si>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</si>
  <si>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</si>
  <si>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</si>
  <si>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</si>
  <si>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</si>
  <si>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</si>
  <si>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</si>
  <si>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</si>
  <si>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</si>
  <si>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</si>
  <si>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</si>
  <si>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</si>
  <si>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</si>
  <si>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</si>
  <si>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</si>
  <si>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</si>
  <si>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</si>
  <si>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</si>
  <si>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</si>
  <si>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</si>
  <si>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</si>
  <si>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</si>
  <si>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</si>
  <si>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</si>
  <si>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</si>
  <si>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</si>
  <si>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</si>
  <si>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</si>
  <si>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</si>
  <si>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</si>
  <si>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</si>
  <si>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</si>
  <si>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</si>
  <si>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</si>
  <si>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</si>
  <si>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</si>
  <si>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</si>
  <si>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</si>
  <si>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</si>
  <si>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</si>
  <si>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</si>
  <si>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</si>
  <si>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</si>
  <si>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</si>
  <si>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</si>
  <si>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</si>
  <si>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</si>
  <si>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</si>
  <si>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</si>
  <si>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</si>
  <si>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</si>
  <si>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</si>
  <si>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</si>
  <si>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</si>
  <si>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</si>
  <si>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</si>
  <si>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</si>
  <si>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</si>
  <si>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</si>
  <si>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</si>
  <si>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</si>
  <si>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</si>
  <si>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</si>
  <si>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</si>
  <si>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</si>
  <si>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</si>
  <si>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</si>
  <si>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</si>
  <si>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</si>
  <si>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</si>
  <si>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</si>
  <si>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</si>
  <si>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</si>
  <si>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</si>
  <si>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</si>
  <si>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</si>
  <si>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</si>
  <si>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</si>
  <si>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</si>
  <si>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</si>
  <si>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</si>
  <si>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</si>
  <si>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</si>
  <si>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</si>
  <si>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</si>
  <si>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</si>
  <si>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</si>
  <si>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</si>
  <si>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</si>
  <si>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</si>
  <si>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</si>
  <si>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</si>
  <si>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</si>
  <si>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</si>
  <si>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</si>
  <si>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</si>
  <si>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</si>
  <si>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</si>
  <si>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</si>
  <si>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</si>
  <si>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</si>
  <si>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</si>
  <si>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</si>
  <si>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</si>
  <si>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</si>
  <si>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</si>
  <si>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</si>
  <si>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</si>
  <si>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</si>
  <si>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</si>
  <si>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</si>
  <si>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</si>
  <si>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</si>
  <si>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</si>
  <si>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</si>
  <si>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</si>
  <si>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</si>
  <si>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</si>
  <si>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</si>
  <si>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</si>
  <si>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</si>
  <si>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</si>
  <si>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</si>
  <si>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</si>
  <si>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</si>
  <si>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</si>
  <si>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</si>
  <si>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</si>
  <si>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</si>
  <si>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</si>
  <si>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</si>
  <si>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</si>
  <si>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</si>
  <si>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</si>
  <si>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</si>
  <si>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</si>
  <si>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</si>
  <si>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</si>
  <si>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</si>
  <si>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</si>
  <si>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</si>
  <si>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</si>
  <si>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</si>
  <si>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</si>
  <si>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</si>
  <si>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</si>
  <si>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</si>
  <si>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</si>
  <si>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</si>
  <si>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</si>
  <si>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</si>
  <si>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</si>
  <si>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</si>
  <si>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</si>
  <si>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</si>
  <si>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</si>
  <si>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</si>
  <si>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</si>
  <si>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</si>
  <si>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</si>
  <si>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</si>
  <si>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</si>
  <si>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</si>
  <si>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</si>
  <si>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</si>
  <si>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</si>
  <si>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</si>
  <si>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</si>
  <si>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</si>
  <si>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</si>
  <si>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</si>
  <si>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</si>
  <si>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</si>
  <si>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</si>
  <si>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</si>
  <si>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</si>
  <si>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</si>
  <si>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</si>
  <si>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</si>
  <si>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</si>
  <si>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</si>
  <si>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</si>
  <si>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</si>
  <si>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</si>
  <si>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</si>
  <si>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</si>
  <si>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</si>
  <si>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</si>
  <si>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</si>
  <si>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</si>
  <si>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</si>
  <si>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</si>
  <si>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</si>
  <si>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</si>
  <si>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</si>
  <si>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</si>
  <si>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</si>
  <si>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</si>
  <si>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</si>
  <si>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</si>
  <si>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</si>
  <si>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</si>
  <si>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</si>
  <si>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</si>
  <si>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</si>
  <si>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</si>
  <si>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</si>
  <si>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</si>
  <si>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</si>
  <si>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</si>
  <si>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</si>
  <si>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</si>
  <si>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</si>
  <si>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</si>
  <si>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</si>
  <si>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</si>
  <si>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</si>
  <si>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</si>
  <si>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</si>
  <si>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</si>
  <si>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</si>
  <si>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</si>
  <si>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</si>
  <si>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</si>
  <si>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</si>
  <si>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</si>
  <si>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</si>
  <si>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</si>
  <si>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</si>
  <si>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</si>
  <si>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</si>
  <si>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</si>
  <si>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</si>
  <si>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</si>
  <si>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</si>
  <si>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</si>
  <si>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</si>
  <si>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</si>
  <si>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</si>
  <si>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</si>
  <si>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</si>
  <si>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</si>
  <si>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</si>
  <si>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</si>
  <si>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</si>
  <si>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</si>
  <si>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</si>
  <si>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</si>
  <si>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</si>
  <si>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</si>
  <si>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</si>
  <si>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</si>
  <si>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</si>
  <si>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</si>
  <si>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</si>
  <si>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</si>
  <si>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</si>
  <si>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</si>
  <si>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</si>
  <si>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</si>
  <si>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</si>
  <si>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</si>
  <si>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</si>
  <si>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</si>
  <si>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</si>
  <si>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</si>
  <si>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</si>
  <si>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</si>
  <si>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</si>
  <si>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</si>
  <si>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</si>
  <si>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</si>
  <si>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</si>
  <si>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</si>
  <si>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</si>
  <si>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</si>
  <si>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</si>
  <si>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</si>
  <si>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</si>
  <si>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</si>
  <si>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</si>
  <si>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</si>
  <si>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</si>
  <si>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</si>
  <si>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</si>
  <si>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</si>
  <si>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</si>
  <si>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</si>
  <si>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</si>
  <si>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</si>
  <si>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</si>
  <si>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</si>
  <si>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</si>
  <si>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</si>
  <si>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</si>
  <si>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</si>
  <si>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</si>
  <si>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</si>
  <si>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</si>
  <si>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</si>
  <si>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</si>
  <si>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</si>
  <si>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</si>
  <si>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</si>
  <si>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</si>
  <si>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</si>
  <si>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</si>
  <si>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</si>
  <si>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</si>
  <si>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</si>
  <si>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</si>
  <si>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</si>
  <si>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</si>
  <si>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</si>
  <si>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</si>
  <si>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</si>
  <si>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</si>
  <si>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</si>
  <si>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</si>
  <si>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</si>
  <si>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</si>
  <si>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</si>
  <si>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</si>
  <si>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</si>
  <si>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</si>
  <si>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</si>
  <si>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</si>
  <si>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</si>
  <si>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</si>
  <si>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</si>
  <si>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</si>
  <si>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</si>
  <si>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</si>
  <si>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</si>
  <si>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</si>
  <si>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</si>
  <si>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</si>
  <si>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</si>
  <si>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</si>
  <si>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</si>
  <si>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</si>
  <si>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</si>
  <si>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</si>
  <si>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</si>
  <si>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</si>
  <si>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</si>
  <si>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</si>
  <si>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</si>
  <si>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</si>
  <si>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</si>
  <si>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</si>
  <si>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</si>
  <si>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</si>
  <si>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</si>
  <si>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</si>
  <si>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</si>
  <si>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</si>
  <si>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</si>
  <si>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</si>
  <si>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</si>
  <si>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</si>
  <si>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</si>
  <si>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</si>
  <si>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</si>
  <si>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</si>
  <si>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</si>
  <si>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</si>
  <si>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</si>
  <si>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</si>
  <si>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</si>
  <si>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</si>
  <si>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</si>
  <si>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</si>
  <si>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</si>
  <si>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</si>
  <si>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</si>
  <si>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</si>
  <si>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</si>
  <si>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</si>
  <si>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</si>
  <si>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</si>
  <si>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</si>
  <si>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</si>
  <si>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</si>
  <si>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</si>
  <si>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</si>
  <si>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</si>
  <si>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</si>
  <si>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</si>
  <si>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</si>
  <si>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</si>
  <si>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</si>
  <si>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</si>
  <si>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</si>
  <si>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</si>
  <si>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</si>
  <si>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</si>
  <si>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</si>
  <si>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</si>
  <si>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</si>
  <si>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</si>
  <si>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</si>
  <si>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</si>
  <si>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</si>
  <si>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</si>
  <si>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</si>
  <si>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</si>
  <si>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</si>
  <si>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</si>
  <si>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</si>
  <si>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</si>
  <si>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</si>
  <si>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</si>
  <si>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</si>
  <si>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</si>
  <si>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</si>
  <si>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</si>
  <si>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</si>
  <si>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</si>
  <si>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</si>
  <si>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</si>
  <si>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</si>
  <si>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</si>
  <si>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</si>
  <si>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</si>
  <si>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</si>
  <si>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</si>
  <si>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</si>
  <si>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</si>
  <si>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</si>
  <si>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</si>
  <si>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</si>
  <si>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</si>
  <si>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</si>
  <si>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</si>
  <si>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</si>
  <si>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</si>
  <si>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</si>
  <si>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</si>
  <si>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</si>
  <si>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</si>
  <si>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</si>
  <si>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</si>
  <si>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</si>
  <si>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</si>
  <si>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</si>
  <si>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</si>
  <si>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</si>
  <si>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</si>
  <si>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</si>
  <si>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</si>
  <si>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</si>
  <si>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</si>
  <si>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</si>
  <si>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</si>
  <si>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</si>
  <si>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</si>
  <si>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</si>
  <si>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</si>
  <si>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</si>
  <si>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</si>
  <si>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</si>
  <si>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</si>
  <si>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</si>
  <si>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</si>
  <si>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</si>
  <si>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</si>
  <si>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</si>
  <si>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</si>
  <si>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</si>
  <si>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</si>
  <si>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</si>
  <si>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</si>
  <si>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</si>
  <si>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</si>
  <si>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</si>
  <si>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</si>
  <si>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</si>
  <si>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</si>
  <si>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</si>
  <si>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</si>
  <si>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</si>
  <si>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</si>
  <si>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</si>
  <si>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</si>
  <si>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</si>
  <si>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</si>
  <si>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</si>
  <si>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</si>
  <si>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</si>
  <si>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</si>
  <si>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</si>
  <si>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</si>
  <si>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</si>
  <si>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</si>
  <si>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</si>
  <si>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</si>
  <si>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</si>
  <si>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</si>
  <si>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</si>
  <si>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</si>
  <si>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</si>
  <si>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</si>
  <si>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</si>
  <si>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</si>
  <si>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</si>
  <si>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</si>
  <si>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</si>
  <si>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</si>
  <si>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</si>
  <si>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</si>
  <si>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</si>
  <si>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</si>
  <si>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</si>
  <si>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</si>
  <si>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</si>
  <si>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</si>
  <si>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</si>
  <si>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</si>
  <si>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</si>
  <si>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</si>
  <si>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</si>
  <si>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</si>
  <si>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</si>
  <si>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</si>
  <si>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</si>
  <si>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</si>
  <si>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</si>
  <si>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</si>
  <si>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</si>
  <si>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</si>
  <si>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</si>
  <si>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</si>
  <si>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</si>
  <si>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</si>
  <si>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</si>
  <si>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</si>
  <si>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</si>
  <si>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</si>
  <si>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</si>
  <si>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</si>
  <si>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</si>
  <si>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</si>
  <si>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</si>
  <si>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</si>
  <si>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</si>
  <si>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</si>
  <si>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</si>
  <si>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</si>
  <si>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</si>
  <si>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</si>
  <si>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</si>
  <si>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</si>
  <si>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</si>
  <si>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</si>
  <si>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</si>
  <si>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</si>
  <si>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</si>
  <si>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</si>
  <si>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</si>
  <si>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</si>
  <si>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</si>
  <si>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</si>
  <si>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</si>
  <si>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</si>
  <si>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</si>
  <si>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</si>
  <si>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</si>
  <si>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</si>
  <si>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</si>
  <si>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</si>
  <si>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</si>
  <si>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</si>
  <si>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</si>
  <si>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</si>
  <si>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</si>
  <si>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</si>
  <si>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</si>
  <si>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</si>
  <si>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</si>
  <si>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</si>
  <si>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</si>
  <si>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</si>
  <si>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</si>
  <si>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</si>
  <si>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</si>
  <si>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</si>
  <si>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</si>
  <si>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</si>
  <si>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</si>
  <si>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</si>
  <si>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</si>
  <si>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</si>
  <si>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</si>
  <si>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</si>
  <si>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</si>
  <si>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</si>
  <si>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</si>
  <si>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</si>
  <si>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</si>
  <si>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</si>
  <si>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</si>
  <si>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</si>
  <si>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</si>
  <si>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</si>
  <si>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</si>
  <si>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</si>
  <si>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</si>
  <si>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</si>
  <si>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</si>
  <si>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</si>
  <si>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</si>
  <si>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</si>
  <si>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</si>
  <si>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</si>
  <si>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</si>
  <si>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</si>
  <si>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</si>
  <si>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</si>
  <si>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</si>
  <si>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</si>
  <si>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</si>
  <si>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</si>
  <si>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</si>
  <si>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</si>
  <si>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</si>
  <si>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</si>
  <si>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</si>
  <si>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</si>
  <si>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</si>
  <si>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</si>
  <si>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</si>
  <si>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</si>
  <si>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</si>
  <si>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</si>
  <si>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</si>
  <si>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</si>
  <si>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</si>
  <si>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</si>
  <si>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</si>
  <si>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</si>
  <si>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</si>
  <si>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</si>
  <si>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</si>
  <si>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</si>
  <si>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</si>
  <si>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</si>
  <si>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</si>
  <si>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</si>
  <si>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</si>
  <si>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</si>
  <si>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</si>
  <si>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</si>
  <si>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</si>
  <si>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</si>
  <si>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</si>
  <si>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</si>
  <si>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</si>
  <si>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</si>
  <si>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</si>
  <si>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</si>
  <si>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</si>
  <si>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</si>
  <si>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</si>
  <si>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</si>
  <si>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</si>
  <si>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</si>
  <si>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</si>
  <si>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</si>
  <si>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</si>
  <si>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</si>
  <si>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</si>
  <si>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</si>
  <si>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</si>
  <si>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</si>
  <si>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</si>
  <si>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</si>
  <si>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</si>
  <si>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</si>
  <si>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</si>
  <si>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</si>
  <si>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</si>
  <si>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</si>
  <si>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</si>
  <si>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</si>
  <si>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</si>
  <si>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</si>
  <si>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</si>
  <si>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</si>
  <si>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</si>
  <si>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</si>
  <si>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</si>
  <si>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</si>
  <si>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</si>
  <si>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</si>
  <si>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</si>
  <si>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</si>
  <si>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</si>
  <si>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</si>
  <si>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</si>
  <si>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</si>
  <si>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</si>
  <si>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</si>
  <si>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</si>
  <si>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</si>
  <si>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</si>
  <si>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</si>
  <si>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</si>
  <si>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</si>
  <si>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</si>
  <si>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</si>
  <si>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</si>
  <si>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</si>
  <si>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</si>
  <si>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</si>
  <si>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</si>
  <si>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</si>
  <si>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</si>
  <si>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</si>
  <si>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</si>
  <si>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</si>
  <si>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</si>
  <si>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</si>
  <si>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</si>
  <si>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</si>
  <si>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</si>
  <si>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</si>
  <si>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</si>
  <si>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</si>
  <si>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</si>
  <si>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</si>
  <si>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</si>
  <si>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</si>
  <si>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</si>
  <si>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</si>
  <si>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</si>
  <si>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</si>
  <si>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</si>
  <si>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</si>
  <si>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</si>
  <si>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</si>
  <si>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</si>
  <si>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</si>
  <si>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</si>
  <si>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</si>
  <si>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</si>
  <si>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</si>
  <si>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</si>
  <si>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</si>
  <si>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</si>
  <si>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</si>
  <si>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</si>
  <si>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</si>
  <si>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</si>
  <si>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</si>
  <si>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</si>
  <si>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</si>
  <si>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</si>
  <si>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</si>
  <si>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</si>
  <si>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</si>
  <si>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</si>
  <si>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</si>
  <si>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</si>
  <si>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</si>
  <si>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</si>
  <si>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</si>
  <si>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</si>
  <si>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</si>
  <si>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</si>
  <si>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</si>
  <si>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</si>
  <si>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</si>
  <si>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</si>
  <si>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</si>
  <si>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</si>
  <si>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</si>
  <si>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</si>
  <si>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</si>
  <si>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</si>
  <si>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</si>
  <si>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</si>
  <si>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</si>
  <si>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</si>
  <si>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</si>
  <si>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</si>
  <si>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</si>
  <si>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</si>
  <si>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</si>
  <si>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</si>
  <si>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</si>
  <si>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</si>
  <si>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</si>
  <si>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</si>
  <si>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</si>
  <si>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</si>
  <si>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</si>
  <si>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</si>
  <si>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</si>
  <si>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</si>
  <si>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</si>
  <si>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</si>
  <si>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</si>
  <si>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</si>
  <si>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</si>
  <si>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</si>
  <si>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</si>
  <si>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</si>
  <si>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</si>
  <si>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</si>
  <si>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</si>
  <si>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</si>
  <si>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</si>
  <si>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</si>
  <si>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</si>
  <si>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</si>
  <si>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</si>
  <si>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</si>
  <si>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</si>
  <si>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</si>
  <si>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</si>
  <si>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</si>
  <si>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</si>
  <si>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</si>
  <si>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</si>
  <si>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</si>
  <si>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</si>
  <si>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</si>
  <si>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</si>
  <si>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</si>
  <si>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</si>
  <si>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</si>
  <si>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</si>
  <si>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</si>
  <si>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</si>
  <si>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</si>
  <si>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</si>
  <si>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</si>
  <si>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</si>
  <si>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</si>
  <si>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</si>
  <si>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</si>
  <si>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</si>
  <si>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</si>
  <si>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</si>
  <si>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</si>
  <si>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</si>
  <si>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</si>
  <si>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</si>
  <si>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</si>
  <si>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</si>
  <si>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</si>
  <si>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</si>
  <si>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</si>
  <si>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</si>
  <si>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</si>
  <si>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</si>
  <si>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</si>
  <si>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</si>
  <si>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</si>
  <si>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</si>
  <si>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</si>
  <si>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</si>
  <si>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</si>
  <si>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</si>
  <si>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</si>
  <si>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</si>
  <si>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</si>
  <si>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</si>
  <si>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</si>
  <si>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</si>
  <si>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</si>
  <si>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</si>
  <si>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</si>
  <si>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</si>
  <si>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</si>
  <si>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</si>
  <si>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</si>
  <si>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</si>
  <si>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</si>
  <si>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</si>
  <si>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</si>
  <si>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</si>
  <si>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</si>
  <si>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</si>
  <si>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</si>
  <si>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</si>
  <si>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</si>
  <si>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</si>
  <si>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</si>
  <si>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</si>
  <si>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</si>
  <si>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</si>
  <si>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</si>
  <si>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</si>
  <si>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</si>
  <si>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</si>
  <si>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</si>
  <si>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</si>
  <si>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</si>
  <si>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</si>
  <si>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</si>
  <si>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</si>
  <si>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</si>
  <si>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</si>
  <si>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</si>
  <si>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</si>
  <si>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</si>
  <si>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</si>
  <si>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</si>
  <si>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</si>
  <si>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</si>
  <si>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</si>
  <si>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</si>
  <si>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</si>
  <si>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</si>
  <si>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</si>
  <si>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</si>
  <si>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</si>
  <si>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</si>
  <si>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</si>
  <si>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</si>
  <si>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</si>
  <si>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</si>
  <si>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</si>
  <si>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</si>
  <si>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</si>
  <si>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</si>
  <si>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</si>
  <si>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</si>
  <si>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</si>
  <si>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</si>
  <si>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</si>
  <si>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</si>
  <si>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</si>
  <si>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</si>
  <si>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</si>
  <si>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</si>
  <si>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</si>
  <si>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</si>
  <si>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</si>
  <si>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</si>
  <si>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</si>
  <si>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</si>
  <si>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</si>
  <si>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</si>
  <si>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</si>
  <si>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</si>
  <si>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</si>
  <si>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</si>
  <si>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</si>
  <si>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</si>
  <si>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</si>
  <si>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</si>
  <si>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</si>
  <si>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</si>
  <si>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</si>
  <si>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</si>
  <si>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</si>
  <si>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</si>
  <si>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</si>
  <si>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</si>
  <si>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</si>
  <si>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</si>
  <si>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</si>
  <si>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</si>
  <si>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</si>
  <si>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</si>
  <si>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</si>
  <si>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</si>
  <si>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</si>
  <si>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</si>
  <si>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</si>
  <si>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</si>
  <si>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</si>
  <si>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</si>
  <si>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</si>
  <si>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</si>
  <si>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</si>
  <si>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</si>
  <si>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</si>
  <si>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</si>
  <si>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</si>
  <si>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</si>
  <si>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</si>
  <si>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</si>
  <si>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</si>
  <si>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</si>
  <si>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</si>
  <si>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</si>
  <si>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</si>
  <si>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</si>
  <si>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</si>
  <si>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</si>
  <si>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</si>
  <si>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</si>
  <si>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</si>
  <si>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</si>
  <si>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</si>
  <si>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</si>
  <si>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</si>
  <si>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</si>
  <si>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</si>
  <si>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</si>
  <si>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</si>
  <si>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</si>
  <si>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</si>
  <si>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</si>
  <si>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</si>
  <si>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</si>
  <si>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</si>
  <si>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</si>
  <si>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</si>
  <si>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</si>
  <si>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</si>
  <si>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</si>
  <si>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</si>
  <si>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</si>
  <si>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</si>
  <si>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</si>
  <si>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</si>
  <si>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</si>
  <si>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</si>
  <si>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</si>
  <si>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</si>
  <si>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</si>
  <si>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</si>
  <si>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</si>
  <si>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</si>
  <si>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</si>
  <si>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</si>
  <si>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</si>
  <si>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</si>
  <si>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</si>
  <si>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</si>
  <si>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</si>
  <si>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</si>
  <si>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</si>
  <si>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</si>
  <si>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</si>
  <si>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</si>
  <si>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</si>
  <si>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</si>
  <si>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</si>
  <si>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</si>
  <si>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</si>
  <si>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</si>
  <si>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</si>
  <si>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</si>
  <si>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</si>
  <si>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</si>
  <si>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</si>
  <si>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</si>
  <si>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</si>
  <si>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</si>
  <si>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</si>
  <si>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</si>
  <si>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</si>
  <si>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</si>
  <si>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</si>
  <si>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</si>
  <si>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</si>
  <si>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</si>
  <si>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</si>
  <si>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</si>
  <si>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</si>
  <si>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</si>
  <si>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</si>
  <si>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</si>
  <si>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</si>
  <si>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</si>
  <si>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</si>
  <si>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</si>
  <si>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</si>
  <si>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</si>
  <si>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</si>
  <si>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</si>
  <si>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</si>
  <si>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</si>
  <si>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</si>
  <si>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</si>
  <si>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</si>
  <si>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</si>
  <si>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</si>
  <si>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</si>
  <si>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</si>
  <si>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</si>
  <si>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</si>
  <si>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</si>
  <si>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</si>
  <si>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</si>
  <si>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</si>
  <si>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</si>
  <si>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</si>
  <si>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</si>
  <si>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</si>
  <si>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</si>
  <si>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</si>
  <si>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</si>
  <si>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</si>
  <si>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</si>
  <si>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</si>
  <si>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</si>
  <si>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</si>
  <si>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</si>
  <si>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</si>
  <si>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</si>
  <si>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</si>
  <si>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</si>
  <si>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</si>
  <si>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</si>
  <si>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</si>
  <si>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</si>
  <si>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</si>
  <si>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</si>
  <si>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</si>
  <si>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</si>
  <si>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</si>
  <si>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</si>
  <si>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</si>
  <si>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</si>
  <si>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</si>
  <si>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</si>
  <si>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</si>
  <si>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</si>
  <si>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</si>
  <si>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</si>
  <si>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</si>
  <si>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</si>
  <si>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</si>
  <si>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</si>
  <si>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</si>
  <si>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</si>
  <si>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</si>
  <si>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</si>
  <si>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</si>
  <si>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</si>
  <si>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</si>
  <si>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</si>
  <si>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</si>
  <si>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</si>
  <si>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</si>
  <si>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</si>
  <si>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</si>
  <si>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</si>
  <si>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</si>
  <si>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</si>
  <si>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</si>
  <si>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</si>
  <si>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</si>
  <si>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</si>
  <si>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</si>
  <si>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</si>
  <si>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</si>
  <si>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</si>
  <si>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</si>
  <si>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</si>
  <si>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</si>
  <si>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</si>
  <si>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</si>
  <si>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</si>
  <si>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</si>
  <si>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</si>
  <si>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</si>
  <si>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</si>
  <si>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</si>
  <si>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</si>
  <si>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</si>
  <si>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</si>
  <si>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</si>
  <si>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</si>
  <si>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</si>
  <si>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</si>
  <si>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</si>
  <si>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</si>
  <si>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</si>
  <si>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</si>
  <si>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</si>
  <si>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</si>
  <si>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</si>
  <si>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</si>
  <si>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</si>
  <si>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</si>
  <si>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</si>
  <si>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</si>
  <si>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</si>
  <si>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</si>
  <si>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</si>
  <si>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</si>
  <si>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</si>
  <si>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</si>
  <si>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</si>
  <si>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</si>
  <si>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</si>
  <si>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</si>
  <si>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</si>
  <si>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</si>
  <si>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</si>
  <si>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</si>
  <si>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</si>
  <si>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</si>
  <si>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</si>
  <si>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</si>
  <si>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</si>
  <si>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</si>
  <si>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</si>
  <si>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</si>
  <si>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</si>
  <si>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</si>
  <si>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</si>
  <si>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</si>
  <si>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</si>
  <si>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</si>
  <si>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</si>
  <si>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</si>
  <si>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</si>
  <si>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</si>
  <si>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</si>
  <si>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</si>
  <si>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</si>
  <si>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</si>
  <si>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</si>
  <si>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</si>
  <si>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</si>
  <si>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</si>
  <si>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</si>
  <si>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</si>
  <si>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</si>
  <si>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</si>
  <si>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</si>
  <si>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</si>
  <si>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</si>
  <si>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</si>
  <si>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</si>
  <si>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</si>
  <si>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</si>
  <si>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</si>
  <si>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</si>
  <si>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</si>
  <si>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</si>
  <si>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</si>
  <si>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</si>
  <si>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</si>
  <si>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</si>
  <si>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</si>
  <si>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</si>
  <si>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</si>
  <si>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</si>
  <si>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</si>
  <si>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</si>
  <si>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</si>
  <si>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</si>
  <si>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</si>
  <si>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</si>
  <si>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</si>
  <si>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</si>
  <si>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</si>
  <si>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</si>
  <si>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</si>
  <si>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</si>
  <si>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</si>
  <si>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</si>
  <si>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</si>
  <si>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</si>
  <si>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</si>
  <si>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</si>
  <si>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</si>
  <si>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</si>
  <si>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</si>
  <si>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</si>
  <si>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</si>
  <si>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</si>
  <si>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</si>
  <si>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</si>
  <si>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</si>
  <si>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</si>
  <si>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</si>
  <si>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</si>
  <si>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</si>
  <si>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</si>
  <si>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</si>
  <si>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</si>
  <si>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</si>
  <si>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</si>
  <si>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</si>
  <si>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</si>
  <si>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</si>
  <si>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</si>
  <si>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</si>
  <si>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</si>
  <si>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</si>
  <si>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</si>
  <si>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</si>
  <si>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</si>
  <si>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</si>
  <si>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</si>
  <si>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</si>
  <si>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</si>
  <si>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</si>
  <si>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</si>
  <si>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</si>
  <si>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</si>
  <si>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</si>
  <si>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</si>
  <si>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</si>
  <si>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</si>
  <si>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</si>
  <si>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</si>
  <si>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</si>
  <si>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</si>
  <si>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</si>
  <si>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</si>
  <si>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</si>
  <si>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</si>
  <si>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</si>
  <si>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</si>
  <si>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</si>
  <si>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</si>
  <si>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</si>
  <si>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</si>
  <si>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</si>
  <si>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</si>
  <si>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</si>
  <si>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</si>
  <si>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</si>
  <si>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</si>
  <si>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</si>
  <si>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</si>
  <si>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</si>
  <si>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</si>
  <si>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</si>
  <si>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</si>
  <si>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</si>
  <si>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</si>
  <si>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</si>
  <si>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</si>
  <si>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</si>
  <si>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</si>
  <si>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</si>
  <si>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</si>
  <si>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</si>
  <si>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</si>
  <si>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</si>
  <si>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</si>
  <si>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</si>
  <si>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</si>
  <si>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</si>
  <si>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</si>
  <si>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</si>
  <si>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</si>
  <si>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</si>
  <si>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</si>
  <si>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</si>
  <si>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</si>
  <si>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</si>
  <si>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</si>
  <si>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</si>
  <si>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</si>
  <si>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</si>
  <si>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</si>
  <si>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</si>
  <si>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</si>
  <si>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</si>
  <si>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</si>
  <si>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</si>
  <si>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</si>
  <si>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</si>
  <si>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</si>
  <si>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</si>
  <si>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</si>
  <si>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</si>
  <si>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</si>
  <si>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</si>
  <si>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</si>
  <si>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</si>
  <si>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</si>
  <si>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</si>
  <si>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</si>
  <si>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</si>
  <si>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</si>
  <si>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</si>
  <si>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</si>
  <si>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</si>
  <si>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</si>
  <si>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</si>
  <si>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</si>
  <si>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</si>
  <si>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</si>
  <si>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</si>
  <si>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</si>
  <si>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</si>
  <si>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</si>
  <si>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</si>
  <si>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</si>
  <si>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</si>
  <si>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</si>
  <si>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</si>
  <si>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</si>
  <si>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</si>
  <si>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</si>
  <si>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</si>
  <si>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</si>
  <si>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</si>
  <si>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</si>
  <si>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</si>
  <si>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</si>
  <si>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</si>
  <si>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</si>
  <si>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</si>
  <si>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</si>
  <si>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</si>
  <si>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</si>
  <si>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</si>
  <si>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</si>
  <si>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</si>
  <si>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</si>
  <si>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</si>
  <si>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</si>
  <si>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</si>
  <si>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</si>
  <si>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</si>
  <si>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</si>
  <si>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</si>
  <si>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</si>
  <si>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</si>
  <si>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</si>
  <si>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</si>
  <si>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</si>
  <si>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</si>
  <si>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</si>
  <si>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</si>
  <si>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</si>
  <si>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</si>
  <si>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</si>
  <si>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</si>
  <si>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</si>
  <si>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</si>
  <si>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</si>
  <si>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</si>
  <si>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</si>
  <si>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</si>
  <si>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</si>
  <si>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</si>
  <si>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</si>
  <si>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</si>
  <si>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</si>
  <si>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</si>
  <si>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</si>
  <si>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</si>
  <si>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</si>
  <si>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</si>
  <si>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</si>
  <si>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</si>
  <si>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</si>
  <si>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</si>
  <si>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</si>
  <si>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</si>
  <si>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</si>
  <si>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</si>
  <si>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</si>
  <si>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</si>
  <si>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</si>
  <si>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</si>
  <si>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</si>
  <si>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</si>
  <si>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</si>
  <si>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</si>
  <si>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</si>
  <si>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</si>
  <si>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</si>
  <si>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</si>
  <si>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</si>
  <si>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</si>
  <si>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</si>
  <si>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</si>
  <si>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</si>
  <si>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</si>
  <si>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</si>
  <si>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</si>
  <si>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</si>
  <si>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</si>
  <si>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</si>
  <si>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</si>
  <si>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</si>
  <si>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</si>
  <si>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</si>
  <si>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</si>
  <si>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</si>
  <si>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</si>
  <si>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</si>
  <si>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</si>
  <si>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</si>
  <si>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</si>
  <si>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</si>
  <si>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</si>
  <si>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</si>
  <si>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</si>
  <si>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</si>
  <si>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</si>
  <si>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</si>
  <si>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</si>
  <si>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</si>
  <si>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</si>
  <si>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</si>
  <si>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</si>
  <si>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</si>
  <si>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</si>
  <si>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</si>
  <si>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</si>
  <si>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</si>
  <si>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</si>
  <si>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</si>
  <si>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</si>
  <si>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</si>
  <si>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</si>
  <si>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</si>
  <si>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</si>
  <si>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</si>
  <si>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</si>
  <si>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</si>
  <si>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</si>
  <si>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</si>
  <si>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</si>
  <si>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</si>
  <si>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</si>
  <si>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</si>
  <si>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</si>
  <si>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</si>
  <si>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</si>
  <si>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</si>
  <si>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</si>
  <si>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</si>
  <si>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</si>
  <si>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</si>
  <si>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</si>
  <si>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</si>
  <si>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</si>
  <si>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</si>
  <si>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</si>
  <si>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</si>
  <si>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</si>
  <si>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</si>
  <si>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</si>
  <si>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</si>
  <si>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</si>
  <si>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</si>
  <si>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</si>
  <si>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</si>
  <si>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</si>
  <si>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</si>
  <si>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</si>
  <si>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</si>
  <si>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</si>
  <si>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</si>
  <si>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</si>
  <si>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</si>
  <si>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</si>
  <si>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</si>
  <si>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</si>
  <si>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</si>
  <si>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</si>
  <si>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</si>
  <si>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</si>
  <si>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</si>
  <si>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</si>
  <si>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</si>
  <si>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</si>
  <si>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</si>
  <si>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</si>
  <si>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</si>
  <si>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</si>
  <si>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</si>
  <si>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</si>
  <si>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</si>
  <si>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</si>
  <si>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</si>
  <si>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</si>
  <si>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</si>
  <si>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</si>
  <si>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</si>
  <si>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</si>
  <si>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</si>
  <si>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</si>
  <si>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</si>
  <si>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</si>
  <si>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</si>
  <si>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</si>
  <si>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</si>
  <si>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</si>
  <si>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</si>
  <si>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</si>
  <si>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</si>
  <si>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</si>
  <si>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</si>
  <si>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</si>
  <si>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</si>
  <si>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</si>
  <si>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</si>
  <si>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</si>
  <si>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</si>
  <si>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</si>
  <si>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</si>
  <si>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</si>
  <si>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</si>
  <si>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</si>
  <si>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</si>
  <si>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</si>
  <si>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</si>
  <si>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</si>
  <si>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</si>
  <si>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</si>
  <si>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</si>
  <si>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</si>
  <si>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</si>
  <si>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</si>
  <si>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</si>
  <si>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</si>
  <si>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</si>
  <si>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</si>
  <si>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</si>
  <si>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</si>
  <si>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</si>
  <si>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</si>
  <si>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</si>
  <si>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</si>
  <si>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</si>
  <si>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</si>
  <si>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</si>
  <si>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</si>
  <si>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</si>
  <si>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</si>
  <si>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</si>
  <si>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</si>
  <si>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</si>
  <si>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</si>
  <si>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</si>
  <si>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</si>
  <si>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</si>
  <si>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</si>
  <si>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</si>
  <si>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</si>
  <si>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</si>
  <si>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</si>
  <si>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</si>
  <si>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</si>
  <si>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</si>
  <si>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</si>
  <si>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</si>
  <si>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</si>
  <si>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</si>
  <si>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</si>
  <si>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</si>
  <si>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</si>
  <si>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</si>
  <si>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</si>
  <si>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</si>
  <si>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</si>
  <si>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</si>
  <si>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</si>
  <si>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</si>
  <si>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</si>
  <si>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</si>
  <si>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</si>
  <si>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</si>
  <si>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</si>
  <si>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</si>
  <si>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</si>
  <si>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</si>
  <si>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</si>
  <si>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</si>
  <si>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</si>
  <si>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</si>
  <si>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</si>
  <si>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</si>
  <si>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</si>
  <si>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</si>
  <si>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</si>
  <si>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</si>
  <si>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</si>
  <si>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</si>
  <si>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</si>
  <si>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</si>
  <si>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</si>
  <si>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</si>
  <si>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</si>
  <si>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</si>
  <si>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</si>
  <si>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</si>
  <si>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</si>
  <si>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</si>
  <si>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</si>
  <si>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</si>
  <si>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</si>
  <si>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</si>
  <si>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</si>
  <si>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</si>
  <si>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</si>
  <si>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</si>
  <si>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</si>
  <si>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</si>
  <si>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</si>
  <si>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</si>
  <si>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</si>
  <si>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</si>
  <si>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</si>
  <si>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</si>
  <si>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</si>
  <si>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</si>
  <si>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</si>
  <si>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</si>
  <si>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</si>
  <si>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</si>
  <si>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</si>
  <si>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</si>
  <si>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</si>
  <si>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</si>
  <si>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</si>
  <si>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</si>
  <si>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</si>
  <si>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</si>
  <si>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</si>
  <si>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</si>
  <si>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</si>
  <si>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</si>
  <si>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</si>
  <si>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</si>
  <si>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</si>
  <si>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</si>
  <si>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</si>
  <si>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</si>
  <si>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</si>
  <si>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</si>
  <si>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</si>
  <si>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</si>
  <si>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</si>
  <si>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</si>
  <si>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</si>
  <si>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</si>
  <si>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</si>
  <si>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</si>
  <si>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</si>
  <si>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</si>
  <si>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</si>
  <si>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</si>
  <si>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</si>
  <si>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</si>
  <si>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</si>
  <si>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</si>
  <si>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</si>
  <si>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</si>
  <si>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</si>
  <si>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</si>
  <si>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</si>
  <si>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</si>
  <si>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</si>
  <si>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</si>
  <si>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</si>
  <si>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</si>
  <si>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</si>
  <si>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</si>
  <si>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</si>
  <si>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</si>
  <si>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</si>
  <si>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</si>
  <si>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</si>
  <si>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</si>
  <si>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</si>
  <si>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</si>
  <si>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</si>
  <si>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</si>
  <si>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</si>
  <si>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</si>
  <si>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</si>
  <si>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</si>
  <si>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</si>
  <si>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</si>
  <si>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</si>
  <si>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</si>
  <si>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</si>
  <si>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</si>
  <si>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</si>
  <si>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</si>
  <si>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</si>
  <si>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</si>
  <si>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</si>
  <si>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</si>
  <si>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</si>
  <si>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</si>
  <si>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</si>
  <si>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</si>
  <si>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</si>
  <si>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</si>
  <si>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</si>
  <si>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</si>
  <si>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</si>
  <si>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</si>
  <si>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</si>
  <si>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</si>
  <si>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</si>
  <si>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</si>
  <si>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</si>
  <si>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</si>
  <si>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</si>
  <si>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</si>
  <si>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</si>
  <si>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</si>
  <si>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</si>
  <si>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</si>
  <si>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</si>
  <si>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</si>
  <si>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</si>
  <si>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</si>
  <si>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</si>
  <si>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</si>
  <si>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</si>
  <si>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</si>
  <si>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</si>
  <si>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</si>
  <si>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</si>
  <si>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</si>
  <si>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</si>
  <si>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</si>
  <si>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</si>
  <si>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</si>
  <si>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</si>
  <si>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</si>
  <si>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</si>
  <si>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</si>
  <si>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</si>
  <si>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</si>
  <si>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</si>
  <si>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</si>
  <si>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</si>
  <si>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</si>
  <si>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</si>
  <si>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</si>
  <si>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</si>
  <si>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</si>
  <si>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</si>
  <si>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</si>
  <si>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</si>
  <si>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</si>
  <si>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</si>
  <si>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</si>
  <si>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</si>
  <si>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</si>
  <si>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</si>
  <si>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</si>
  <si>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</si>
  <si>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</si>
  <si>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</si>
  <si>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</si>
  <si>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</si>
  <si>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</si>
  <si>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</si>
  <si>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</si>
  <si>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</si>
  <si>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</si>
  <si>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</si>
  <si>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</si>
  <si>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</si>
  <si>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Grotte</t>
  </si>
  <si>
    <t>Joppolo Giancaxio</t>
  </si>
  <si>
    <t>Lampedusa e Linosa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</si>
  <si>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</si>
  <si>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</si>
  <si>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</si>
  <si>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</si>
  <si>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</si>
  <si>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</si>
  <si>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</si>
  <si>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</si>
  <si>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</si>
  <si>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</si>
  <si>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</si>
  <si>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</si>
  <si>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</si>
  <si>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</si>
  <si>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</si>
  <si>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</si>
  <si>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</si>
  <si>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</si>
  <si>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</si>
  <si>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</si>
  <si>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</si>
  <si>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</si>
  <si>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</si>
  <si>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</si>
  <si>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</si>
  <si>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</si>
  <si>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</si>
  <si>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</si>
  <si>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</si>
  <si>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</si>
  <si>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</si>
  <si>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</si>
  <si>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</si>
  <si>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</si>
  <si>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</si>
  <si>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</si>
  <si>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</si>
  <si>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</si>
  <si>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</si>
  <si>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</si>
  <si>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</si>
  <si>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</si>
  <si>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</si>
  <si>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</si>
  <si>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</si>
  <si>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</si>
  <si>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</si>
  <si>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</si>
  <si>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</si>
  <si>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Biancavilla</t>
  </si>
  <si>
    <t>Bronte</t>
  </si>
  <si>
    <t>Calatabiano</t>
  </si>
  <si>
    <t>Camporotondo Etneo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</si>
  <si>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</si>
  <si>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</si>
  <si>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</si>
  <si>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</si>
  <si>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</si>
  <si>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</si>
  <si>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</si>
  <si>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</si>
  <si>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</si>
  <si>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</si>
  <si>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</si>
  <si>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</si>
  <si>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</si>
  <si>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</si>
  <si>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</si>
  <si>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</si>
  <si>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</si>
  <si>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</si>
  <si>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</si>
  <si>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</si>
  <si>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</si>
  <si>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</si>
  <si>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</si>
  <si>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</si>
  <si>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</si>
  <si>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</si>
  <si>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</si>
  <si>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</si>
  <si>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</si>
  <si>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</si>
  <si>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</si>
  <si>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</si>
  <si>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</si>
  <si>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</si>
  <si>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</si>
  <si>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</si>
  <si>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</si>
  <si>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</si>
  <si>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</si>
  <si>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</si>
  <si>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</si>
  <si>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</si>
  <si>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</si>
  <si>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</si>
  <si>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</si>
  <si>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</si>
  <si>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</si>
  <si>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</si>
  <si>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</si>
  <si>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</si>
  <si>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</si>
  <si>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</si>
  <si>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</si>
  <si>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</si>
  <si>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</si>
  <si>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</si>
  <si>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</si>
  <si>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</si>
  <si>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</si>
  <si>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</si>
  <si>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</si>
  <si>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</si>
  <si>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</si>
  <si>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</si>
  <si>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</si>
  <si>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</si>
  <si>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</si>
  <si>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</si>
  <si>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</si>
  <si>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</si>
  <si>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</si>
  <si>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</si>
  <si>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</si>
  <si>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</si>
  <si>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</si>
  <si>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</si>
  <si>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</si>
  <si>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</si>
  <si>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</si>
  <si>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</si>
  <si>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</si>
  <si>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</si>
  <si>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</si>
  <si>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</si>
  <si>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</si>
  <si>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</si>
  <si>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</si>
  <si>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</si>
  <si>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</si>
  <si>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</si>
  <si>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</si>
  <si>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</si>
  <si>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</si>
  <si>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</si>
  <si>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</si>
  <si>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</si>
  <si>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</si>
  <si>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</si>
  <si>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</si>
  <si>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</si>
  <si>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</si>
  <si>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</si>
  <si>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</si>
  <si>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</si>
  <si>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</si>
  <si>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</si>
  <si>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</si>
  <si>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</si>
  <si>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</si>
  <si>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</si>
  <si>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</si>
  <si>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</si>
  <si>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</si>
  <si>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</si>
  <si>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</si>
  <si>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</si>
  <si>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</si>
  <si>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</si>
  <si>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</si>
  <si>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</si>
  <si>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</si>
  <si>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</si>
  <si>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</si>
  <si>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</si>
  <si>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</si>
  <si>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</si>
  <si>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</si>
  <si>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</si>
  <si>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</si>
  <si>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</si>
  <si>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</si>
  <si>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</si>
  <si>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</si>
  <si>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</si>
  <si>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</si>
  <si>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</si>
  <si>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</si>
  <si>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</si>
  <si>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</si>
  <si>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</si>
  <si>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</si>
  <si>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</si>
  <si>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</si>
  <si>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</si>
  <si>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</si>
  <si>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</si>
  <si>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</si>
  <si>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</si>
  <si>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</si>
  <si>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</si>
  <si>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</si>
  <si>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</si>
  <si>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</si>
  <si>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</si>
  <si>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</si>
  <si>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</si>
  <si>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</si>
  <si>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</si>
  <si>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</si>
  <si>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</si>
  <si>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</si>
  <si>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</si>
  <si>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</si>
  <si>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</si>
  <si>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</si>
  <si>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</si>
  <si>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</si>
  <si>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</si>
  <si>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</si>
  <si>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</si>
  <si>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</si>
  <si>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</si>
  <si>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</si>
  <si>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</si>
  <si>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</si>
  <si>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</si>
  <si>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</si>
  <si>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</si>
  <si>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</si>
  <si>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</si>
  <si>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</si>
  <si>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</si>
  <si>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</si>
  <si>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</si>
  <si>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</si>
  <si>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</si>
  <si>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</si>
  <si>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</si>
  <si>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</si>
  <si>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</si>
  <si>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</si>
  <si>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</si>
  <si>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</si>
  <si>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</si>
  <si>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</si>
  <si>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</si>
  <si>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</si>
  <si>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</si>
  <si>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</si>
  <si>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</si>
  <si>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</si>
  <si>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</si>
  <si>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</si>
  <si>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</si>
  <si>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</si>
  <si>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</si>
  <si>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</si>
  <si>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</si>
  <si>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</si>
  <si>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</si>
  <si>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</si>
  <si>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</si>
  <si>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</si>
  <si>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</si>
  <si>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Montelepre</t>
  </si>
  <si>
    <t>Montemaggiore Belsito</t>
  </si>
  <si>
    <t>Palazzo Adriano</t>
  </si>
  <si>
    <t>Partinico</t>
  </si>
  <si>
    <t>Petralia Soprana</t>
  </si>
  <si>
    <t>Petralia Sottana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</si>
  <si>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</si>
  <si>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</si>
  <si>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</si>
  <si>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</si>
  <si>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</si>
  <si>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</si>
  <si>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</si>
  <si>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</si>
  <si>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</si>
  <si>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</si>
  <si>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</si>
  <si>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</si>
  <si>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</si>
  <si>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</si>
  <si>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</si>
  <si>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</si>
  <si>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</si>
  <si>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</si>
  <si>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</si>
  <si>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</si>
  <si>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</si>
  <si>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</si>
  <si>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</si>
  <si>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</si>
  <si>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</si>
  <si>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</si>
  <si>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</si>
  <si>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</si>
  <si>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</si>
  <si>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</si>
  <si>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</si>
  <si>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</si>
  <si>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</si>
  <si>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</si>
  <si>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</si>
  <si>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</si>
  <si>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</si>
  <si>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</si>
  <si>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</si>
  <si>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</si>
  <si>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</si>
  <si>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</si>
  <si>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</si>
  <si>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</si>
  <si>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</si>
  <si>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</si>
  <si>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</si>
  <si>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</si>
  <si>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</si>
  <si>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</si>
  <si>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</si>
  <si>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</si>
  <si>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</si>
  <si>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</si>
  <si>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</si>
  <si>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</si>
  <si>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</si>
  <si>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</si>
  <si>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</si>
  <si>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</si>
  <si>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</si>
  <si>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</si>
  <si>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</si>
  <si>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</si>
  <si>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</si>
  <si>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</si>
  <si>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</si>
  <si>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</si>
  <si>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</si>
  <si>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</si>
  <si>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</si>
  <si>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</si>
  <si>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</si>
  <si>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</si>
  <si>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</si>
  <si>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</si>
  <si>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</si>
  <si>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</si>
  <si>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</si>
  <si>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</si>
  <si>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</si>
  <si>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</si>
  <si>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</si>
  <si>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</si>
  <si>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</si>
  <si>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</si>
  <si>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</si>
  <si>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</si>
  <si>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</si>
  <si>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</si>
  <si>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</si>
  <si>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</si>
  <si>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</si>
  <si>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</si>
  <si>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</si>
  <si>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</si>
  <si>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</si>
  <si>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</si>
  <si>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</si>
  <si>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</si>
  <si>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</si>
  <si>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</si>
  <si>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</si>
  <si>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</si>
  <si>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</si>
  <si>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</si>
  <si>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</si>
  <si>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</si>
  <si>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</si>
  <si>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</si>
  <si>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</si>
  <si>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</si>
  <si>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</si>
  <si>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</si>
  <si>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</si>
  <si>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</si>
  <si>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</si>
  <si>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</si>
  <si>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</si>
  <si>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</si>
  <si>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</si>
  <si>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</si>
  <si>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</si>
  <si>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</si>
  <si>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</si>
  <si>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</si>
  <si>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</si>
  <si>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</si>
  <si>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</si>
  <si>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</si>
  <si>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</si>
  <si>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</si>
  <si>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</si>
  <si>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</si>
  <si>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</si>
  <si>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</si>
  <si>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</si>
  <si>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</si>
  <si>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</si>
  <si>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</si>
  <si>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</si>
  <si>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</si>
  <si>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</si>
  <si>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</si>
  <si>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</si>
  <si>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</si>
  <si>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</si>
  <si>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</si>
  <si>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</si>
  <si>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</si>
  <si>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</si>
  <si>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</si>
  <si>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</si>
  <si>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</si>
  <si>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</si>
  <si>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</si>
  <si>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</si>
  <si>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</si>
  <si>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</si>
  <si>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</si>
  <si>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</si>
  <si>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</si>
  <si>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</si>
  <si>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</si>
  <si>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</si>
  <si>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</si>
  <si>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</si>
  <si>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</si>
  <si>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</si>
  <si>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</si>
  <si>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</si>
  <si>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</si>
  <si>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</si>
  <si>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</si>
  <si>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</si>
  <si>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</si>
  <si>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</si>
  <si>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</si>
  <si>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</si>
  <si>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</si>
  <si>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</si>
  <si>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</si>
  <si>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</si>
  <si>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</si>
  <si>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</si>
  <si>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</si>
  <si>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</si>
  <si>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</si>
  <si>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</si>
  <si>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</si>
  <si>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</si>
  <si>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</si>
  <si>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</si>
  <si>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</si>
  <si>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</si>
  <si>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</si>
  <si>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</si>
  <si>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</si>
  <si>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</si>
  <si>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</si>
  <si>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</si>
  <si>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</si>
  <si>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</si>
  <si>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</si>
  <si>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</si>
  <si>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</si>
  <si>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</si>
  <si>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</si>
  <si>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</si>
  <si>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</si>
  <si>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</si>
  <si>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</si>
  <si>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</si>
  <si>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</si>
  <si>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</si>
  <si>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</si>
  <si>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</si>
  <si>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</si>
  <si>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</si>
  <si>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</si>
  <si>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</si>
  <si>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</si>
  <si>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</si>
  <si>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</si>
  <si>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</si>
  <si>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</si>
  <si>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</si>
  <si>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</si>
  <si>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</si>
  <si>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</si>
  <si>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</si>
  <si>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</si>
  <si>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</si>
  <si>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</si>
  <si>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</si>
  <si>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</si>
  <si>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</si>
  <si>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</si>
  <si>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</si>
  <si>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</si>
  <si>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</si>
  <si>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</si>
  <si>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</si>
  <si>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</si>
  <si>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</si>
  <si>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</si>
  <si>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</si>
  <si>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</si>
  <si>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</si>
  <si>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</si>
  <si>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</si>
  <si>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</si>
  <si>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</si>
  <si>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</si>
  <si>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</si>
  <si>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</si>
  <si>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</si>
  <si>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</si>
  <si>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</si>
  <si>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</si>
  <si>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</si>
  <si>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</si>
  <si>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</si>
  <si>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</si>
  <si>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</si>
  <si>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</si>
  <si>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</si>
  <si>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</si>
  <si>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</si>
  <si>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</si>
  <si>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</si>
  <si>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</si>
  <si>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</si>
  <si>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</si>
  <si>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</si>
  <si>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</si>
  <si>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</si>
  <si>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</si>
  <si>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</si>
  <si>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</si>
  <si>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</si>
  <si>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</si>
  <si>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</si>
  <si>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</si>
  <si>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</si>
  <si>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</si>
  <si>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</si>
  <si>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</si>
  <si>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</si>
  <si>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</si>
  <si>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</si>
  <si>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</si>
  <si>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</si>
  <si>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</si>
  <si>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</si>
  <si>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</si>
  <si>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</si>
  <si>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</si>
  <si>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</si>
  <si>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</si>
  <si>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</si>
  <si>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</si>
  <si>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</si>
  <si>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</si>
  <si>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</si>
  <si>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</si>
  <si>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</si>
  <si>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</si>
  <si>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</si>
  <si>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</si>
  <si>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</si>
  <si>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</si>
  <si>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</si>
  <si>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</si>
  <si>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</si>
  <si>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</si>
  <si>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</si>
  <si>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</si>
  <si>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</si>
  <si>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</si>
  <si>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</si>
  <si>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</si>
  <si>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</si>
  <si>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</si>
  <si>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</si>
  <si>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</si>
  <si>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</si>
  <si>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</si>
  <si>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</si>
  <si>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</si>
  <si>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</si>
  <si>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</si>
  <si>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</si>
  <si>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</si>
  <si>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</si>
  <si>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</si>
  <si>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</si>
  <si>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</si>
  <si>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</si>
  <si>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</si>
  <si>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</si>
  <si>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</si>
  <si>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</si>
  <si>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</si>
  <si>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</si>
  <si>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</si>
  <si>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</si>
  <si>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</si>
  <si>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</si>
  <si>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</si>
  <si>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</si>
  <si>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</si>
  <si>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</si>
  <si>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</si>
  <si>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</si>
  <si>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</si>
  <si>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</si>
  <si>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</si>
  <si>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</si>
  <si>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</si>
  <si>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</si>
  <si>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</si>
  <si>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</si>
  <si>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</si>
  <si>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</si>
  <si>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</si>
  <si>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</si>
  <si>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</si>
  <si>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</si>
  <si>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</si>
  <si>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</si>
  <si>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</si>
  <si>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</si>
  <si>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</si>
  <si>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</si>
  <si>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</si>
  <si>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</si>
  <si>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</si>
  <si>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</si>
  <si>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</si>
  <si>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</si>
  <si>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</si>
  <si>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</si>
  <si>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</si>
  <si>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</si>
  <si>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</si>
  <si>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</si>
  <si>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</si>
  <si>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</si>
  <si>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</si>
  <si>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</si>
  <si>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</si>
  <si>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</si>
  <si>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</si>
  <si>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</si>
  <si>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</si>
  <si>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</si>
  <si>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</si>
  <si>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</si>
  <si>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</si>
  <si>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</si>
  <si>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</si>
  <si>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</si>
  <si>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</si>
  <si>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</si>
  <si>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</si>
  <si>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</si>
  <si>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</si>
  <si>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</si>
  <si>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</si>
  <si>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</si>
  <si>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</si>
  <si>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</si>
  <si>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</si>
  <si>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</si>
  <si>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</si>
  <si>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</si>
  <si>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</si>
  <si>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</si>
  <si>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</si>
  <si>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</si>
  <si>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</si>
  <si>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</si>
  <si>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</si>
  <si>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</si>
  <si>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</si>
  <si>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</si>
  <si>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</si>
  <si>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</si>
  <si>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</si>
  <si>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</si>
  <si>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</si>
  <si>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</si>
  <si>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</si>
  <si>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</si>
  <si>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</si>
  <si>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</si>
  <si>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</si>
  <si>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</si>
  <si>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</si>
  <si>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</si>
  <si>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</si>
  <si>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</si>
  <si>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</si>
  <si>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</si>
  <si>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</si>
  <si>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</si>
  <si>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</si>
  <si>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</si>
  <si>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</si>
  <si>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</si>
  <si>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</si>
  <si>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</si>
  <si>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</si>
  <si>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</si>
  <si>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</si>
  <si>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</si>
  <si>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</si>
  <si>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</si>
  <si>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</si>
  <si>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</si>
  <si>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</si>
  <si>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</si>
  <si>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</si>
  <si>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</si>
  <si>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</si>
  <si>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</si>
  <si>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</si>
  <si>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</si>
  <si>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</si>
  <si>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</si>
  <si>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</si>
  <si>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</si>
  <si>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</si>
  <si>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</si>
  <si>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</si>
  <si>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</si>
  <si>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</si>
  <si>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</si>
  <si>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</si>
  <si>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</si>
  <si>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</si>
  <si>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</si>
  <si>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</si>
  <si>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</si>
  <si>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</si>
  <si>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</si>
  <si>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</si>
  <si>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</si>
  <si>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</si>
  <si>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</si>
  <si>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</si>
  <si>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</si>
  <si>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</si>
  <si>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</si>
  <si>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</si>
  <si>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</si>
  <si>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</si>
  <si>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</si>
  <si>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</si>
  <si>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</si>
  <si>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</si>
  <si>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</si>
  <si>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</si>
  <si>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</si>
  <si>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</si>
  <si>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</si>
  <si>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</si>
  <si>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</si>
  <si>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</si>
  <si>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</si>
  <si>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</si>
  <si>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</si>
  <si>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</si>
  <si>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</si>
  <si>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</si>
  <si>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</si>
  <si>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</si>
  <si>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</si>
  <si>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</si>
  <si>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</si>
  <si>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</si>
  <si>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</si>
  <si>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</si>
  <si>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</si>
  <si>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</si>
  <si>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</si>
  <si>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</si>
  <si>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</si>
  <si>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</si>
  <si>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</si>
  <si>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</si>
  <si>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</si>
  <si>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</si>
  <si>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</si>
  <si>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</si>
  <si>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</si>
  <si>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</si>
  <si>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</si>
  <si>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</si>
  <si>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</si>
  <si>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</si>
  <si>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</si>
  <si>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</si>
  <si>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</si>
  <si>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</si>
  <si>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</si>
  <si>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</si>
  <si>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</si>
  <si>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</si>
  <si>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</si>
  <si>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</si>
  <si>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</si>
  <si>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</si>
  <si>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</si>
  <si>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</si>
  <si>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</si>
  <si>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</si>
  <si>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</si>
  <si>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</si>
  <si>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</si>
  <si>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</si>
  <si>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</si>
  <si>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</si>
  <si>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</si>
  <si>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</si>
  <si>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</si>
  <si>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</si>
  <si>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</si>
  <si>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</si>
  <si>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</si>
  <si>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</si>
  <si>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</si>
  <si>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</si>
  <si>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</si>
  <si>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</si>
  <si>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</si>
  <si>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</si>
  <si>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</si>
  <si>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</si>
  <si>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</si>
  <si>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</si>
  <si>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</si>
  <si>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</si>
  <si>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</si>
  <si>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</si>
  <si>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</si>
  <si>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</si>
  <si>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</si>
  <si>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</si>
  <si>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</si>
  <si>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</si>
  <si>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</si>
  <si>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</si>
  <si>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</si>
  <si>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</si>
  <si>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</si>
  <si>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</si>
  <si>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</si>
  <si>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</si>
  <si>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</si>
  <si>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</si>
  <si>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</si>
  <si>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</si>
  <si>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</si>
  <si>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</si>
  <si>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</si>
  <si>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</si>
  <si>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</si>
  <si>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</si>
  <si>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</si>
  <si>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</si>
  <si>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</si>
  <si>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</si>
  <si>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</si>
  <si>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</si>
  <si>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</si>
  <si>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</si>
  <si>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</si>
  <si>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</si>
  <si>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</si>
  <si>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</si>
  <si>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</si>
  <si>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</si>
  <si>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</si>
  <si>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</si>
  <si>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</si>
  <si>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</si>
  <si>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</si>
  <si>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</si>
  <si>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</si>
  <si>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</si>
  <si>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</si>
  <si>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</si>
  <si>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</si>
  <si>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</si>
  <si>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</si>
  <si>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</si>
  <si>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</si>
  <si>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</si>
  <si>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</si>
  <si>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</si>
  <si>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</si>
  <si>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</si>
  <si>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</si>
  <si>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</si>
  <si>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</si>
  <si>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</si>
  <si>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</si>
  <si>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</si>
  <si>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</si>
  <si>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</si>
  <si>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</si>
  <si>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</si>
  <si>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</si>
  <si>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</si>
  <si>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</si>
  <si>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</si>
  <si>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</si>
  <si>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</si>
  <si>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</si>
  <si>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</si>
  <si>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</si>
  <si>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</si>
  <si>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</si>
  <si>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</si>
  <si>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</si>
  <si>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</si>
  <si>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</si>
  <si>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</si>
  <si>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</si>
  <si>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</si>
  <si>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</si>
  <si>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</si>
  <si>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</si>
  <si>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</si>
  <si>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</si>
  <si>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</si>
  <si>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</si>
  <si>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</si>
  <si>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</si>
  <si>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</si>
  <si>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</si>
  <si>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</si>
  <si>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</si>
  <si>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</si>
  <si>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</si>
  <si>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</si>
  <si>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</si>
  <si>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</si>
  <si>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</si>
  <si>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</si>
  <si>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</si>
  <si>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</si>
  <si>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</si>
  <si>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</si>
  <si>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</si>
  <si>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</si>
  <si>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</si>
  <si>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</si>
  <si>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</si>
  <si>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</si>
  <si>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</si>
  <si>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</si>
  <si>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</si>
  <si>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</si>
  <si>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</si>
  <si>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</si>
  <si>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</si>
  <si>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</si>
  <si>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</si>
  <si>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</si>
  <si>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</si>
  <si>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</si>
  <si>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</si>
  <si>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</si>
  <si>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</si>
  <si>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</si>
  <si>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</si>
  <si>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</si>
  <si>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</si>
  <si>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</si>
  <si>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</si>
  <si>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</si>
  <si>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</si>
  <si>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</si>
  <si>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</si>
  <si>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</si>
  <si>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</si>
  <si>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</si>
  <si>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</si>
  <si>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</si>
  <si>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</si>
  <si>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</si>
  <si>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</si>
  <si>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</si>
  <si>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</si>
  <si>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</si>
  <si>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</si>
  <si>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</si>
  <si>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</si>
  <si>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</si>
  <si>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</si>
  <si>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</si>
  <si>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</si>
  <si>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</si>
  <si>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</si>
  <si>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</si>
  <si>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</si>
  <si>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</si>
  <si>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</si>
  <si>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</si>
  <si>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</si>
  <si>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</si>
  <si>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</si>
  <si>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</si>
  <si>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</si>
  <si>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</si>
  <si>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</si>
  <si>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</si>
  <si>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</si>
  <si>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</si>
  <si>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</si>
  <si>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</si>
  <si>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</si>
  <si>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</si>
  <si>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</si>
  <si>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</si>
  <si>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</si>
  <si>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</si>
  <si>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</si>
  <si>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</si>
  <si>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</si>
  <si>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</si>
  <si>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</si>
  <si>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</si>
  <si>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</si>
  <si>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</si>
  <si>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</si>
  <si>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</si>
  <si>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</si>
  <si>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</si>
  <si>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</si>
  <si>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</si>
  <si>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</si>
  <si>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</si>
  <si>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</si>
  <si>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</si>
  <si>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</si>
  <si>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</si>
  <si>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</si>
  <si>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</si>
  <si>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</si>
  <si>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</si>
  <si>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</si>
  <si>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</si>
  <si>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</si>
  <si>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</si>
  <si>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</si>
  <si>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</si>
  <si>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</si>
  <si>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</si>
  <si>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</si>
  <si>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</si>
  <si>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</si>
  <si>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</si>
  <si>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</si>
  <si>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</si>
  <si>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</si>
  <si>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</si>
  <si>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</si>
  <si>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</si>
  <si>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</si>
  <si>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</si>
  <si>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</si>
  <si>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</si>
  <si>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</si>
  <si>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</si>
  <si>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</si>
  <si>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</si>
  <si>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</si>
  <si>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</si>
  <si>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</si>
  <si>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</si>
  <si>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</si>
  <si>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</si>
  <si>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</si>
  <si>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</si>
  <si>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</si>
  <si>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</si>
  <si>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</si>
  <si>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</si>
  <si>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</si>
  <si>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</si>
  <si>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</si>
  <si>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</si>
  <si>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</si>
  <si>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</si>
  <si>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</si>
  <si>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</si>
  <si>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</si>
  <si>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</si>
  <si>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</si>
  <si>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</si>
  <si>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</si>
  <si>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</si>
  <si>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</si>
  <si>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</si>
  <si>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</si>
  <si>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</si>
  <si>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</si>
  <si>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</si>
  <si>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</si>
  <si>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</si>
  <si>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</si>
  <si>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</si>
  <si>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</si>
  <si>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</si>
  <si>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</si>
  <si>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</si>
  <si>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</si>
  <si>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</si>
  <si>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</si>
  <si>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</si>
  <si>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</si>
  <si>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</si>
  <si>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</si>
  <si>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</si>
  <si>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</si>
  <si>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</si>
  <si>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</si>
  <si>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</si>
  <si>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</si>
  <si>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</si>
  <si>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</si>
  <si>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</si>
  <si>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</si>
  <si>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</si>
  <si>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</si>
  <si>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</si>
  <si>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</si>
  <si>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</si>
  <si>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</si>
  <si>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</si>
  <si>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</si>
  <si>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</si>
  <si>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</si>
  <si>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</si>
  <si>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</si>
  <si>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</si>
  <si>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</si>
  <si>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</si>
  <si>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</si>
  <si>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</si>
  <si>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</si>
  <si>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</si>
  <si>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</si>
  <si>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</si>
  <si>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</si>
  <si>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</si>
  <si>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</si>
  <si>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</si>
  <si>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</si>
  <si>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</si>
  <si>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</si>
  <si>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</si>
  <si>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</si>
  <si>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</si>
  <si>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</si>
  <si>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</si>
  <si>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</si>
  <si>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</si>
  <si>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</si>
  <si>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</si>
  <si>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</si>
  <si>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</si>
  <si>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</si>
  <si>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</si>
  <si>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</si>
  <si>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</si>
  <si>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</si>
  <si>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</si>
  <si>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</si>
  <si>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</si>
  <si>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</si>
  <si>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</si>
  <si>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</si>
  <si>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</si>
  <si>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</si>
  <si>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</si>
  <si>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</si>
  <si>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</si>
  <si>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</si>
  <si>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</si>
  <si>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</si>
  <si>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</si>
  <si>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</si>
  <si>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</si>
  <si>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</si>
  <si>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</si>
  <si>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</si>
  <si>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</si>
  <si>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</si>
  <si>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</si>
  <si>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</si>
  <si>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</si>
  <si>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</si>
  <si>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</si>
  <si>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</si>
  <si>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</si>
  <si>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</si>
  <si>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</si>
  <si>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</si>
  <si>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</si>
  <si>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</si>
  <si>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</si>
  <si>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</si>
  <si>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</si>
  <si>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</si>
  <si>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</si>
  <si>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</si>
  <si>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</si>
  <si>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</si>
  <si>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</si>
  <si>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</si>
  <si>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</si>
  <si>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</si>
  <si>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</si>
  <si>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</si>
  <si>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</si>
  <si>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</si>
  <si>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</si>
  <si>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</si>
  <si>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</si>
  <si>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</si>
  <si>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</si>
  <si>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</si>
  <si>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</si>
  <si>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</si>
  <si>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</si>
  <si>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</si>
  <si>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</si>
  <si>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</si>
  <si>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</si>
  <si>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</si>
  <si>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</si>
  <si>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</si>
  <si>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</si>
  <si>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</si>
  <si>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</si>
  <si>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</si>
  <si>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</si>
  <si>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</si>
  <si>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</si>
  <si>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</si>
  <si>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</si>
  <si>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</si>
  <si>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</si>
  <si>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</si>
  <si>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</si>
  <si>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</si>
  <si>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</si>
  <si>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</si>
  <si>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</si>
  <si>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</si>
  <si>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</si>
  <si>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</si>
  <si>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</si>
  <si>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</si>
  <si>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</si>
  <si>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</si>
  <si>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</si>
  <si>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</si>
  <si>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</si>
  <si>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</si>
  <si>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</si>
  <si>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</si>
  <si>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</si>
  <si>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</si>
  <si>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</si>
  <si>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</si>
  <si>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</si>
  <si>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</si>
  <si>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</si>
  <si>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</si>
  <si>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</si>
  <si>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</si>
  <si>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</si>
  <si>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</si>
  <si>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</si>
  <si>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</si>
  <si>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</si>
  <si>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</si>
  <si>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</si>
  <si>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</si>
  <si>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</si>
  <si>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</si>
  <si>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</si>
  <si>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</si>
  <si>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</si>
  <si>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</si>
  <si>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</si>
  <si>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</si>
  <si>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</si>
  <si>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</si>
  <si>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</si>
  <si>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</si>
  <si>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</si>
  <si>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</si>
  <si>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</si>
  <si>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</si>
  <si>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</si>
  <si>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</si>
  <si>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</si>
  <si>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</si>
  <si>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</si>
  <si>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</si>
  <si>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</si>
  <si>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</si>
  <si>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</si>
  <si>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</si>
  <si>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</si>
  <si>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</si>
  <si>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</si>
  <si>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</si>
  <si>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</si>
  <si>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</si>
  <si>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</si>
  <si>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</si>
  <si>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</si>
  <si>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</si>
  <si>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</si>
  <si>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</si>
  <si>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</si>
  <si>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</si>
  <si>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</si>
  <si>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</si>
  <si>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</si>
  <si>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</si>
  <si>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</si>
  <si>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</si>
  <si>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</si>
  <si>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</si>
  <si>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</si>
  <si>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</si>
  <si>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</si>
  <si>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</si>
  <si>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</si>
  <si>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</si>
  <si>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</si>
  <si>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</si>
  <si>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</si>
  <si>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</si>
  <si>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</si>
  <si>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</si>
  <si>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</si>
  <si>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</si>
  <si>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</si>
  <si>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</si>
  <si>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</si>
  <si>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</si>
  <si>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</si>
  <si>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</si>
  <si>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</si>
  <si>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</si>
  <si>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</si>
  <si>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</si>
  <si>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</si>
  <si>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</si>
  <si>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</si>
  <si>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</si>
  <si>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</si>
  <si>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</si>
  <si>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</si>
  <si>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</si>
  <si>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</si>
  <si>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</si>
  <si>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</si>
  <si>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</si>
  <si>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</si>
  <si>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</si>
  <si>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</si>
  <si>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</si>
  <si>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</si>
  <si>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</si>
  <si>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</si>
  <si>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</si>
  <si>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</si>
  <si>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</si>
  <si>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</si>
  <si>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</si>
  <si>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</si>
  <si>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</si>
  <si>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</si>
  <si>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</si>
  <si>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</si>
  <si>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</si>
  <si>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</si>
  <si>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</si>
  <si>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</si>
  <si>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</si>
  <si>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</si>
  <si>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</si>
  <si>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</si>
  <si>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</si>
  <si>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</si>
  <si>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</si>
  <si>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</si>
  <si>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</si>
  <si>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</si>
  <si>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</si>
  <si>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</si>
  <si>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</si>
  <si>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</si>
  <si>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</si>
  <si>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</si>
  <si>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</si>
  <si>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</si>
  <si>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</si>
  <si>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</si>
  <si>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</si>
  <si>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</si>
  <si>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</si>
  <si>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</si>
  <si>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</si>
  <si>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</si>
  <si>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</si>
  <si>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</si>
  <si>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</si>
  <si>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</si>
  <si>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</si>
  <si>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</si>
  <si>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</si>
  <si>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</si>
  <si>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</si>
  <si>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</si>
  <si>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</si>
  <si>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</si>
  <si>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</si>
  <si>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</si>
  <si>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</si>
  <si>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</si>
  <si>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</si>
  <si>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</si>
  <si>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</si>
  <si>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</si>
  <si>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</si>
  <si>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</si>
  <si>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</si>
  <si>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</si>
  <si>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</si>
  <si>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</si>
  <si>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</si>
  <si>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</si>
  <si>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</si>
  <si>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</si>
  <si>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</si>
  <si>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</si>
  <si>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</si>
  <si>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</si>
  <si>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</si>
  <si>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</si>
  <si>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</si>
  <si>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</si>
  <si>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</si>
  <si>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</si>
  <si>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</si>
  <si>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</si>
  <si>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</si>
  <si>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</si>
  <si>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</si>
  <si>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</si>
  <si>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</si>
  <si>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</si>
  <si>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</si>
  <si>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</si>
  <si>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</si>
  <si>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</si>
  <si>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</si>
  <si>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</si>
  <si>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</si>
  <si>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</si>
  <si>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</si>
  <si>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</si>
  <si>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</si>
  <si>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</si>
  <si>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</si>
  <si>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</si>
  <si>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</si>
  <si>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</si>
  <si>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</si>
  <si>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</si>
  <si>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</si>
  <si>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</si>
  <si>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</si>
  <si>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</si>
  <si>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</si>
  <si>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</si>
  <si>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</si>
  <si>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</si>
  <si>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</si>
  <si>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</si>
  <si>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</si>
  <si>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</si>
  <si>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</si>
  <si>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</si>
  <si>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</si>
  <si>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</si>
  <si>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</si>
  <si>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</si>
  <si>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</si>
  <si>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</si>
  <si>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</si>
  <si>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</si>
  <si>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</si>
  <si>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</si>
  <si>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</si>
  <si>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</si>
  <si>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</si>
  <si>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</si>
  <si>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</si>
  <si>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</si>
  <si>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</si>
  <si>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</si>
  <si>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</si>
  <si>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</si>
  <si>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</si>
  <si>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</si>
  <si>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</si>
  <si>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</si>
  <si>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</si>
  <si>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</si>
  <si>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</si>
  <si>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</si>
  <si>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</si>
  <si>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</si>
  <si>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</si>
  <si>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</si>
  <si>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</si>
  <si>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</si>
  <si>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</si>
  <si>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</si>
  <si>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</si>
  <si>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</si>
  <si>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</si>
  <si>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</si>
  <si>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</si>
  <si>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</si>
  <si>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</si>
  <si>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</si>
  <si>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</si>
  <si>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</si>
  <si>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</si>
  <si>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</si>
  <si>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</si>
  <si>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</si>
  <si>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</si>
  <si>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</si>
  <si>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</si>
  <si>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</si>
  <si>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</si>
  <si>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</si>
  <si>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</si>
  <si>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</si>
  <si>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</si>
  <si>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</si>
  <si>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</si>
  <si>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</si>
  <si>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</si>
  <si>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</si>
  <si>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</si>
  <si>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</si>
  <si>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</si>
  <si>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</si>
  <si>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</si>
  <si>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</si>
  <si>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</si>
  <si>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</si>
  <si>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</si>
  <si>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</si>
  <si>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</si>
  <si>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</si>
  <si>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</si>
  <si>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</si>
  <si>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</si>
  <si>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</si>
  <si>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</si>
  <si>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</si>
  <si>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</si>
  <si>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</si>
  <si>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</si>
  <si>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</si>
  <si>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</si>
  <si>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</si>
  <si>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</si>
  <si>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</si>
  <si>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</si>
  <si>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</si>
  <si>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</si>
  <si>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</si>
  <si>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</si>
  <si>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</si>
  <si>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</si>
  <si>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</si>
  <si>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</si>
  <si>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</si>
  <si>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</si>
  <si>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</si>
  <si>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</si>
  <si>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</si>
  <si>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</si>
  <si>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</si>
  <si>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</si>
  <si>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</si>
  <si>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</si>
  <si>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</si>
  <si>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</si>
  <si>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</si>
  <si>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</si>
  <si>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</si>
  <si>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</si>
  <si>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</si>
  <si>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</si>
  <si>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</si>
  <si>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</si>
  <si>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</si>
  <si>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</si>
  <si>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</si>
  <si>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</si>
  <si>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</si>
  <si>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</si>
  <si>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</si>
  <si>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</si>
  <si>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</si>
  <si>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</si>
  <si>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</si>
  <si>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</si>
  <si>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</si>
  <si>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</si>
  <si>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</si>
  <si>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</si>
  <si>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</si>
  <si>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</si>
  <si>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</si>
  <si>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</si>
  <si>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</si>
  <si>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</si>
  <si>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</si>
  <si>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</si>
  <si>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</si>
  <si>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</si>
  <si>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</si>
  <si>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</si>
  <si>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</si>
  <si>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</si>
  <si>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</si>
  <si>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</si>
  <si>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</si>
  <si>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</si>
  <si>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</si>
  <si>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</si>
  <si>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</si>
  <si>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</si>
  <si>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</si>
  <si>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</si>
  <si>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</si>
  <si>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</si>
  <si>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</si>
  <si>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</si>
  <si>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</si>
  <si>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</si>
  <si>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</si>
  <si>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</si>
  <si>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</si>
  <si>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</si>
  <si>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</si>
  <si>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</si>
  <si>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</si>
  <si>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</si>
  <si>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</si>
  <si>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</si>
  <si>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</si>
  <si>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</si>
  <si>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</si>
  <si>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</si>
  <si>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</si>
  <si>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</si>
  <si>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</si>
  <si>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</si>
  <si>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</si>
  <si>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</si>
  <si>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</si>
  <si>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</si>
  <si>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</si>
  <si>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</si>
  <si>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</si>
  <si>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</si>
  <si>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</si>
  <si>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</si>
  <si>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</si>
  <si>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</si>
  <si>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</si>
  <si>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</si>
  <si>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</si>
  <si>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</si>
  <si>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</si>
  <si>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</si>
  <si>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</si>
  <si>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</si>
  <si>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</si>
  <si>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</si>
  <si>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</si>
  <si>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</si>
  <si>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</si>
  <si>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</si>
  <si>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</si>
  <si>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</si>
  <si>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</si>
  <si>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</si>
  <si>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</si>
  <si>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</si>
  <si>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</si>
  <si>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</si>
  <si>
    <t>CCE ITALIA</t>
  </si>
  <si>
    <t>Smart Island Pantelleria</t>
  </si>
  <si>
    <t>Lavori in zona Arenella</t>
  </si>
  <si>
    <t>CAPOBIANCO SRL</t>
  </si>
  <si>
    <t>Capobianco</t>
  </si>
  <si>
    <t>Progetto anche a Enna e Raddusa (CT)</t>
  </si>
  <si>
    <t>EDPR SICILIA PV SRL</t>
  </si>
  <si>
    <t>Zaffarana 38</t>
  </si>
  <si>
    <t>PUA approvato, agrivoltaico</t>
  </si>
  <si>
    <t>RENANTIS ITALIA SRL</t>
  </si>
  <si>
    <t>Biddine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</si>
</sst>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sz val="10"/>
      <color rgb="FF666666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2"/>
      <color rgb="FF1F4E78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b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22"/>
      <color rgb="FF1F4E7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9" fillId="4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7" fontId="9" fillId="4" borderId="2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vertical="center"/>
    </xf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3" fillId="11" borderId="0" xfId="0" applyFont="1" applyFill="1" applyAlignment="1" applyProtection="1">
      <alignment vertical="center"/>
      <protection locked="0"/>
    </xf>
    <xf numFmtId="0" fontId="3" fillId="11" borderId="0" xfId="0" applyFont="1" applyFill="1" applyAlignment="1" applyProtection="1">
      <alignment horizontal="left" vertical="center"/>
      <protection locked="0"/>
    </xf>
  </cellXfs>
  <cellStyles count="1">
    <cellStyle name="Normale" xfId="0" builtinId="0"/>
  </cellStyles>
  <dxfs count="1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0</xdr:row>
      <xdr:rowOff>8467</xdr:rowOff>
    </xdr:from>
    <xdr:to>
      <xdr:col>11</xdr:col>
      <xdr:colOff>1635634</xdr:colOff>
      <xdr:row>4</xdr:row>
      <xdr:rowOff>176107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6A29E-C083-4875-9153-C03064A5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8467"/>
          <a:ext cx="2272751" cy="125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workbookViewId="0">
      <selection activeCell="A15" sqref="A15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43" t="s">
        <v>3</v>
      </c>
    </row>
    <row r="5" spans="1:2" x14ac:dyDescent="0.35">
      <c r="A5" t="s">
        <v>4</v>
      </c>
      <c r="B5" s="3" t="str">
        <f>IF(OR(B4="Lucca",B4="Firenze",B4="Livorno",B4="Parma",B4="Sassuolo",B4="Bologna",B4="Rimini",B4="Perugia",B4="Cagliari",B4="Sassari"),"Centro",IF(OR(B4="Roma Nomentana",B4="Roma Aurelia",B4="Frosinone",B4="Napoli",B4="Salerno",B4="Bari",B4="Cosenza",B4="Catania"),"Sud",IF(OR(B4="Genova",B4="Albenga",B4="Bergamo",B4="Brescia",B4="Cuneo",B4="Lecco",B4="Milano Est",B4="Milano Ovest",B4="Milano Nord",B4="Milano Sud",B4="Sondrio",B4="Torino"),"Nord Ovest",IF(OR(B4="Bolzano",B4="Brunico",B4="Padova",B4="Trento",B4="Treviso",B4="Udine",B4="Venezia",B4="Verona"),"Nord Est",""))))</f>
        <v>Sud</v>
      </c>
    </row>
    <row r="6" spans="1:2" x14ac:dyDescent="0.35">
      <c r="A6" t="s">
        <v>5</v>
      </c>
      <c r="B6" s="44">
        <v>2026</v>
      </c>
    </row>
    <row r="7" spans="1:2" x14ac:dyDescent="0.35">
      <c r="A7" t="s">
        <v>6</v>
      </c>
      <c r="B7" s="4" t="s">
        <v>7</v>
      </c>
    </row>
    <row r="9" spans="1:2" ht="15.65" customHeight="1" x14ac:dyDescent="0.35">
      <c r="A9" s="5" t="s">
        <v>8</v>
      </c>
    </row>
    <row r="10" spans="1:2" x14ac:dyDescent="0.35">
      <c r="A10" s="6" t="s">
        <v>9</v>
      </c>
    </row>
    <row r="11" spans="1:2" x14ac:dyDescent="0.35">
      <c r="A11" s="6" t="s">
        <v>10</v>
      </c>
    </row>
    <row r="12" spans="1:2" x14ac:dyDescent="0.35">
      <c r="A12" s="6" t="s">
        <v>11</v>
      </c>
    </row>
    <row r="13" spans="1:2" ht="14.5" customHeight="1" x14ac:dyDescent="0.35">
      <c r="A13" s="6" t="s">
        <v>12</v>
      </c>
    </row>
    <row r="14" spans="1:2" x14ac:dyDescent="0.35">
      <c r="A14" s="6" t="s">
        <v>13</v>
      </c>
    </row>
    <row r="15" spans="1:2" x14ac:dyDescent="0.35">
      <c r="A15" s="6" t="s">
        <v>14</v>
      </c>
    </row>
    <row r="16" spans="1:2" x14ac:dyDescent="0.35">
      <c r="A16" s="6"/>
    </row>
    <row r="19" spans="1:2" ht="15.65" customHeight="1" x14ac:dyDescent="0.35">
      <c r="A19" s="5" t="s">
        <v>15</v>
      </c>
    </row>
    <row r="20" spans="1:2" x14ac:dyDescent="0.35">
      <c r="A20" s="7" t="s">
        <v>16</v>
      </c>
      <c r="B20" t="s">
        <v>17</v>
      </c>
    </row>
    <row r="21" spans="1:2" x14ac:dyDescent="0.35">
      <c r="A21" s="8" t="s">
        <v>18</v>
      </c>
      <c r="B21" t="s">
        <v>19</v>
      </c>
    </row>
    <row r="22" spans="1:2" x14ac:dyDescent="0.35">
      <c r="A22" s="9" t="s">
        <v>20</v>
      </c>
      <c r="B22" t="s">
        <v>21</v>
      </c>
    </row>
  </sheetData>
  <sheetProtection algorithmName="SHA-512" hashValue="Pw+sp5POE2vHUnSBVxwxPnYCllCaETTEJDz5d1qlxQ1Y4s3dFwYGuQtLtyi6gMLkgJV7soixyW3zKCfy9C+OOw==" saltValue="WGDI8GM5+ZgKO1BMiMY4h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286F0E-DB58-4B15-89D1-A681B73CE241}">
          <x14:formula1>
            <xm:f>Liste!$B$3:$B$40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tabSelected="1" topLeftCell="N1" zoomScale="80" zoomScaleNormal="80" workbookViewId="0">
      <selection activeCell="AD27" sqref="AD27"/>
    </sheetView>
  </sheetViews>
  <sheetFormatPr defaultRowHeight="14.5" x14ac:dyDescent="0.35"/>
  <cols>
    <col min="1" max="1" width="16" customWidth="1"/>
    <col min="2" max="2" width="9.453125" bestFit="1" customWidth="1"/>
    <col min="3" max="3" width="31.54296875" customWidth="1"/>
    <col min="4" max="4" width="15.54296875" bestFit="1" customWidth="1"/>
    <col min="5" max="5" width="28" customWidth="1"/>
    <col min="6" max="7" width="14" customWidth="1"/>
    <col min="8" max="8" width="18.1796875" bestFit="1" customWidth="1"/>
    <col min="9" max="9" width="17.453125" bestFit="1" customWidth="1"/>
    <col min="10" max="10" width="14.54296875" bestFit="1" customWidth="1"/>
    <col min="11" max="12" width="14.54296875" style="28" customWidth="1"/>
    <col min="13" max="13" width="17.81640625" bestFit="1" customWidth="1"/>
    <col min="14" max="14" width="22" customWidth="1"/>
    <col min="15" max="15" width="24.453125" bestFit="1" customWidth="1"/>
    <col min="16" max="16" width="17" bestFit="1" customWidth="1"/>
    <col min="17" max="17" width="24" bestFit="1" customWidth="1"/>
    <col min="18" max="18" width="24.54296875" bestFit="1" customWidth="1"/>
    <col min="19" max="19" width="15.453125" bestFit="1" customWidth="1"/>
    <col min="20" max="20" width="18.1796875" bestFit="1" customWidth="1"/>
    <col min="21" max="21" width="37.453125" customWidth="1"/>
    <col min="22" max="22" width="13.453125" bestFit="1" customWidth="1"/>
    <col min="23" max="23" width="12.453125" bestFit="1" customWidth="1"/>
    <col min="24" max="24" width="14.81640625" bestFit="1" customWidth="1"/>
    <col min="25" max="26" width="13.81640625" bestFit="1" customWidth="1"/>
    <col min="27" max="27" width="12.81640625" bestFit="1" customWidth="1"/>
    <col min="28" max="28" width="14.54296875" bestFit="1" customWidth="1"/>
    <col min="29" max="29" width="13.54296875" bestFit="1" customWidth="1"/>
    <col min="30" max="30" width="15.1796875" bestFit="1" customWidth="1"/>
    <col min="31" max="31" width="14.1796875" bestFit="1" customWidth="1"/>
    <col min="32" max="32" width="16.453125" bestFit="1" customWidth="1"/>
    <col min="33" max="33" width="15.453125" bestFit="1" customWidth="1"/>
    <col min="34" max="34" width="19.1796875" bestFit="1" customWidth="1"/>
  </cols>
  <sheetData>
    <row r="1" spans="1:34" ht="21" customHeight="1" x14ac:dyDescent="0.5">
      <c r="A1" s="1" t="s">
        <v>81</v>
      </c>
      <c r="B1" s="1"/>
    </row>
    <row r="2" spans="1:34" x14ac:dyDescent="0.35">
      <c r="A2" s="2" t="s">
        <v>82</v>
      </c>
      <c r="B2" s="2"/>
    </row>
    <row r="4" spans="1:34" ht="22" customHeight="1" x14ac:dyDescent="0.35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11" t="s">
        <v>93</v>
      </c>
      <c r="L4" s="11" t="s">
        <v>94</v>
      </c>
      <c r="M4" s="11" t="s">
        <v>23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27</v>
      </c>
      <c r="U4" s="11" t="s">
        <v>101</v>
      </c>
      <c r="V4" s="22" t="s">
        <v>102</v>
      </c>
      <c r="W4" s="22" t="s">
        <v>103</v>
      </c>
      <c r="X4" s="23" t="s">
        <v>104</v>
      </c>
      <c r="Y4" s="23" t="s">
        <v>105</v>
      </c>
      <c r="Z4" s="25" t="s">
        <v>106</v>
      </c>
      <c r="AA4" s="25" t="s">
        <v>107</v>
      </c>
      <c r="AB4" s="24" t="s">
        <v>108</v>
      </c>
      <c r="AC4" s="24" t="s">
        <v>109</v>
      </c>
      <c r="AD4" s="26" t="s">
        <v>110</v>
      </c>
      <c r="AE4" s="26" t="s">
        <v>111</v>
      </c>
      <c r="AF4" s="27" t="s">
        <v>112</v>
      </c>
      <c r="AG4" s="27" t="s">
        <v>113</v>
      </c>
      <c r="AH4" s="11" t="s">
        <v>114</v>
      </c>
    </row>
    <row r="5" spans="1:34" x14ac:dyDescent="0.35">
      <c r="A5" s="29" t="str">
        <f>Istruzioni!$B$4</f>
        <v>Catania</v>
      </c>
      <c r="B5" s="29" t="str">
        <f>Istruzioni!$B$5</f>
        <v>Sud</v>
      </c>
      <c r="C5" s="30" t="s">
        <v>115</v>
      </c>
      <c r="D5" s="30"/>
      <c r="E5" s="30" t="s">
        <v>116</v>
      </c>
      <c r="F5" s="31" t="s">
        <v>117</v>
      </c>
      <c r="G5" s="31" t="s">
        <v>3</v>
      </c>
      <c r="H5" s="31" t="s">
        <v>118</v>
      </c>
      <c r="I5" s="32">
        <v>45</v>
      </c>
      <c r="J5" s="33"/>
      <c r="K5" s="34"/>
      <c r="L5" s="34"/>
      <c r="M5" s="31" t="s">
        <v>29</v>
      </c>
      <c r="N5" s="31" t="s">
        <v>40</v>
      </c>
      <c r="O5" s="31"/>
      <c r="P5" s="35"/>
      <c r="Q5" s="35"/>
      <c r="R5" s="35">
        <v>46110</v>
      </c>
      <c r="S5" s="36" t="str">
        <f t="shared" ref="S5:S36" ca="1" si="0">IF(OR(Q5="",M5="Completato",M5="Perso"),"",MAX(TODAY()-Q5,0))</f>
        <v/>
      </c>
      <c r="T5" s="29" t="str">
        <f t="shared" ref="T5:T36" ca="1" si="1">IF(OR(Q5="",M5="Completato",M5="Perso"),"",IF(Q5&lt;TODAY(),"In ritardo",IF(Q5&lt;=TODAY()+30,"In scadenza","On track")))</f>
        <v/>
      </c>
      <c r="U5" s="30" t="s">
        <v>119</v>
      </c>
      <c r="V5" s="35"/>
      <c r="W5" s="35"/>
      <c r="X5" s="35"/>
      <c r="Y5" s="35"/>
      <c r="Z5" s="35">
        <v>46108</v>
      </c>
      <c r="AA5" s="35">
        <v>46265</v>
      </c>
      <c r="AB5" s="35"/>
      <c r="AC5" s="35"/>
      <c r="AD5" s="35"/>
      <c r="AE5" s="35"/>
      <c r="AF5" s="35"/>
      <c r="AG5" s="35"/>
      <c r="AH5" s="37">
        <f>IFERROR(VLOOKUP(N5,Liste!$D$4:$E$10,2,FALSE),"")</f>
        <v>0.45</v>
      </c>
    </row>
    <row r="6" spans="1:34" x14ac:dyDescent="0.35">
      <c r="A6" s="29" t="str">
        <f>Istruzioni!$B$4</f>
        <v>Catania</v>
      </c>
      <c r="B6" s="29" t="str">
        <f>Istruzioni!$B$5</f>
        <v>Sud</v>
      </c>
      <c r="C6" s="30" t="s">
        <v>120</v>
      </c>
      <c r="D6" s="30"/>
      <c r="E6" s="30" t="s">
        <v>121</v>
      </c>
      <c r="F6" s="31" t="s">
        <v>117</v>
      </c>
      <c r="G6" s="31" t="s">
        <v>122</v>
      </c>
      <c r="H6" s="31" t="s">
        <v>123</v>
      </c>
      <c r="I6" s="32">
        <v>60</v>
      </c>
      <c r="J6" s="33"/>
      <c r="K6" s="34"/>
      <c r="L6" s="34"/>
      <c r="M6" s="31" t="s">
        <v>29</v>
      </c>
      <c r="N6" s="31" t="s">
        <v>40</v>
      </c>
      <c r="O6" s="31"/>
      <c r="P6" s="35"/>
      <c r="Q6" s="35"/>
      <c r="R6" s="35">
        <v>46110</v>
      </c>
      <c r="S6" s="36" t="str">
        <f t="shared" ca="1" si="0"/>
        <v/>
      </c>
      <c r="T6" s="29" t="str">
        <f t="shared" ca="1" si="1"/>
        <v/>
      </c>
      <c r="U6" s="30" t="s">
        <v>124</v>
      </c>
      <c r="V6" s="35"/>
      <c r="W6" s="35"/>
      <c r="X6" s="35"/>
      <c r="Y6" s="35"/>
      <c r="Z6" s="35">
        <v>46108</v>
      </c>
      <c r="AA6" s="35">
        <v>46265</v>
      </c>
      <c r="AB6" s="35"/>
      <c r="AC6" s="35"/>
      <c r="AD6" s="35"/>
      <c r="AE6" s="35"/>
      <c r="AF6" s="35"/>
      <c r="AG6" s="35"/>
      <c r="AH6" s="37">
        <f>IFERROR(VLOOKUP(N6,Liste!$D$4:$E$10,2,FALSE),"")</f>
        <v>0.45</v>
      </c>
    </row>
    <row r="7" spans="1:34" x14ac:dyDescent="0.35">
      <c r="A7" s="29" t="str">
        <f>Istruzioni!$B$4</f>
        <v>Catania</v>
      </c>
      <c r="B7" s="29" t="str">
        <f>Istruzioni!$B$5</f>
        <v>Sud</v>
      </c>
      <c r="C7" s="30" t="s">
        <v>125</v>
      </c>
      <c r="D7" s="30"/>
      <c r="E7" s="30" t="s">
        <v>126</v>
      </c>
      <c r="F7" s="31" t="s">
        <v>117</v>
      </c>
      <c r="G7" s="31" t="s">
        <v>3</v>
      </c>
      <c r="H7" s="31" t="s">
        <v>127</v>
      </c>
      <c r="I7" s="32">
        <v>45</v>
      </c>
      <c r="J7" s="33"/>
      <c r="K7" s="34"/>
      <c r="L7" s="34"/>
      <c r="M7" s="31" t="s">
        <v>29</v>
      </c>
      <c r="N7" s="31" t="s">
        <v>40</v>
      </c>
      <c r="O7" s="31"/>
      <c r="P7" s="35"/>
      <c r="Q7" s="35"/>
      <c r="R7" s="35">
        <v>46110</v>
      </c>
      <c r="S7" s="36" t="str">
        <f t="shared" ca="1" si="0"/>
        <v/>
      </c>
      <c r="T7" s="29" t="str">
        <f t="shared" ca="1" si="1"/>
        <v/>
      </c>
      <c r="U7" s="30" t="s">
        <v>119</v>
      </c>
      <c r="V7" s="35"/>
      <c r="W7" s="35"/>
      <c r="X7" s="35"/>
      <c r="Y7" s="35"/>
      <c r="Z7" s="35">
        <v>46108</v>
      </c>
      <c r="AA7" s="35">
        <v>46265</v>
      </c>
      <c r="AB7" s="35"/>
      <c r="AC7" s="35"/>
      <c r="AD7" s="35"/>
      <c r="AE7" s="35"/>
      <c r="AF7" s="35"/>
      <c r="AG7" s="35"/>
      <c r="AH7" s="37">
        <f>IFERROR(VLOOKUP(N7,Liste!$D$4:$E$10,2,FALSE),"")</f>
        <v>0.45</v>
      </c>
    </row>
    <row r="8" spans="1:34" x14ac:dyDescent="0.35">
      <c r="A8" s="29" t="str">
        <f>Istruzioni!$B$4</f>
        <v>Catania</v>
      </c>
      <c r="B8" s="29" t="str">
        <f>Istruzioni!$B$5</f>
        <v>Sud</v>
      </c>
      <c r="C8" s="30" t="s">
        <v>128</v>
      </c>
      <c r="D8" s="30"/>
      <c r="E8" s="30" t="s">
        <v>129</v>
      </c>
      <c r="F8" s="31" t="s">
        <v>117</v>
      </c>
      <c r="G8" s="31" t="s">
        <v>130</v>
      </c>
      <c r="H8" s="31" t="s">
        <v>131</v>
      </c>
      <c r="I8" s="32">
        <v>27.65</v>
      </c>
      <c r="J8" s="33"/>
      <c r="K8" s="34"/>
      <c r="L8" s="34"/>
      <c r="M8" s="31" t="s">
        <v>29</v>
      </c>
      <c r="N8" s="31" t="s">
        <v>40</v>
      </c>
      <c r="O8" s="31"/>
      <c r="P8" s="35"/>
      <c r="Q8" s="35"/>
      <c r="R8" s="35">
        <v>46110</v>
      </c>
      <c r="S8" s="36" t="str">
        <f t="shared" ca="1" si="0"/>
        <v/>
      </c>
      <c r="T8" s="29" t="str">
        <f t="shared" ca="1" si="1"/>
        <v/>
      </c>
      <c r="U8" s="30" t="s">
        <v>132</v>
      </c>
      <c r="V8" s="35"/>
      <c r="W8" s="35"/>
      <c r="X8" s="35"/>
      <c r="Y8" s="35"/>
      <c r="Z8" s="35">
        <v>46108</v>
      </c>
      <c r="AA8" s="35">
        <v>46265</v>
      </c>
      <c r="AB8" s="35"/>
      <c r="AC8" s="35"/>
      <c r="AD8" s="35"/>
      <c r="AE8" s="35"/>
      <c r="AF8" s="35"/>
      <c r="AG8" s="35"/>
      <c r="AH8" s="37">
        <f>IFERROR(VLOOKUP(N8,Liste!$D$4:$E$10,2,FALSE),"")</f>
        <v>0.45</v>
      </c>
    </row>
    <row r="9" spans="1:34" x14ac:dyDescent="0.35">
      <c r="A9" s="29" t="str">
        <f>Istruzioni!$B$4</f>
        <v>Catania</v>
      </c>
      <c r="B9" s="29" t="str">
        <f>Istruzioni!$B$5</f>
        <v>Sud</v>
      </c>
      <c r="C9" s="30" t="s">
        <v>133</v>
      </c>
      <c r="D9" s="30"/>
      <c r="E9" s="30" t="s">
        <v>134</v>
      </c>
      <c r="F9" s="31" t="s">
        <v>117</v>
      </c>
      <c r="G9" s="31" t="s">
        <v>130</v>
      </c>
      <c r="H9" s="31" t="s">
        <v>135</v>
      </c>
      <c r="I9" s="32">
        <v>54</v>
      </c>
      <c r="J9" s="33"/>
      <c r="K9" s="34"/>
      <c r="L9" s="34"/>
      <c r="M9" s="31" t="s">
        <v>29</v>
      </c>
      <c r="N9" s="31" t="s">
        <v>40</v>
      </c>
      <c r="O9" s="31"/>
      <c r="P9" s="35"/>
      <c r="Q9" s="35"/>
      <c r="R9" s="35">
        <v>46110</v>
      </c>
      <c r="S9" s="36" t="str">
        <f t="shared" ca="1" si="0"/>
        <v/>
      </c>
      <c r="T9" s="29" t="str">
        <f t="shared" ca="1" si="1"/>
        <v/>
      </c>
      <c r="U9" s="30" t="s">
        <v>136</v>
      </c>
      <c r="V9" s="35"/>
      <c r="W9" s="35"/>
      <c r="X9" s="35"/>
      <c r="Y9" s="35"/>
      <c r="Z9" s="35">
        <v>46108</v>
      </c>
      <c r="AA9" s="35">
        <v>46265</v>
      </c>
      <c r="AB9" s="35"/>
      <c r="AC9" s="35"/>
      <c r="AD9" s="35"/>
      <c r="AE9" s="35"/>
      <c r="AF9" s="35"/>
      <c r="AG9" s="35"/>
      <c r="AH9" s="37">
        <f>IFERROR(VLOOKUP(N9,Liste!$D$4:$E$10,2,FALSE),"")</f>
        <v>0.45</v>
      </c>
    </row>
    <row r="10" spans="1:34" x14ac:dyDescent="0.35">
      <c r="A10" s="29" t="str">
        <f>Istruzioni!$B$4</f>
        <v>Catania</v>
      </c>
      <c r="B10" s="29" t="str">
        <f>Istruzioni!$B$5</f>
        <v>Sud</v>
      </c>
      <c r="C10" s="30" t="s">
        <v>137</v>
      </c>
      <c r="D10" s="30"/>
      <c r="E10" s="30" t="s">
        <v>138</v>
      </c>
      <c r="F10" s="31" t="s">
        <v>117</v>
      </c>
      <c r="G10" s="31" t="s">
        <v>130</v>
      </c>
      <c r="H10" s="31" t="s">
        <v>135</v>
      </c>
      <c r="I10" s="32">
        <v>42.3</v>
      </c>
      <c r="J10" s="33"/>
      <c r="K10" s="34"/>
      <c r="L10" s="34"/>
      <c r="M10" s="31" t="s">
        <v>29</v>
      </c>
      <c r="N10" s="31" t="s">
        <v>40</v>
      </c>
      <c r="O10" s="31"/>
      <c r="P10" s="35"/>
      <c r="Q10" s="35"/>
      <c r="R10" s="35">
        <v>46030</v>
      </c>
      <c r="S10" s="36" t="str">
        <f t="shared" ca="1" si="0"/>
        <v/>
      </c>
      <c r="T10" s="29" t="str">
        <f t="shared" ca="1" si="1"/>
        <v/>
      </c>
      <c r="U10" s="30" t="s">
        <v>119</v>
      </c>
      <c r="V10" s="35"/>
      <c r="W10" s="35"/>
      <c r="X10" s="35"/>
      <c r="Y10" s="35"/>
      <c r="Z10" s="35">
        <v>46030</v>
      </c>
      <c r="AA10" s="35">
        <v>46203</v>
      </c>
      <c r="AB10" s="35"/>
      <c r="AC10" s="35"/>
      <c r="AD10" s="35"/>
      <c r="AE10" s="35"/>
      <c r="AF10" s="35"/>
      <c r="AG10" s="35"/>
      <c r="AH10" s="37">
        <f>IFERROR(VLOOKUP(N10,Liste!$D$4:$E$10,2,FALSE),"")</f>
        <v>0.45</v>
      </c>
    </row>
    <row r="11" spans="1:34" x14ac:dyDescent="0.35">
      <c r="A11" s="29" t="str">
        <f>Istruzioni!$B$4</f>
        <v>Catania</v>
      </c>
      <c r="B11" s="29" t="str">
        <f>Istruzioni!$B$5</f>
        <v>Sud</v>
      </c>
      <c r="C11" s="30" t="s">
        <v>139</v>
      </c>
      <c r="D11" s="30"/>
      <c r="E11" s="30" t="s">
        <v>140</v>
      </c>
      <c r="F11" s="31" t="s">
        <v>117</v>
      </c>
      <c r="G11" s="31" t="s">
        <v>141</v>
      </c>
      <c r="H11" s="31" t="s">
        <v>142</v>
      </c>
      <c r="I11" s="32">
        <v>85.1</v>
      </c>
      <c r="J11" s="33"/>
      <c r="K11" s="34"/>
      <c r="L11" s="34"/>
      <c r="M11" s="31" t="s">
        <v>29</v>
      </c>
      <c r="N11" s="31" t="s">
        <v>40</v>
      </c>
      <c r="O11" s="31"/>
      <c r="P11" s="35"/>
      <c r="Q11" s="35"/>
      <c r="R11" s="35">
        <v>46038</v>
      </c>
      <c r="S11" s="36" t="str">
        <f t="shared" ca="1" si="0"/>
        <v/>
      </c>
      <c r="T11" s="29" t="str">
        <f t="shared" ca="1" si="1"/>
        <v/>
      </c>
      <c r="U11" s="30" t="s">
        <v>143</v>
      </c>
      <c r="V11" s="35"/>
      <c r="W11" s="35"/>
      <c r="X11" s="35"/>
      <c r="Y11" s="35"/>
      <c r="Z11" s="35">
        <v>46038</v>
      </c>
      <c r="AA11" s="35">
        <v>46203</v>
      </c>
      <c r="AB11" s="35"/>
      <c r="AC11" s="35"/>
      <c r="AD11" s="35"/>
      <c r="AE11" s="35"/>
      <c r="AF11" s="35"/>
      <c r="AG11" s="35"/>
      <c r="AH11" s="37">
        <f>IFERROR(VLOOKUP(N11,Liste!$D$4:$E$10,2,FALSE),"")</f>
        <v>0.45</v>
      </c>
    </row>
    <row r="12" spans="1:34" x14ac:dyDescent="0.35">
      <c r="A12" s="29" t="str">
        <f>Istruzioni!$B$4</f>
        <v>Catania</v>
      </c>
      <c r="B12" s="29" t="str">
        <f>Istruzioni!$B$5</f>
        <v>Sud</v>
      </c>
      <c r="C12" s="30" t="s">
        <v>144</v>
      </c>
      <c r="D12" s="30"/>
      <c r="E12" s="30" t="s">
        <v>145</v>
      </c>
      <c r="F12" s="31" t="s">
        <v>117</v>
      </c>
      <c r="G12" s="31" t="s">
        <v>146</v>
      </c>
      <c r="H12" s="31" t="s">
        <v>147</v>
      </c>
      <c r="I12" s="32">
        <v>65.099999999999994</v>
      </c>
      <c r="J12" s="33"/>
      <c r="K12" s="34"/>
      <c r="L12" s="34"/>
      <c r="M12" s="31" t="s">
        <v>29</v>
      </c>
      <c r="N12" s="31" t="s">
        <v>40</v>
      </c>
      <c r="O12" s="31"/>
      <c r="P12" s="35"/>
      <c r="Q12" s="35"/>
      <c r="R12" s="35">
        <v>46055</v>
      </c>
      <c r="S12" s="36" t="str">
        <f t="shared" ca="1" si="0"/>
        <v/>
      </c>
      <c r="T12" s="29" t="str">
        <f t="shared" ca="1" si="1"/>
        <v/>
      </c>
      <c r="U12" s="30" t="s">
        <v>148</v>
      </c>
      <c r="V12" s="35"/>
      <c r="W12" s="35"/>
      <c r="X12" s="35"/>
      <c r="Y12" s="35"/>
      <c r="Z12" s="35">
        <v>46055</v>
      </c>
      <c r="AA12" s="35">
        <v>46234</v>
      </c>
      <c r="AB12" s="35"/>
      <c r="AC12" s="35"/>
      <c r="AD12" s="35"/>
      <c r="AE12" s="35"/>
      <c r="AF12" s="35"/>
      <c r="AG12" s="35"/>
      <c r="AH12" s="37">
        <f>IFERROR(VLOOKUP(N12,Liste!$D$4:$E$10,2,FALSE),"")</f>
        <v>0.45</v>
      </c>
    </row>
    <row r="13" spans="1:34" x14ac:dyDescent="0.35">
      <c r="A13" s="29" t="str">
        <f>Istruzioni!$B$4</f>
        <v>Catania</v>
      </c>
      <c r="B13" s="29" t="str">
        <f>Istruzioni!$B$5</f>
        <v>Sud</v>
      </c>
      <c r="C13" s="30" t="s">
        <v>149</v>
      </c>
      <c r="D13" s="30"/>
      <c r="E13" s="30" t="s">
        <v>150</v>
      </c>
      <c r="F13" s="31" t="s">
        <v>117</v>
      </c>
      <c r="G13" s="31" t="s">
        <v>141</v>
      </c>
      <c r="H13" s="31" t="s">
        <v>151</v>
      </c>
      <c r="I13" s="32">
        <v>22.57</v>
      </c>
      <c r="J13" s="33"/>
      <c r="K13" s="34"/>
      <c r="L13" s="34"/>
      <c r="M13" s="31" t="s">
        <v>29</v>
      </c>
      <c r="N13" s="31" t="s">
        <v>40</v>
      </c>
      <c r="O13" s="31"/>
      <c r="P13" s="35"/>
      <c r="Q13" s="35"/>
      <c r="R13" s="35">
        <v>46078</v>
      </c>
      <c r="S13" s="36" t="str">
        <f t="shared" ca="1" si="0"/>
        <v/>
      </c>
      <c r="T13" s="29" t="str">
        <f t="shared" ca="1" si="1"/>
        <v/>
      </c>
      <c r="U13" s="30" t="s">
        <v>152</v>
      </c>
      <c r="V13" s="35"/>
      <c r="W13" s="35"/>
      <c r="X13" s="35"/>
      <c r="Y13" s="35"/>
      <c r="Z13" s="35">
        <v>46078</v>
      </c>
      <c r="AA13" s="35">
        <v>46234</v>
      </c>
      <c r="AB13" s="35"/>
      <c r="AC13" s="35"/>
      <c r="AD13" s="35"/>
      <c r="AE13" s="35"/>
      <c r="AF13" s="35"/>
      <c r="AG13" s="35"/>
      <c r="AH13" s="37">
        <f>IFERROR(VLOOKUP(N13,Liste!$D$4:$E$10,2,FALSE),"")</f>
        <v>0.45</v>
      </c>
    </row>
    <row r="14" spans="1:34" x14ac:dyDescent="0.35">
      <c r="A14" s="29" t="str">
        <f>Istruzioni!$B$4</f>
        <v>Catania</v>
      </c>
      <c r="B14" s="29" t="str">
        <f>Istruzioni!$B$5</f>
        <v>Sud</v>
      </c>
      <c r="C14" s="30" t="s">
        <v>153</v>
      </c>
      <c r="D14" s="30"/>
      <c r="E14" s="30" t="s">
        <v>154</v>
      </c>
      <c r="F14" s="31" t="s">
        <v>117</v>
      </c>
      <c r="G14" s="31" t="s">
        <v>3</v>
      </c>
      <c r="H14" s="31" t="s">
        <v>155</v>
      </c>
      <c r="I14" s="32">
        <v>231.6</v>
      </c>
      <c r="J14" s="33"/>
      <c r="K14" s="34"/>
      <c r="L14" s="34"/>
      <c r="M14" s="31" t="s">
        <v>29</v>
      </c>
      <c r="N14" s="31" t="s">
        <v>40</v>
      </c>
      <c r="O14" s="31"/>
      <c r="P14" s="35"/>
      <c r="Q14" s="35"/>
      <c r="R14" s="35">
        <v>45923</v>
      </c>
      <c r="S14" s="36" t="str">
        <f t="shared" ca="1" si="0"/>
        <v/>
      </c>
      <c r="T14" s="29" t="str">
        <f t="shared" ca="1" si="1"/>
        <v/>
      </c>
      <c r="U14" s="30" t="s">
        <v>156</v>
      </c>
      <c r="V14" s="35"/>
      <c r="W14" s="35"/>
      <c r="X14" s="35"/>
      <c r="Y14" s="35"/>
      <c r="Z14" s="35">
        <v>45923</v>
      </c>
      <c r="AA14" s="35">
        <v>46142</v>
      </c>
      <c r="AB14" s="35"/>
      <c r="AC14" s="35"/>
      <c r="AD14" s="35"/>
      <c r="AE14" s="35"/>
      <c r="AF14" s="35"/>
      <c r="AG14" s="35"/>
      <c r="AH14" s="37">
        <f>IFERROR(VLOOKUP(N14,Liste!$D$4:$E$10,2,FALSE),"")</f>
        <v>0.45</v>
      </c>
    </row>
    <row r="15" spans="1:34" x14ac:dyDescent="0.35">
      <c r="A15" s="29" t="str">
        <f>Istruzioni!$B$4</f>
        <v>Catania</v>
      </c>
      <c r="B15" s="29" t="str">
        <f>Istruzioni!$B$5</f>
        <v>Sud</v>
      </c>
      <c r="C15" s="30" t="s">
        <v>157</v>
      </c>
      <c r="D15" s="30"/>
      <c r="E15" s="30" t="s">
        <v>158</v>
      </c>
      <c r="F15" s="31" t="s">
        <v>117</v>
      </c>
      <c r="G15" s="31" t="s">
        <v>159</v>
      </c>
      <c r="H15" s="31" t="s">
        <v>160</v>
      </c>
      <c r="I15" s="32">
        <v>263</v>
      </c>
      <c r="J15" s="33"/>
      <c r="K15" s="34"/>
      <c r="L15" s="34"/>
      <c r="M15" s="31" t="s">
        <v>29</v>
      </c>
      <c r="N15" s="31" t="s">
        <v>40</v>
      </c>
      <c r="O15" s="31"/>
      <c r="P15" s="35"/>
      <c r="Q15" s="35"/>
      <c r="R15" s="35">
        <v>46092</v>
      </c>
      <c r="S15" s="36" t="str">
        <f t="shared" ca="1" si="0"/>
        <v/>
      </c>
      <c r="T15" s="29" t="str">
        <f t="shared" ca="1" si="1"/>
        <v/>
      </c>
      <c r="U15" s="30" t="s">
        <v>161</v>
      </c>
      <c r="V15" s="35"/>
      <c r="W15" s="35"/>
      <c r="X15" s="35"/>
      <c r="Y15" s="35"/>
      <c r="Z15" s="35">
        <v>46092</v>
      </c>
      <c r="AA15" s="35">
        <v>46265</v>
      </c>
      <c r="AB15" s="35"/>
      <c r="AC15" s="35"/>
      <c r="AD15" s="35"/>
      <c r="AE15" s="35"/>
      <c r="AF15" s="35"/>
      <c r="AG15" s="35"/>
      <c r="AH15" s="37">
        <f>IFERROR(VLOOKUP(N15,Liste!$D$4:$E$10,2,FALSE),"")</f>
        <v>0.45</v>
      </c>
    </row>
    <row r="16" spans="1:34" x14ac:dyDescent="0.35">
      <c r="A16" s="29" t="str">
        <f>Istruzioni!$B$4</f>
        <v>Catania</v>
      </c>
      <c r="B16" s="29" t="str">
        <f>Istruzioni!$B$5</f>
        <v>Sud</v>
      </c>
      <c r="C16" s="30" t="s">
        <v>162</v>
      </c>
      <c r="D16" s="30"/>
      <c r="E16" s="30" t="s">
        <v>163</v>
      </c>
      <c r="F16" s="31" t="s">
        <v>117</v>
      </c>
      <c r="G16" s="31" t="s">
        <v>159</v>
      </c>
      <c r="H16" s="31" t="s">
        <v>159</v>
      </c>
      <c r="I16" s="32">
        <v>45</v>
      </c>
      <c r="J16" s="33"/>
      <c r="K16" s="34"/>
      <c r="L16" s="34"/>
      <c r="M16" s="31" t="s">
        <v>29</v>
      </c>
      <c r="N16" s="31" t="s">
        <v>40</v>
      </c>
      <c r="O16" s="31"/>
      <c r="P16" s="35"/>
      <c r="Q16" s="35"/>
      <c r="R16" s="35">
        <v>46086</v>
      </c>
      <c r="S16" s="36" t="str">
        <f t="shared" ca="1" si="0"/>
        <v/>
      </c>
      <c r="T16" s="29" t="str">
        <f t="shared" ca="1" si="1"/>
        <v/>
      </c>
      <c r="U16" s="30" t="s">
        <v>148</v>
      </c>
      <c r="V16" s="35"/>
      <c r="W16" s="35"/>
      <c r="X16" s="35"/>
      <c r="Y16" s="35"/>
      <c r="Z16" s="35">
        <v>46086</v>
      </c>
      <c r="AA16" s="35">
        <v>46265</v>
      </c>
      <c r="AB16" s="35"/>
      <c r="AC16" s="35"/>
      <c r="AD16" s="35"/>
      <c r="AE16" s="35"/>
      <c r="AF16" s="35"/>
      <c r="AG16" s="35"/>
      <c r="AH16" s="37">
        <f>IFERROR(VLOOKUP(N16,Liste!$D$4:$E$10,2,FALSE),"")</f>
        <v>0.45</v>
      </c>
    </row>
    <row r="17" spans="1:34" x14ac:dyDescent="0.35">
      <c r="A17" s="29" t="str">
        <f>Istruzioni!$B$4</f>
        <v>Catania</v>
      </c>
      <c r="B17" s="29" t="str">
        <f>Istruzioni!$B$5</f>
        <v>Sud</v>
      </c>
      <c r="C17" s="30" t="s">
        <v>164</v>
      </c>
      <c r="D17" s="30"/>
      <c r="E17" s="30" t="s">
        <v>165</v>
      </c>
      <c r="F17" s="31" t="s">
        <v>117</v>
      </c>
      <c r="G17" s="31" t="s">
        <v>159</v>
      </c>
      <c r="H17" s="31" t="s">
        <v>159</v>
      </c>
      <c r="I17" s="32">
        <v>42.8</v>
      </c>
      <c r="J17" s="33"/>
      <c r="K17" s="34"/>
      <c r="L17" s="34"/>
      <c r="M17" s="31" t="s">
        <v>29</v>
      </c>
      <c r="N17" s="31" t="s">
        <v>40</v>
      </c>
      <c r="O17" s="31"/>
      <c r="P17" s="35"/>
      <c r="Q17" s="35"/>
      <c r="R17" s="35">
        <v>46087</v>
      </c>
      <c r="S17" s="36" t="str">
        <f t="shared" ca="1" si="0"/>
        <v/>
      </c>
      <c r="T17" s="29" t="str">
        <f t="shared" ca="1" si="1"/>
        <v/>
      </c>
      <c r="U17" s="30" t="s">
        <v>148</v>
      </c>
      <c r="V17" s="35"/>
      <c r="W17" s="35"/>
      <c r="X17" s="35"/>
      <c r="Y17" s="35"/>
      <c r="Z17" s="35">
        <v>46087</v>
      </c>
      <c r="AA17" s="35">
        <v>46265</v>
      </c>
      <c r="AB17" s="35"/>
      <c r="AC17" s="35"/>
      <c r="AD17" s="35"/>
      <c r="AE17" s="35"/>
      <c r="AF17" s="35"/>
      <c r="AG17" s="35"/>
      <c r="AH17" s="37">
        <f>IFERROR(VLOOKUP(N17,Liste!$D$4:$E$10,2,FALSE),"")</f>
        <v>0.45</v>
      </c>
    </row>
    <row r="18" spans="1:34" x14ac:dyDescent="0.35">
      <c r="A18" s="29" t="str">
        <f>Istruzioni!$B$4</f>
        <v>Catania</v>
      </c>
      <c r="B18" s="29" t="str">
        <f>Istruzioni!$B$5</f>
        <v>Sud</v>
      </c>
      <c r="C18" s="30" t="s">
        <v>166</v>
      </c>
      <c r="D18" s="30"/>
      <c r="E18" s="30" t="s">
        <v>167</v>
      </c>
      <c r="F18" s="31" t="s">
        <v>117</v>
      </c>
      <c r="G18" s="31" t="s">
        <v>159</v>
      </c>
      <c r="H18" s="31" t="s">
        <v>159</v>
      </c>
      <c r="I18" s="32">
        <v>36.770000000000003</v>
      </c>
      <c r="J18" s="33"/>
      <c r="K18" s="34"/>
      <c r="L18" s="34"/>
      <c r="M18" s="31" t="s">
        <v>29</v>
      </c>
      <c r="N18" s="31" t="s">
        <v>40</v>
      </c>
      <c r="O18" s="31"/>
      <c r="P18" s="35"/>
      <c r="Q18" s="35"/>
      <c r="R18" s="35">
        <v>46090</v>
      </c>
      <c r="S18" s="36" t="str">
        <f t="shared" ca="1" si="0"/>
        <v/>
      </c>
      <c r="T18" s="29" t="str">
        <f t="shared" ca="1" si="1"/>
        <v/>
      </c>
      <c r="U18" s="30" t="s">
        <v>148</v>
      </c>
      <c r="V18" s="35"/>
      <c r="W18" s="35"/>
      <c r="X18" s="35"/>
      <c r="Y18" s="35"/>
      <c r="Z18" s="35">
        <v>46090</v>
      </c>
      <c r="AA18" s="35">
        <v>46265</v>
      </c>
      <c r="AB18" s="35"/>
      <c r="AC18" s="35"/>
      <c r="AD18" s="35"/>
      <c r="AE18" s="35"/>
      <c r="AF18" s="35"/>
      <c r="AG18" s="35"/>
      <c r="AH18" s="37">
        <f>IFERROR(VLOOKUP(N18,Liste!$D$4:$E$10,2,FALSE),"")</f>
        <v>0.45</v>
      </c>
    </row>
    <row r="19" spans="1:34" ht="29" x14ac:dyDescent="0.35">
      <c r="A19" s="29" t="str">
        <f>Istruzioni!$B$4</f>
        <v>Catania</v>
      </c>
      <c r="B19" s="29" t="str">
        <f>Istruzioni!$B$5</f>
        <v>Sud</v>
      </c>
      <c r="C19" s="30" t="s">
        <v>168</v>
      </c>
      <c r="D19" s="30"/>
      <c r="E19" s="30" t="s">
        <v>169</v>
      </c>
      <c r="F19" s="31" t="s">
        <v>117</v>
      </c>
      <c r="G19" s="31" t="s">
        <v>3</v>
      </c>
      <c r="H19" s="31" t="s">
        <v>169</v>
      </c>
      <c r="I19" s="32">
        <v>58.95</v>
      </c>
      <c r="J19" s="33"/>
      <c r="K19" s="34"/>
      <c r="L19" s="34"/>
      <c r="M19" s="31" t="s">
        <v>29</v>
      </c>
      <c r="N19" s="31" t="s">
        <v>40</v>
      </c>
      <c r="O19" s="31"/>
      <c r="P19" s="35"/>
      <c r="Q19" s="35"/>
      <c r="R19" s="35">
        <v>46091</v>
      </c>
      <c r="S19" s="36" t="str">
        <f t="shared" ca="1" si="0"/>
        <v/>
      </c>
      <c r="T19" s="29" t="str">
        <f t="shared" ca="1" si="1"/>
        <v/>
      </c>
      <c r="U19" s="30" t="s">
        <v>170</v>
      </c>
      <c r="V19" s="35"/>
      <c r="W19" s="35"/>
      <c r="X19" s="35"/>
      <c r="Y19" s="35"/>
      <c r="Z19" s="35">
        <v>46091</v>
      </c>
      <c r="AA19" s="35">
        <v>46265</v>
      </c>
      <c r="AB19" s="35"/>
      <c r="AC19" s="35"/>
      <c r="AD19" s="35"/>
      <c r="AE19" s="35"/>
      <c r="AF19" s="35"/>
      <c r="AG19" s="35"/>
      <c r="AH19" s="37">
        <f>IFERROR(VLOOKUP(N19,Liste!$D$4:$E$10,2,FALSE),"")</f>
        <v>0.45</v>
      </c>
    </row>
    <row r="20" spans="1:34" ht="29" x14ac:dyDescent="0.35">
      <c r="A20" s="29" t="str">
        <f>Istruzioni!$B$4</f>
        <v>Catania</v>
      </c>
      <c r="B20" s="29" t="str">
        <f>Istruzioni!$B$5</f>
        <v>Sud</v>
      </c>
      <c r="C20" s="30" t="s">
        <v>171</v>
      </c>
      <c r="D20" s="30"/>
      <c r="E20" s="30" t="s">
        <v>172</v>
      </c>
      <c r="F20" s="31" t="s">
        <v>117</v>
      </c>
      <c r="G20" s="31" t="s">
        <v>146</v>
      </c>
      <c r="H20" s="31" t="s">
        <v>172</v>
      </c>
      <c r="I20" s="32">
        <v>68</v>
      </c>
      <c r="J20" s="33"/>
      <c r="K20" s="34"/>
      <c r="L20" s="34"/>
      <c r="M20" s="31" t="s">
        <v>29</v>
      </c>
      <c r="N20" s="31" t="s">
        <v>40</v>
      </c>
      <c r="O20" s="31"/>
      <c r="P20" s="35"/>
      <c r="Q20" s="35"/>
      <c r="R20" s="35">
        <v>46092</v>
      </c>
      <c r="S20" s="36" t="str">
        <f t="shared" ca="1" si="0"/>
        <v/>
      </c>
      <c r="T20" s="29" t="str">
        <f t="shared" ca="1" si="1"/>
        <v/>
      </c>
      <c r="U20" s="30" t="s">
        <v>173</v>
      </c>
      <c r="V20" s="35"/>
      <c r="W20" s="35"/>
      <c r="X20" s="35"/>
      <c r="Y20" s="35"/>
      <c r="Z20" s="35">
        <v>46092</v>
      </c>
      <c r="AA20" s="35">
        <v>46265</v>
      </c>
      <c r="AB20" s="35"/>
      <c r="AC20" s="35"/>
      <c r="AD20" s="35"/>
      <c r="AE20" s="35"/>
      <c r="AF20" s="35"/>
      <c r="AG20" s="35"/>
      <c r="AH20" s="37">
        <f>IFERROR(VLOOKUP(N20,Liste!$D$4:$E$10,2,FALSE),"")</f>
        <v>0.45</v>
      </c>
    </row>
    <row r="21" spans="1:34" ht="29" x14ac:dyDescent="0.35">
      <c r="A21" s="29" t="str">
        <f>Istruzioni!$B$4</f>
        <v>Catania</v>
      </c>
      <c r="B21" s="29" t="str">
        <f>Istruzioni!$B$5</f>
        <v>Sud</v>
      </c>
      <c r="C21" s="30" t="s">
        <v>174</v>
      </c>
      <c r="D21" s="30"/>
      <c r="E21" s="30" t="s">
        <v>175</v>
      </c>
      <c r="F21" s="31" t="s">
        <v>117</v>
      </c>
      <c r="G21" s="31" t="s">
        <v>141</v>
      </c>
      <c r="H21" s="31" t="s">
        <v>176</v>
      </c>
      <c r="I21" s="32">
        <v>80</v>
      </c>
      <c r="J21" s="33"/>
      <c r="K21" s="34"/>
      <c r="L21" s="34"/>
      <c r="M21" s="31" t="s">
        <v>29</v>
      </c>
      <c r="N21" s="31" t="s">
        <v>40</v>
      </c>
      <c r="O21" s="31"/>
      <c r="P21" s="35"/>
      <c r="Q21" s="35"/>
      <c r="R21" s="35">
        <v>46093</v>
      </c>
      <c r="S21" s="36" t="str">
        <f t="shared" ca="1" si="0"/>
        <v/>
      </c>
      <c r="T21" s="29" t="str">
        <f t="shared" ca="1" si="1"/>
        <v/>
      </c>
      <c r="U21" s="30" t="s">
        <v>177</v>
      </c>
      <c r="V21" s="35"/>
      <c r="W21" s="35"/>
      <c r="X21" s="35"/>
      <c r="Y21" s="35"/>
      <c r="Z21" s="35">
        <v>46093</v>
      </c>
      <c r="AA21" s="35">
        <v>46265</v>
      </c>
      <c r="AB21" s="35"/>
      <c r="AC21" s="35"/>
      <c r="AD21" s="35"/>
      <c r="AE21" s="35"/>
      <c r="AF21" s="35"/>
      <c r="AG21" s="35"/>
      <c r="AH21" s="37">
        <f>IFERROR(VLOOKUP(N21,Liste!$D$4:$E$10,2,FALSE),"")</f>
        <v>0.45</v>
      </c>
    </row>
    <row r="22" spans="1:34" x14ac:dyDescent="0.35">
      <c r="A22" s="29" t="str">
        <f>Istruzioni!$B$4</f>
        <v>Catania</v>
      </c>
      <c r="B22" s="29" t="str">
        <f>Istruzioni!$B$5</f>
        <v>Sud</v>
      </c>
      <c r="C22" s="30" t="s">
        <v>178</v>
      </c>
      <c r="D22" s="30"/>
      <c r="E22" s="30" t="s">
        <v>179</v>
      </c>
      <c r="F22" s="31" t="s">
        <v>117</v>
      </c>
      <c r="G22" s="31" t="s">
        <v>180</v>
      </c>
      <c r="H22" s="31" t="s">
        <v>180</v>
      </c>
      <c r="I22" s="32">
        <v>90.6</v>
      </c>
      <c r="J22" s="33"/>
      <c r="K22" s="34"/>
      <c r="L22" s="34"/>
      <c r="M22" s="31" t="s">
        <v>29</v>
      </c>
      <c r="N22" s="31" t="s">
        <v>40</v>
      </c>
      <c r="O22" s="31"/>
      <c r="P22" s="35"/>
      <c r="Q22" s="35"/>
      <c r="R22" s="35">
        <v>46114</v>
      </c>
      <c r="S22" s="36" t="str">
        <f t="shared" ca="1" si="0"/>
        <v/>
      </c>
      <c r="T22" s="29" t="str">
        <f t="shared" ca="1" si="1"/>
        <v/>
      </c>
      <c r="U22" s="30" t="s">
        <v>181</v>
      </c>
      <c r="V22" s="35"/>
      <c r="W22" s="35"/>
      <c r="X22" s="35"/>
      <c r="Y22" s="35"/>
      <c r="Z22" s="35">
        <v>46114</v>
      </c>
      <c r="AA22" s="35">
        <v>46295</v>
      </c>
      <c r="AB22" s="35"/>
      <c r="AC22" s="35"/>
      <c r="AD22" s="35"/>
      <c r="AE22" s="35"/>
      <c r="AF22" s="35"/>
      <c r="AG22" s="35"/>
      <c r="AH22" s="37">
        <f>IFERROR(VLOOKUP(N22,Liste!$D$4:$E$10,2,FALSE),"")</f>
        <v>0.45</v>
      </c>
    </row>
    <row r="23" spans="1:34" x14ac:dyDescent="0.35">
      <c r="A23" s="29" t="str">
        <f>Istruzioni!$B$4</f>
        <v>Catania</v>
      </c>
      <c r="B23" s="29" t="str">
        <f>Istruzioni!$B$5</f>
        <v>Sud</v>
      </c>
      <c r="C23" s="30" t="s">
        <v>182</v>
      </c>
      <c r="D23" s="30"/>
      <c r="E23" s="30" t="s">
        <v>183</v>
      </c>
      <c r="F23" s="31" t="s">
        <v>117</v>
      </c>
      <c r="G23" s="31" t="s">
        <v>141</v>
      </c>
      <c r="H23" s="31" t="s">
        <v>176</v>
      </c>
      <c r="I23" s="32">
        <v>137</v>
      </c>
      <c r="J23" s="33"/>
      <c r="K23" s="34"/>
      <c r="L23" s="34"/>
      <c r="M23" s="31" t="s">
        <v>29</v>
      </c>
      <c r="N23" s="31" t="s">
        <v>44</v>
      </c>
      <c r="O23" s="31"/>
      <c r="P23" s="35"/>
      <c r="Q23" s="35"/>
      <c r="R23" s="35">
        <v>46120</v>
      </c>
      <c r="S23" s="36" t="str">
        <f t="shared" ca="1" si="0"/>
        <v/>
      </c>
      <c r="T23" s="29" t="str">
        <f t="shared" ca="1" si="1"/>
        <v/>
      </c>
      <c r="U23" s="30" t="s">
        <v>184</v>
      </c>
      <c r="V23" s="35"/>
      <c r="W23" s="35"/>
      <c r="X23" s="35"/>
      <c r="Y23" s="35"/>
      <c r="Z23" s="35"/>
      <c r="AA23" s="35"/>
      <c r="AB23" s="35">
        <v>46113</v>
      </c>
      <c r="AC23" s="35">
        <v>46142</v>
      </c>
      <c r="AD23" s="35"/>
      <c r="AE23" s="35"/>
      <c r="AF23" s="35"/>
      <c r="AG23" s="35"/>
      <c r="AH23" s="37">
        <f>IFERROR(VLOOKUP(N23,Liste!$D$4:$E$10,2,FALSE),"")</f>
        <v>0.6</v>
      </c>
    </row>
    <row r="24" spans="1:34" x14ac:dyDescent="0.35">
      <c r="A24" s="29" t="str">
        <f>Istruzioni!$B$4</f>
        <v>Catania</v>
      </c>
      <c r="B24" s="29" t="str">
        <f>Istruzioni!$B$5</f>
        <v>Sud</v>
      </c>
      <c r="C24" s="30" t="s">
        <v>8202</v>
      </c>
      <c r="D24" s="30"/>
      <c r="E24" s="30" t="s">
        <v>8203</v>
      </c>
      <c r="F24" s="31" t="s">
        <v>117</v>
      </c>
      <c r="G24" s="31" t="s">
        <v>130</v>
      </c>
      <c r="H24" s="31" t="s">
        <v>6805</v>
      </c>
      <c r="I24" s="32">
        <v>0.93</v>
      </c>
      <c r="J24" s="33"/>
      <c r="K24" s="34"/>
      <c r="L24" s="34"/>
      <c r="M24" s="31" t="s">
        <v>34</v>
      </c>
      <c r="N24" s="31" t="s">
        <v>47</v>
      </c>
      <c r="O24" s="31"/>
      <c r="P24" s="35"/>
      <c r="Q24" s="35"/>
      <c r="R24" s="35">
        <v>46125</v>
      </c>
      <c r="S24" s="36" t="str">
        <f t="shared" ca="1" si="0"/>
        <v/>
      </c>
      <c r="T24" s="29" t="str">
        <f t="shared" ca="1" si="1"/>
        <v/>
      </c>
      <c r="U24" s="30" t="s">
        <v>8204</v>
      </c>
      <c r="V24" s="35"/>
      <c r="W24" s="35"/>
      <c r="X24" s="35"/>
      <c r="Y24" s="35"/>
      <c r="Z24" s="35"/>
      <c r="AA24" s="35"/>
      <c r="AB24" s="35"/>
      <c r="AC24" s="35"/>
      <c r="AD24" s="35">
        <v>46118</v>
      </c>
      <c r="AE24" s="35">
        <v>46203</v>
      </c>
      <c r="AF24" s="35"/>
      <c r="AG24" s="35"/>
      <c r="AH24" s="37">
        <f>IFERROR(VLOOKUP(N24,Liste!$D$4:$E$10,2,FALSE),"")</f>
        <v>0.85</v>
      </c>
    </row>
    <row r="25" spans="1:34" x14ac:dyDescent="0.35">
      <c r="A25" s="29" t="str">
        <f>Istruzioni!$B$4</f>
        <v>Catania</v>
      </c>
      <c r="B25" s="29" t="str">
        <f>Istruzioni!$B$5</f>
        <v>Sud</v>
      </c>
      <c r="C25" s="30" t="s">
        <v>8205</v>
      </c>
      <c r="D25" s="30"/>
      <c r="E25" s="30" t="s">
        <v>8206</v>
      </c>
      <c r="F25" s="31" t="s">
        <v>117</v>
      </c>
      <c r="G25" s="31" t="s">
        <v>159</v>
      </c>
      <c r="H25" s="31" t="s">
        <v>6562</v>
      </c>
      <c r="I25" s="32">
        <v>250</v>
      </c>
      <c r="J25" s="33"/>
      <c r="K25" s="34"/>
      <c r="L25" s="34"/>
      <c r="M25" s="31" t="s">
        <v>29</v>
      </c>
      <c r="N25" s="31" t="s">
        <v>40</v>
      </c>
      <c r="O25" s="31"/>
      <c r="P25" s="35"/>
      <c r="Q25" s="35"/>
      <c r="R25" s="35">
        <v>46125</v>
      </c>
      <c r="S25" s="36" t="str">
        <f t="shared" ca="1" si="0"/>
        <v/>
      </c>
      <c r="T25" s="29" t="str">
        <f t="shared" ca="1" si="1"/>
        <v/>
      </c>
      <c r="U25" s="30" t="s">
        <v>8207</v>
      </c>
      <c r="V25" s="35"/>
      <c r="W25" s="35"/>
      <c r="X25" s="35"/>
      <c r="Y25" s="35"/>
      <c r="Z25" s="35">
        <v>46125</v>
      </c>
      <c r="AA25" s="35">
        <v>46295</v>
      </c>
      <c r="AB25" s="35"/>
      <c r="AC25" s="35"/>
      <c r="AD25" s="35"/>
      <c r="AE25" s="35"/>
      <c r="AF25" s="35"/>
      <c r="AG25" s="35"/>
      <c r="AH25" s="37">
        <f>IFERROR(VLOOKUP(N25,Liste!$D$4:$E$10,2,FALSE),"")</f>
        <v>0.45</v>
      </c>
    </row>
    <row r="26" spans="1:34" x14ac:dyDescent="0.35">
      <c r="A26" s="29" t="str">
        <f>Istruzioni!$B$4</f>
        <v>Catania</v>
      </c>
      <c r="B26" s="29" t="str">
        <f>Istruzioni!$B$5</f>
        <v>Sud</v>
      </c>
      <c r="C26" s="30" t="s">
        <v>8208</v>
      </c>
      <c r="D26" s="30"/>
      <c r="E26" s="30" t="s">
        <v>8209</v>
      </c>
      <c r="F26" s="31" t="s">
        <v>117</v>
      </c>
      <c r="G26" s="31" t="s">
        <v>130</v>
      </c>
      <c r="H26" s="31" t="s">
        <v>130</v>
      </c>
      <c r="I26" s="32">
        <v>38.299999999999997</v>
      </c>
      <c r="J26" s="33"/>
      <c r="K26" s="34"/>
      <c r="L26" s="34"/>
      <c r="M26" s="31" t="s">
        <v>29</v>
      </c>
      <c r="N26" s="31" t="s">
        <v>40</v>
      </c>
      <c r="O26" s="31"/>
      <c r="P26" s="35"/>
      <c r="Q26" s="35"/>
      <c r="R26" s="35">
        <v>46125</v>
      </c>
      <c r="S26" s="36" t="str">
        <f t="shared" ca="1" si="0"/>
        <v/>
      </c>
      <c r="T26" s="29" t="str">
        <f t="shared" ca="1" si="1"/>
        <v/>
      </c>
      <c r="U26" s="30" t="s">
        <v>8210</v>
      </c>
      <c r="V26" s="35"/>
      <c r="W26" s="35"/>
      <c r="X26" s="35"/>
      <c r="Y26" s="35"/>
      <c r="Z26" s="35">
        <v>46125</v>
      </c>
      <c r="AA26" s="35">
        <v>46295</v>
      </c>
      <c r="AB26" s="35"/>
      <c r="AC26" s="35"/>
      <c r="AD26" s="35"/>
      <c r="AE26" s="35"/>
      <c r="AF26" s="35"/>
      <c r="AG26" s="35"/>
      <c r="AH26" s="37">
        <f>IFERROR(VLOOKUP(N26,Liste!$D$4:$E$10,2,FALSE),"")</f>
        <v>0.45</v>
      </c>
    </row>
    <row r="27" spans="1:34" x14ac:dyDescent="0.35">
      <c r="A27" s="29" t="str">
        <f>Istruzioni!$B$4</f>
        <v>Catania</v>
      </c>
      <c r="B27" s="29" t="str">
        <f>Istruzioni!$B$5</f>
        <v>Sud</v>
      </c>
      <c r="C27" s="30" t="s">
        <v>8211</v>
      </c>
      <c r="D27" s="30"/>
      <c r="E27" s="30" t="s">
        <v>8212</v>
      </c>
      <c r="F27" s="31" t="s">
        <v>117</v>
      </c>
      <c r="G27" s="31" t="s">
        <v>180</v>
      </c>
      <c r="H27" s="31" t="s">
        <v>6763</v>
      </c>
      <c r="I27" s="32">
        <v>35</v>
      </c>
      <c r="J27" s="33"/>
      <c r="K27" s="34"/>
      <c r="L27" s="34"/>
      <c r="M27" s="31" t="s">
        <v>29</v>
      </c>
      <c r="N27" s="31" t="s">
        <v>40</v>
      </c>
      <c r="O27" s="31"/>
      <c r="P27" s="35"/>
      <c r="Q27" s="35"/>
      <c r="R27" s="35">
        <v>46129</v>
      </c>
      <c r="S27" s="36" t="str">
        <f t="shared" ca="1" si="0"/>
        <v/>
      </c>
      <c r="T27" s="29" t="str">
        <f t="shared" ca="1" si="1"/>
        <v/>
      </c>
      <c r="U27" s="30" t="s">
        <v>119</v>
      </c>
      <c r="V27" s="35"/>
      <c r="W27" s="35"/>
      <c r="X27" s="35"/>
      <c r="Y27" s="35"/>
      <c r="Z27" s="35">
        <v>46129</v>
      </c>
      <c r="AA27" s="35">
        <v>46325</v>
      </c>
      <c r="AB27" s="35"/>
      <c r="AC27" s="35"/>
      <c r="AD27" s="35"/>
      <c r="AE27" s="35"/>
      <c r="AF27" s="35"/>
      <c r="AG27" s="35"/>
      <c r="AH27" s="37">
        <f>IFERROR(VLOOKUP(N27,Liste!$D$4:$E$10,2,FALSE),"")</f>
        <v>0.45</v>
      </c>
    </row>
    <row r="28" spans="1:34" x14ac:dyDescent="0.35">
      <c r="A28" s="29" t="str">
        <f>Istruzioni!$B$4</f>
        <v>Catania</v>
      </c>
      <c r="B28" s="29" t="str">
        <f>Istruzioni!$B$5</f>
        <v>Sud</v>
      </c>
      <c r="C28" s="30"/>
      <c r="D28" s="30"/>
      <c r="E28" s="30"/>
      <c r="F28" s="31"/>
      <c r="G28" s="31"/>
      <c r="H28" s="31"/>
      <c r="I28" s="32"/>
      <c r="J28" s="33"/>
      <c r="K28" s="34"/>
      <c r="L28" s="34"/>
      <c r="M28" s="31"/>
      <c r="N28" s="31"/>
      <c r="O28" s="31"/>
      <c r="P28" s="35"/>
      <c r="Q28" s="35"/>
      <c r="R28" s="35"/>
      <c r="S28" s="36" t="str">
        <f t="shared" ca="1" si="0"/>
        <v/>
      </c>
      <c r="T28" s="29" t="str">
        <f t="shared" ca="1" si="1"/>
        <v/>
      </c>
      <c r="U28" s="30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7" t="str">
        <f>IFERROR(VLOOKUP(N28,Liste!$D$4:$E$10,2,FALSE),"")</f>
        <v/>
      </c>
    </row>
    <row r="29" spans="1:34" x14ac:dyDescent="0.35">
      <c r="A29" s="29" t="str">
        <f>Istruzioni!$B$4</f>
        <v>Catania</v>
      </c>
      <c r="B29" s="29" t="str">
        <f>Istruzioni!$B$5</f>
        <v>Sud</v>
      </c>
      <c r="C29" s="30"/>
      <c r="D29" s="30"/>
      <c r="E29" s="30"/>
      <c r="F29" s="31"/>
      <c r="G29" s="31"/>
      <c r="H29" s="31"/>
      <c r="I29" s="32"/>
      <c r="J29" s="33"/>
      <c r="K29" s="34"/>
      <c r="L29" s="34"/>
      <c r="M29" s="31"/>
      <c r="N29" s="31"/>
      <c r="O29" s="31"/>
      <c r="P29" s="35"/>
      <c r="Q29" s="35"/>
      <c r="R29" s="35"/>
      <c r="S29" s="36" t="str">
        <f t="shared" ca="1" si="0"/>
        <v/>
      </c>
      <c r="T29" s="29" t="str">
        <f t="shared" ca="1" si="1"/>
        <v/>
      </c>
      <c r="U29" s="30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7" t="str">
        <f>IFERROR(VLOOKUP(N29,Liste!$D$4:$E$10,2,FALSE),"")</f>
        <v/>
      </c>
    </row>
    <row r="30" spans="1:34" x14ac:dyDescent="0.35">
      <c r="A30" s="29" t="str">
        <f>Istruzioni!$B$4</f>
        <v>Catania</v>
      </c>
      <c r="B30" s="29" t="str">
        <f>Istruzioni!$B$5</f>
        <v>Sud</v>
      </c>
      <c r="C30" s="30"/>
      <c r="D30" s="30"/>
      <c r="E30" s="30"/>
      <c r="F30" s="31"/>
      <c r="G30" s="31"/>
      <c r="H30" s="31"/>
      <c r="I30" s="32"/>
      <c r="J30" s="33"/>
      <c r="K30" s="34"/>
      <c r="L30" s="34"/>
      <c r="M30" s="31"/>
      <c r="N30" s="31"/>
      <c r="O30" s="31"/>
      <c r="P30" s="35"/>
      <c r="Q30" s="35"/>
      <c r="R30" s="35"/>
      <c r="S30" s="36" t="str">
        <f t="shared" ca="1" si="0"/>
        <v/>
      </c>
      <c r="T30" s="29" t="str">
        <f t="shared" ca="1" si="1"/>
        <v/>
      </c>
      <c r="U30" s="30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7" t="str">
        <f>IFERROR(VLOOKUP(N30,Liste!$D$4:$E$10,2,FALSE),"")</f>
        <v/>
      </c>
    </row>
    <row r="31" spans="1:34" x14ac:dyDescent="0.35">
      <c r="A31" s="29" t="str">
        <f>Istruzioni!$B$4</f>
        <v>Catania</v>
      </c>
      <c r="B31" s="29" t="str">
        <f>Istruzioni!$B$5</f>
        <v>Sud</v>
      </c>
      <c r="C31" s="30"/>
      <c r="D31" s="30"/>
      <c r="E31" s="30"/>
      <c r="F31" s="31"/>
      <c r="G31" s="31"/>
      <c r="H31" s="31"/>
      <c r="I31" s="32"/>
      <c r="J31" s="33"/>
      <c r="K31" s="34"/>
      <c r="L31" s="34"/>
      <c r="M31" s="31"/>
      <c r="N31" s="31"/>
      <c r="O31" s="31"/>
      <c r="P31" s="35"/>
      <c r="Q31" s="35"/>
      <c r="R31" s="35"/>
      <c r="S31" s="36" t="str">
        <f t="shared" ca="1" si="0"/>
        <v/>
      </c>
      <c r="T31" s="29" t="str">
        <f t="shared" ca="1" si="1"/>
        <v/>
      </c>
      <c r="U31" s="30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7" t="str">
        <f>IFERROR(VLOOKUP(N31,Liste!$D$4:$E$10,2,FALSE),"")</f>
        <v/>
      </c>
    </row>
    <row r="32" spans="1:34" x14ac:dyDescent="0.35">
      <c r="A32" s="29" t="str">
        <f>Istruzioni!$B$4</f>
        <v>Catania</v>
      </c>
      <c r="B32" s="29" t="str">
        <f>Istruzioni!$B$5</f>
        <v>Sud</v>
      </c>
      <c r="C32" s="30"/>
      <c r="D32" s="30"/>
      <c r="E32" s="30"/>
      <c r="F32" s="31"/>
      <c r="G32" s="31"/>
      <c r="H32" s="31"/>
      <c r="I32" s="32"/>
      <c r="J32" s="33"/>
      <c r="K32" s="34"/>
      <c r="L32" s="34"/>
      <c r="M32" s="31"/>
      <c r="N32" s="31"/>
      <c r="O32" s="31"/>
      <c r="P32" s="35"/>
      <c r="Q32" s="35"/>
      <c r="R32" s="35"/>
      <c r="S32" s="36" t="str">
        <f t="shared" ca="1" si="0"/>
        <v/>
      </c>
      <c r="T32" s="29" t="str">
        <f t="shared" ca="1" si="1"/>
        <v/>
      </c>
      <c r="U32" s="30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7" t="str">
        <f>IFERROR(VLOOKUP(N32,Liste!$D$4:$E$10,2,FALSE),"")</f>
        <v/>
      </c>
    </row>
    <row r="33" spans="1:34" x14ac:dyDescent="0.35">
      <c r="A33" s="29" t="str">
        <f>Istruzioni!$B$4</f>
        <v>Catania</v>
      </c>
      <c r="B33" s="29" t="str">
        <f>Istruzioni!$B$5</f>
        <v>Sud</v>
      </c>
      <c r="C33" s="30"/>
      <c r="D33" s="30"/>
      <c r="E33" s="30"/>
      <c r="F33" s="31"/>
      <c r="G33" s="31"/>
      <c r="H33" s="31"/>
      <c r="I33" s="32"/>
      <c r="J33" s="33"/>
      <c r="K33" s="34"/>
      <c r="L33" s="34"/>
      <c r="M33" s="31"/>
      <c r="N33" s="31"/>
      <c r="O33" s="31"/>
      <c r="P33" s="35"/>
      <c r="Q33" s="35"/>
      <c r="R33" s="35"/>
      <c r="S33" s="36" t="str">
        <f t="shared" ca="1" si="0"/>
        <v/>
      </c>
      <c r="T33" s="29" t="str">
        <f t="shared" ca="1" si="1"/>
        <v/>
      </c>
      <c r="U33" s="30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7" t="str">
        <f>IFERROR(VLOOKUP(N33,Liste!$D$4:$E$10,2,FALSE),"")</f>
        <v/>
      </c>
    </row>
    <row r="34" spans="1:34" x14ac:dyDescent="0.35">
      <c r="A34" s="29" t="str">
        <f>Istruzioni!$B$4</f>
        <v>Catania</v>
      </c>
      <c r="B34" s="29" t="str">
        <f>Istruzioni!$B$5</f>
        <v>Sud</v>
      </c>
      <c r="C34" s="30"/>
      <c r="D34" s="30"/>
      <c r="E34" s="30"/>
      <c r="F34" s="31"/>
      <c r="G34" s="31"/>
      <c r="H34" s="31"/>
      <c r="I34" s="32"/>
      <c r="J34" s="33"/>
      <c r="K34" s="34"/>
      <c r="L34" s="34"/>
      <c r="M34" s="31"/>
      <c r="N34" s="31"/>
      <c r="O34" s="31"/>
      <c r="P34" s="35"/>
      <c r="Q34" s="35"/>
      <c r="R34" s="35"/>
      <c r="S34" s="36" t="str">
        <f t="shared" ca="1" si="0"/>
        <v/>
      </c>
      <c r="T34" s="29" t="str">
        <f t="shared" ca="1" si="1"/>
        <v/>
      </c>
      <c r="U34" s="30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7" t="str">
        <f>IFERROR(VLOOKUP(N34,Liste!$D$4:$E$10,2,FALSE),"")</f>
        <v/>
      </c>
    </row>
    <row r="35" spans="1:34" x14ac:dyDescent="0.35">
      <c r="A35" s="29" t="str">
        <f>Istruzioni!$B$4</f>
        <v>Catania</v>
      </c>
      <c r="B35" s="29" t="str">
        <f>Istruzioni!$B$5</f>
        <v>Sud</v>
      </c>
      <c r="C35" s="30"/>
      <c r="D35" s="30"/>
      <c r="E35" s="30"/>
      <c r="F35" s="31"/>
      <c r="G35" s="31"/>
      <c r="H35" s="31"/>
      <c r="I35" s="32"/>
      <c r="J35" s="33"/>
      <c r="K35" s="34"/>
      <c r="L35" s="34"/>
      <c r="M35" s="31"/>
      <c r="N35" s="31"/>
      <c r="O35" s="31"/>
      <c r="P35" s="35"/>
      <c r="Q35" s="35"/>
      <c r="R35" s="35"/>
      <c r="S35" s="36" t="str">
        <f t="shared" ca="1" si="0"/>
        <v/>
      </c>
      <c r="T35" s="29" t="str">
        <f t="shared" ca="1" si="1"/>
        <v/>
      </c>
      <c r="U35" s="30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7" t="str">
        <f>IFERROR(VLOOKUP(N35,Liste!$D$4:$E$10,2,FALSE),"")</f>
        <v/>
      </c>
    </row>
    <row r="36" spans="1:34" x14ac:dyDescent="0.35">
      <c r="A36" s="29" t="str">
        <f>Istruzioni!$B$4</f>
        <v>Catania</v>
      </c>
      <c r="B36" s="29" t="str">
        <f>Istruzioni!$B$5</f>
        <v>Sud</v>
      </c>
      <c r="C36" s="30"/>
      <c r="D36" s="30"/>
      <c r="E36" s="30"/>
      <c r="F36" s="31"/>
      <c r="G36" s="31"/>
      <c r="H36" s="31"/>
      <c r="I36" s="32"/>
      <c r="J36" s="33"/>
      <c r="K36" s="34"/>
      <c r="L36" s="34"/>
      <c r="M36" s="31"/>
      <c r="N36" s="31"/>
      <c r="O36" s="31"/>
      <c r="P36" s="35"/>
      <c r="Q36" s="35"/>
      <c r="R36" s="35"/>
      <c r="S36" s="36" t="str">
        <f t="shared" ca="1" si="0"/>
        <v/>
      </c>
      <c r="T36" s="29" t="str">
        <f t="shared" ca="1" si="1"/>
        <v/>
      </c>
      <c r="U36" s="30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7" t="str">
        <f>IFERROR(VLOOKUP(N36,Liste!$D$4:$E$10,2,FALSE),"")</f>
        <v/>
      </c>
    </row>
    <row r="37" spans="1:34" x14ac:dyDescent="0.35">
      <c r="A37" s="29" t="str">
        <f>Istruzioni!$B$4</f>
        <v>Catania</v>
      </c>
      <c r="B37" s="29" t="str">
        <f>Istruzioni!$B$5</f>
        <v>Sud</v>
      </c>
      <c r="C37" s="30"/>
      <c r="D37" s="30"/>
      <c r="E37" s="30"/>
      <c r="F37" s="31"/>
      <c r="G37" s="31"/>
      <c r="H37" s="31"/>
      <c r="I37" s="32"/>
      <c r="J37" s="33"/>
      <c r="K37" s="34"/>
      <c r="L37" s="34"/>
      <c r="M37" s="31"/>
      <c r="N37" s="31"/>
      <c r="O37" s="31"/>
      <c r="P37" s="35"/>
      <c r="Q37" s="35"/>
      <c r="R37" s="35"/>
      <c r="S37" s="36" t="str">
        <f t="shared" ref="S37:S68" ca="1" si="2">IF(OR(Q37="",M37="Completato",M37="Perso"),"",MAX(TODAY()-Q37,0))</f>
        <v/>
      </c>
      <c r="T37" s="29" t="str">
        <f t="shared" ref="T37:T68" ca="1" si="3">IF(OR(Q37="",M37="Completato",M37="Perso"),"",IF(Q37&lt;TODAY(),"In ritardo",IF(Q37&lt;=TODAY()+30,"In scadenza","On track")))</f>
        <v/>
      </c>
      <c r="U37" s="30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7" t="str">
        <f>IFERROR(VLOOKUP(N37,Liste!$D$4:$E$10,2,FALSE),"")</f>
        <v/>
      </c>
    </row>
    <row r="38" spans="1:34" x14ac:dyDescent="0.35">
      <c r="A38" s="29" t="str">
        <f>Istruzioni!$B$4</f>
        <v>Catania</v>
      </c>
      <c r="B38" s="29" t="str">
        <f>Istruzioni!$B$5</f>
        <v>Sud</v>
      </c>
      <c r="C38" s="30"/>
      <c r="D38" s="30"/>
      <c r="E38" s="30"/>
      <c r="F38" s="31"/>
      <c r="G38" s="31"/>
      <c r="H38" s="31"/>
      <c r="I38" s="32"/>
      <c r="J38" s="33"/>
      <c r="K38" s="34"/>
      <c r="L38" s="34"/>
      <c r="M38" s="31"/>
      <c r="N38" s="31"/>
      <c r="O38" s="31"/>
      <c r="P38" s="35"/>
      <c r="Q38" s="35"/>
      <c r="R38" s="35"/>
      <c r="S38" s="36" t="str">
        <f t="shared" ca="1" si="2"/>
        <v/>
      </c>
      <c r="T38" s="29" t="str">
        <f t="shared" ca="1" si="3"/>
        <v/>
      </c>
      <c r="U38" s="30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7" t="str">
        <f>IFERROR(VLOOKUP(N38,Liste!$D$4:$E$10,2,FALSE),"")</f>
        <v/>
      </c>
    </row>
    <row r="39" spans="1:34" x14ac:dyDescent="0.35">
      <c r="A39" s="29" t="str">
        <f>Istruzioni!$B$4</f>
        <v>Catania</v>
      </c>
      <c r="B39" s="29" t="str">
        <f>Istruzioni!$B$5</f>
        <v>Sud</v>
      </c>
      <c r="C39" s="30"/>
      <c r="D39" s="30"/>
      <c r="E39" s="30"/>
      <c r="F39" s="31"/>
      <c r="G39" s="31"/>
      <c r="H39" s="31"/>
      <c r="I39" s="32"/>
      <c r="J39" s="33"/>
      <c r="K39" s="34"/>
      <c r="L39" s="34"/>
      <c r="M39" s="31"/>
      <c r="N39" s="31"/>
      <c r="O39" s="31"/>
      <c r="P39" s="35"/>
      <c r="Q39" s="35"/>
      <c r="R39" s="35"/>
      <c r="S39" s="36" t="str">
        <f t="shared" ca="1" si="2"/>
        <v/>
      </c>
      <c r="T39" s="29" t="str">
        <f t="shared" ca="1" si="3"/>
        <v/>
      </c>
      <c r="U39" s="30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7" t="str">
        <f>IFERROR(VLOOKUP(N39,Liste!$D$4:$E$10,2,FALSE),"")</f>
        <v/>
      </c>
    </row>
    <row r="40" spans="1:34" x14ac:dyDescent="0.35">
      <c r="A40" s="29" t="str">
        <f>Istruzioni!$B$4</f>
        <v>Catania</v>
      </c>
      <c r="B40" s="29" t="str">
        <f>Istruzioni!$B$5</f>
        <v>Sud</v>
      </c>
      <c r="C40" s="30"/>
      <c r="D40" s="30"/>
      <c r="E40" s="30"/>
      <c r="F40" s="31"/>
      <c r="G40" s="31"/>
      <c r="H40" s="31"/>
      <c r="I40" s="32"/>
      <c r="J40" s="33"/>
      <c r="K40" s="34"/>
      <c r="L40" s="34"/>
      <c r="M40" s="31"/>
      <c r="N40" s="31"/>
      <c r="O40" s="31"/>
      <c r="P40" s="35"/>
      <c r="Q40" s="35"/>
      <c r="R40" s="35"/>
      <c r="S40" s="36" t="str">
        <f t="shared" ca="1" si="2"/>
        <v/>
      </c>
      <c r="T40" s="29" t="str">
        <f t="shared" ca="1" si="3"/>
        <v/>
      </c>
      <c r="U40" s="30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7" t="str">
        <f>IFERROR(VLOOKUP(N40,Liste!$D$4:$E$10,2,FALSE),"")</f>
        <v/>
      </c>
    </row>
    <row r="41" spans="1:34" x14ac:dyDescent="0.35">
      <c r="A41" s="29" t="str">
        <f>Istruzioni!$B$4</f>
        <v>Catania</v>
      </c>
      <c r="B41" s="29" t="str">
        <f>Istruzioni!$B$5</f>
        <v>Sud</v>
      </c>
      <c r="C41" s="30"/>
      <c r="D41" s="30"/>
      <c r="E41" s="30"/>
      <c r="F41" s="31"/>
      <c r="G41" s="31"/>
      <c r="H41" s="31"/>
      <c r="I41" s="32"/>
      <c r="J41" s="33"/>
      <c r="K41" s="34"/>
      <c r="L41" s="34"/>
      <c r="M41" s="31"/>
      <c r="N41" s="31"/>
      <c r="O41" s="31"/>
      <c r="P41" s="35"/>
      <c r="Q41" s="35"/>
      <c r="R41" s="35"/>
      <c r="S41" s="36" t="str">
        <f t="shared" ca="1" si="2"/>
        <v/>
      </c>
      <c r="T41" s="29" t="str">
        <f t="shared" ca="1" si="3"/>
        <v/>
      </c>
      <c r="U41" s="30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7" t="str">
        <f>IFERROR(VLOOKUP(N41,Liste!$D$4:$E$10,2,FALSE),"")</f>
        <v/>
      </c>
    </row>
    <row r="42" spans="1:34" x14ac:dyDescent="0.35">
      <c r="A42" s="29" t="str">
        <f>Istruzioni!$B$4</f>
        <v>Catania</v>
      </c>
      <c r="B42" s="29" t="str">
        <f>Istruzioni!$B$5</f>
        <v>Sud</v>
      </c>
      <c r="C42" s="30"/>
      <c r="D42" s="30"/>
      <c r="E42" s="30"/>
      <c r="F42" s="31"/>
      <c r="G42" s="31"/>
      <c r="H42" s="31"/>
      <c r="I42" s="32"/>
      <c r="J42" s="33"/>
      <c r="K42" s="34"/>
      <c r="L42" s="34"/>
      <c r="M42" s="31"/>
      <c r="N42" s="31"/>
      <c r="O42" s="31"/>
      <c r="P42" s="35"/>
      <c r="Q42" s="35"/>
      <c r="R42" s="35"/>
      <c r="S42" s="36" t="str">
        <f t="shared" ca="1" si="2"/>
        <v/>
      </c>
      <c r="T42" s="29" t="str">
        <f t="shared" ca="1" si="3"/>
        <v/>
      </c>
      <c r="U42" s="30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7" t="str">
        <f>IFERROR(VLOOKUP(N42,Liste!$D$4:$E$10,2,FALSE),"")</f>
        <v/>
      </c>
    </row>
    <row r="43" spans="1:34" x14ac:dyDescent="0.35">
      <c r="A43" s="29" t="str">
        <f>Istruzioni!$B$4</f>
        <v>Catania</v>
      </c>
      <c r="B43" s="29" t="str">
        <f>Istruzioni!$B$5</f>
        <v>Sud</v>
      </c>
      <c r="C43" s="30"/>
      <c r="D43" s="30"/>
      <c r="E43" s="30"/>
      <c r="F43" s="31"/>
      <c r="G43" s="31"/>
      <c r="H43" s="31"/>
      <c r="I43" s="32"/>
      <c r="J43" s="33"/>
      <c r="K43" s="34"/>
      <c r="L43" s="34"/>
      <c r="M43" s="31"/>
      <c r="N43" s="31"/>
      <c r="O43" s="31"/>
      <c r="P43" s="35"/>
      <c r="Q43" s="35"/>
      <c r="R43" s="35"/>
      <c r="S43" s="36" t="str">
        <f t="shared" ca="1" si="2"/>
        <v/>
      </c>
      <c r="T43" s="29" t="str">
        <f t="shared" ca="1" si="3"/>
        <v/>
      </c>
      <c r="U43" s="30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7" t="str">
        <f>IFERROR(VLOOKUP(N43,Liste!$D$4:$E$10,2,FALSE),"")</f>
        <v/>
      </c>
    </row>
    <row r="44" spans="1:34" x14ac:dyDescent="0.35">
      <c r="A44" s="29" t="str">
        <f>Istruzioni!$B$4</f>
        <v>Catania</v>
      </c>
      <c r="B44" s="29" t="str">
        <f>Istruzioni!$B$5</f>
        <v>Sud</v>
      </c>
      <c r="C44" s="30"/>
      <c r="D44" s="30"/>
      <c r="E44" s="30"/>
      <c r="F44" s="31"/>
      <c r="G44" s="31"/>
      <c r="H44" s="31"/>
      <c r="I44" s="32"/>
      <c r="J44" s="33"/>
      <c r="K44" s="34"/>
      <c r="L44" s="34"/>
      <c r="M44" s="31"/>
      <c r="N44" s="31"/>
      <c r="O44" s="31"/>
      <c r="P44" s="35"/>
      <c r="Q44" s="35"/>
      <c r="R44" s="35"/>
      <c r="S44" s="36" t="str">
        <f t="shared" ca="1" si="2"/>
        <v/>
      </c>
      <c r="T44" s="29" t="str">
        <f t="shared" ca="1" si="3"/>
        <v/>
      </c>
      <c r="U44" s="30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7" t="str">
        <f>IFERROR(VLOOKUP(N44,Liste!$D$4:$E$10,2,FALSE),"")</f>
        <v/>
      </c>
    </row>
    <row r="45" spans="1:34" x14ac:dyDescent="0.35">
      <c r="A45" s="29" t="str">
        <f>Istruzioni!$B$4</f>
        <v>Catania</v>
      </c>
      <c r="B45" s="29" t="str">
        <f>Istruzioni!$B$5</f>
        <v>Sud</v>
      </c>
      <c r="C45" s="30"/>
      <c r="D45" s="30"/>
      <c r="E45" s="30"/>
      <c r="F45" s="31"/>
      <c r="G45" s="31"/>
      <c r="H45" s="31"/>
      <c r="I45" s="32"/>
      <c r="J45" s="33"/>
      <c r="K45" s="34"/>
      <c r="L45" s="34"/>
      <c r="M45" s="31"/>
      <c r="N45" s="31"/>
      <c r="O45" s="31"/>
      <c r="P45" s="35"/>
      <c r="Q45" s="35"/>
      <c r="R45" s="35"/>
      <c r="S45" s="36" t="str">
        <f t="shared" ca="1" si="2"/>
        <v/>
      </c>
      <c r="T45" s="29" t="str">
        <f t="shared" ca="1" si="3"/>
        <v/>
      </c>
      <c r="U45" s="30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7" t="str">
        <f>IFERROR(VLOOKUP(N45,Liste!$D$4:$E$10,2,FALSE),"")</f>
        <v/>
      </c>
    </row>
    <row r="46" spans="1:34" x14ac:dyDescent="0.35">
      <c r="A46" s="29" t="str">
        <f>Istruzioni!$B$4</f>
        <v>Catania</v>
      </c>
      <c r="B46" s="29" t="str">
        <f>Istruzioni!$B$5</f>
        <v>Sud</v>
      </c>
      <c r="C46" s="30"/>
      <c r="D46" s="30"/>
      <c r="E46" s="30"/>
      <c r="F46" s="31"/>
      <c r="G46" s="31"/>
      <c r="H46" s="31"/>
      <c r="I46" s="32"/>
      <c r="J46" s="33"/>
      <c r="K46" s="34"/>
      <c r="L46" s="34"/>
      <c r="M46" s="31"/>
      <c r="N46" s="31"/>
      <c r="O46" s="31"/>
      <c r="P46" s="35"/>
      <c r="Q46" s="35"/>
      <c r="R46" s="35"/>
      <c r="S46" s="36" t="str">
        <f t="shared" ca="1" si="2"/>
        <v/>
      </c>
      <c r="T46" s="29" t="str">
        <f t="shared" ca="1" si="3"/>
        <v/>
      </c>
      <c r="U46" s="30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7" t="str">
        <f>IFERROR(VLOOKUP(N46,Liste!$D$4:$E$10,2,FALSE),"")</f>
        <v/>
      </c>
    </row>
    <row r="47" spans="1:34" x14ac:dyDescent="0.35">
      <c r="A47" s="29" t="str">
        <f>Istruzioni!$B$4</f>
        <v>Catania</v>
      </c>
      <c r="B47" s="29" t="str">
        <f>Istruzioni!$B$5</f>
        <v>Sud</v>
      </c>
      <c r="C47" s="30"/>
      <c r="D47" s="30"/>
      <c r="E47" s="30"/>
      <c r="F47" s="31"/>
      <c r="G47" s="31"/>
      <c r="H47" s="31"/>
      <c r="I47" s="32"/>
      <c r="J47" s="33"/>
      <c r="K47" s="34"/>
      <c r="L47" s="34"/>
      <c r="M47" s="31"/>
      <c r="N47" s="31"/>
      <c r="O47" s="31"/>
      <c r="P47" s="35"/>
      <c r="Q47" s="35"/>
      <c r="R47" s="35"/>
      <c r="S47" s="36" t="str">
        <f t="shared" ca="1" si="2"/>
        <v/>
      </c>
      <c r="T47" s="29" t="str">
        <f t="shared" ca="1" si="3"/>
        <v/>
      </c>
      <c r="U47" s="30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7" t="str">
        <f>IFERROR(VLOOKUP(N47,Liste!$D$4:$E$10,2,FALSE),"")</f>
        <v/>
      </c>
    </row>
    <row r="48" spans="1:34" x14ac:dyDescent="0.35">
      <c r="A48" s="29" t="str">
        <f>Istruzioni!$B$4</f>
        <v>Catania</v>
      </c>
      <c r="B48" s="29" t="str">
        <f>Istruzioni!$B$5</f>
        <v>Sud</v>
      </c>
      <c r="C48" s="30"/>
      <c r="D48" s="30"/>
      <c r="E48" s="30"/>
      <c r="F48" s="31"/>
      <c r="G48" s="31"/>
      <c r="H48" s="31"/>
      <c r="I48" s="32"/>
      <c r="J48" s="33"/>
      <c r="K48" s="34"/>
      <c r="L48" s="34"/>
      <c r="M48" s="31"/>
      <c r="N48" s="31"/>
      <c r="O48" s="31"/>
      <c r="P48" s="35"/>
      <c r="Q48" s="35"/>
      <c r="R48" s="35"/>
      <c r="S48" s="36" t="str">
        <f t="shared" ca="1" si="2"/>
        <v/>
      </c>
      <c r="T48" s="29" t="str">
        <f t="shared" ca="1" si="3"/>
        <v/>
      </c>
      <c r="U48" s="30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7" t="str">
        <f>IFERROR(VLOOKUP(N48,Liste!$D$4:$E$10,2,FALSE),"")</f>
        <v/>
      </c>
    </row>
    <row r="49" spans="1:34" x14ac:dyDescent="0.35">
      <c r="A49" s="29" t="str">
        <f>Istruzioni!$B$4</f>
        <v>Catania</v>
      </c>
      <c r="B49" s="29" t="str">
        <f>Istruzioni!$B$5</f>
        <v>Sud</v>
      </c>
      <c r="C49" s="30"/>
      <c r="D49" s="30"/>
      <c r="E49" s="30"/>
      <c r="F49" s="31"/>
      <c r="G49" s="31"/>
      <c r="H49" s="31"/>
      <c r="I49" s="32"/>
      <c r="J49" s="33"/>
      <c r="K49" s="34"/>
      <c r="L49" s="34"/>
      <c r="M49" s="31"/>
      <c r="N49" s="31"/>
      <c r="O49" s="31"/>
      <c r="P49" s="35"/>
      <c r="Q49" s="35"/>
      <c r="R49" s="35"/>
      <c r="S49" s="36" t="str">
        <f t="shared" ca="1" si="2"/>
        <v/>
      </c>
      <c r="T49" s="29" t="str">
        <f t="shared" ca="1" si="3"/>
        <v/>
      </c>
      <c r="U49" s="30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7" t="str">
        <f>IFERROR(VLOOKUP(N49,Liste!$D$4:$E$10,2,FALSE),"")</f>
        <v/>
      </c>
    </row>
    <row r="50" spans="1:34" x14ac:dyDescent="0.35">
      <c r="A50" s="29" t="str">
        <f>Istruzioni!$B$4</f>
        <v>Catania</v>
      </c>
      <c r="B50" s="29" t="str">
        <f>Istruzioni!$B$5</f>
        <v>Sud</v>
      </c>
      <c r="C50" s="30"/>
      <c r="D50" s="30"/>
      <c r="E50" s="30"/>
      <c r="F50" s="31"/>
      <c r="G50" s="31"/>
      <c r="H50" s="31"/>
      <c r="I50" s="32"/>
      <c r="J50" s="33"/>
      <c r="K50" s="34"/>
      <c r="L50" s="34"/>
      <c r="M50" s="31"/>
      <c r="N50" s="31"/>
      <c r="O50" s="31"/>
      <c r="P50" s="35"/>
      <c r="Q50" s="35"/>
      <c r="R50" s="35"/>
      <c r="S50" s="36" t="str">
        <f t="shared" ca="1" si="2"/>
        <v/>
      </c>
      <c r="T50" s="29" t="str">
        <f t="shared" ca="1" si="3"/>
        <v/>
      </c>
      <c r="U50" s="30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7" t="str">
        <f>IFERROR(VLOOKUP(N50,Liste!$D$4:$E$10,2,FALSE),"")</f>
        <v/>
      </c>
    </row>
    <row r="51" spans="1:34" x14ac:dyDescent="0.35">
      <c r="A51" s="29" t="str">
        <f>Istruzioni!$B$4</f>
        <v>Catania</v>
      </c>
      <c r="B51" s="29" t="str">
        <f>Istruzioni!$B$5</f>
        <v>Sud</v>
      </c>
      <c r="C51" s="30"/>
      <c r="D51" s="30"/>
      <c r="E51" s="30"/>
      <c r="F51" s="31"/>
      <c r="G51" s="31"/>
      <c r="H51" s="31"/>
      <c r="I51" s="32"/>
      <c r="J51" s="33"/>
      <c r="K51" s="34"/>
      <c r="L51" s="34"/>
      <c r="M51" s="31"/>
      <c r="N51" s="31"/>
      <c r="O51" s="31"/>
      <c r="P51" s="35"/>
      <c r="Q51" s="35"/>
      <c r="R51" s="35"/>
      <c r="S51" s="36" t="str">
        <f t="shared" ca="1" si="2"/>
        <v/>
      </c>
      <c r="T51" s="29" t="str">
        <f t="shared" ca="1" si="3"/>
        <v/>
      </c>
      <c r="U51" s="30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7" t="str">
        <f>IFERROR(VLOOKUP(N51,Liste!$D$4:$E$10,2,FALSE),"")</f>
        <v/>
      </c>
    </row>
    <row r="52" spans="1:34" x14ac:dyDescent="0.35">
      <c r="A52" s="29" t="str">
        <f>Istruzioni!$B$4</f>
        <v>Catania</v>
      </c>
      <c r="B52" s="29" t="str">
        <f>Istruzioni!$B$5</f>
        <v>Sud</v>
      </c>
      <c r="C52" s="30"/>
      <c r="D52" s="30"/>
      <c r="E52" s="30"/>
      <c r="F52" s="31"/>
      <c r="G52" s="31"/>
      <c r="H52" s="31"/>
      <c r="I52" s="32"/>
      <c r="J52" s="33"/>
      <c r="K52" s="34"/>
      <c r="L52" s="34"/>
      <c r="M52" s="31"/>
      <c r="N52" s="31"/>
      <c r="O52" s="31"/>
      <c r="P52" s="35"/>
      <c r="Q52" s="35"/>
      <c r="R52" s="35"/>
      <c r="S52" s="36" t="str">
        <f t="shared" ca="1" si="2"/>
        <v/>
      </c>
      <c r="T52" s="29" t="str">
        <f t="shared" ca="1" si="3"/>
        <v/>
      </c>
      <c r="U52" s="30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7" t="str">
        <f>IFERROR(VLOOKUP(N52,Liste!$D$4:$E$10,2,FALSE),"")</f>
        <v/>
      </c>
    </row>
    <row r="53" spans="1:34" x14ac:dyDescent="0.35">
      <c r="A53" s="29" t="str">
        <f>Istruzioni!$B$4</f>
        <v>Catania</v>
      </c>
      <c r="B53" s="29" t="str">
        <f>Istruzioni!$B$5</f>
        <v>Sud</v>
      </c>
      <c r="C53" s="30"/>
      <c r="D53" s="30"/>
      <c r="E53" s="30"/>
      <c r="F53" s="31"/>
      <c r="G53" s="31"/>
      <c r="H53" s="31"/>
      <c r="I53" s="32"/>
      <c r="J53" s="33"/>
      <c r="K53" s="34"/>
      <c r="L53" s="34"/>
      <c r="M53" s="31"/>
      <c r="N53" s="31"/>
      <c r="O53" s="31"/>
      <c r="P53" s="35"/>
      <c r="Q53" s="35"/>
      <c r="R53" s="35"/>
      <c r="S53" s="36" t="str">
        <f t="shared" ca="1" si="2"/>
        <v/>
      </c>
      <c r="T53" s="29" t="str">
        <f t="shared" ca="1" si="3"/>
        <v/>
      </c>
      <c r="U53" s="30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7" t="str">
        <f>IFERROR(VLOOKUP(N53,Liste!$D$4:$E$10,2,FALSE),"")</f>
        <v/>
      </c>
    </row>
    <row r="54" spans="1:34" x14ac:dyDescent="0.35">
      <c r="A54" s="29" t="str">
        <f>Istruzioni!$B$4</f>
        <v>Catania</v>
      </c>
      <c r="B54" s="29" t="str">
        <f>Istruzioni!$B$5</f>
        <v>Sud</v>
      </c>
      <c r="C54" s="30"/>
      <c r="D54" s="30"/>
      <c r="E54" s="30"/>
      <c r="F54" s="31"/>
      <c r="G54" s="31"/>
      <c r="H54" s="31"/>
      <c r="I54" s="32"/>
      <c r="J54" s="33"/>
      <c r="K54" s="34"/>
      <c r="L54" s="34"/>
      <c r="M54" s="31"/>
      <c r="N54" s="31"/>
      <c r="O54" s="31"/>
      <c r="P54" s="35"/>
      <c r="Q54" s="35"/>
      <c r="R54" s="35"/>
      <c r="S54" s="36" t="str">
        <f t="shared" ca="1" si="2"/>
        <v/>
      </c>
      <c r="T54" s="29" t="str">
        <f t="shared" ca="1" si="3"/>
        <v/>
      </c>
      <c r="U54" s="30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7" t="str">
        <f>IFERROR(VLOOKUP(N54,Liste!$D$4:$E$10,2,FALSE),"")</f>
        <v/>
      </c>
    </row>
    <row r="55" spans="1:34" x14ac:dyDescent="0.35">
      <c r="A55" s="29" t="str">
        <f>Istruzioni!$B$4</f>
        <v>Catania</v>
      </c>
      <c r="B55" s="29" t="str">
        <f>Istruzioni!$B$5</f>
        <v>Sud</v>
      </c>
      <c r="C55" s="30"/>
      <c r="D55" s="30"/>
      <c r="E55" s="30"/>
      <c r="F55" s="31"/>
      <c r="G55" s="31"/>
      <c r="H55" s="31"/>
      <c r="I55" s="32"/>
      <c r="J55" s="33"/>
      <c r="K55" s="34"/>
      <c r="L55" s="34"/>
      <c r="M55" s="31"/>
      <c r="N55" s="31"/>
      <c r="O55" s="31"/>
      <c r="P55" s="35"/>
      <c r="Q55" s="35"/>
      <c r="R55" s="35"/>
      <c r="S55" s="36" t="str">
        <f t="shared" ca="1" si="2"/>
        <v/>
      </c>
      <c r="T55" s="29" t="str">
        <f t="shared" ca="1" si="3"/>
        <v/>
      </c>
      <c r="U55" s="30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7" t="str">
        <f>IFERROR(VLOOKUP(N55,Liste!$D$4:$E$10,2,FALSE),"")</f>
        <v/>
      </c>
    </row>
    <row r="56" spans="1:34" x14ac:dyDescent="0.35">
      <c r="A56" s="29" t="str">
        <f>Istruzioni!$B$4</f>
        <v>Catania</v>
      </c>
      <c r="B56" s="29" t="str">
        <f>Istruzioni!$B$5</f>
        <v>Sud</v>
      </c>
      <c r="C56" s="30"/>
      <c r="D56" s="30"/>
      <c r="E56" s="30"/>
      <c r="F56" s="31"/>
      <c r="G56" s="31"/>
      <c r="H56" s="31"/>
      <c r="I56" s="32"/>
      <c r="J56" s="33"/>
      <c r="K56" s="34"/>
      <c r="L56" s="34"/>
      <c r="M56" s="31"/>
      <c r="N56" s="31"/>
      <c r="O56" s="31"/>
      <c r="P56" s="35"/>
      <c r="Q56" s="35"/>
      <c r="R56" s="35"/>
      <c r="S56" s="36" t="str">
        <f t="shared" ca="1" si="2"/>
        <v/>
      </c>
      <c r="T56" s="29" t="str">
        <f t="shared" ca="1" si="3"/>
        <v/>
      </c>
      <c r="U56" s="30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7" t="str">
        <f>IFERROR(VLOOKUP(N56,Liste!$D$4:$E$10,2,FALSE),"")</f>
        <v/>
      </c>
    </row>
    <row r="57" spans="1:34" x14ac:dyDescent="0.35">
      <c r="A57" s="29" t="str">
        <f>Istruzioni!$B$4</f>
        <v>Catania</v>
      </c>
      <c r="B57" s="29" t="str">
        <f>Istruzioni!$B$5</f>
        <v>Sud</v>
      </c>
      <c r="C57" s="30"/>
      <c r="D57" s="30"/>
      <c r="E57" s="30"/>
      <c r="F57" s="31"/>
      <c r="G57" s="31"/>
      <c r="H57" s="31"/>
      <c r="I57" s="32"/>
      <c r="J57" s="33"/>
      <c r="K57" s="34"/>
      <c r="L57" s="34"/>
      <c r="M57" s="31"/>
      <c r="N57" s="31"/>
      <c r="O57" s="31"/>
      <c r="P57" s="35"/>
      <c r="Q57" s="35"/>
      <c r="R57" s="35"/>
      <c r="S57" s="36" t="str">
        <f t="shared" ca="1" si="2"/>
        <v/>
      </c>
      <c r="T57" s="29" t="str">
        <f t="shared" ca="1" si="3"/>
        <v/>
      </c>
      <c r="U57" s="30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7" t="str">
        <f>IFERROR(VLOOKUP(N57,Liste!$D$4:$E$10,2,FALSE),"")</f>
        <v/>
      </c>
    </row>
    <row r="58" spans="1:34" x14ac:dyDescent="0.35">
      <c r="A58" s="29" t="str">
        <f>Istruzioni!$B$4</f>
        <v>Catania</v>
      </c>
      <c r="B58" s="29" t="str">
        <f>Istruzioni!$B$5</f>
        <v>Sud</v>
      </c>
      <c r="C58" s="30"/>
      <c r="D58" s="30"/>
      <c r="E58" s="30"/>
      <c r="F58" s="31"/>
      <c r="G58" s="31"/>
      <c r="H58" s="31"/>
      <c r="I58" s="32"/>
      <c r="J58" s="33"/>
      <c r="K58" s="34"/>
      <c r="L58" s="34"/>
      <c r="M58" s="31"/>
      <c r="N58" s="31"/>
      <c r="O58" s="31"/>
      <c r="P58" s="35"/>
      <c r="Q58" s="35"/>
      <c r="R58" s="35"/>
      <c r="S58" s="36" t="str">
        <f t="shared" ca="1" si="2"/>
        <v/>
      </c>
      <c r="T58" s="29" t="str">
        <f t="shared" ca="1" si="3"/>
        <v/>
      </c>
      <c r="U58" s="30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7" t="str">
        <f>IFERROR(VLOOKUP(N58,Liste!$D$4:$E$10,2,FALSE),"")</f>
        <v/>
      </c>
    </row>
    <row r="59" spans="1:34" x14ac:dyDescent="0.35">
      <c r="A59" s="29" t="str">
        <f>Istruzioni!$B$4</f>
        <v>Catania</v>
      </c>
      <c r="B59" s="29" t="str">
        <f>Istruzioni!$B$5</f>
        <v>Sud</v>
      </c>
      <c r="C59" s="30"/>
      <c r="D59" s="30"/>
      <c r="E59" s="30"/>
      <c r="F59" s="31"/>
      <c r="G59" s="31"/>
      <c r="H59" s="31"/>
      <c r="I59" s="32"/>
      <c r="J59" s="33"/>
      <c r="K59" s="34"/>
      <c r="L59" s="34"/>
      <c r="M59" s="31"/>
      <c r="N59" s="31"/>
      <c r="O59" s="31"/>
      <c r="P59" s="35"/>
      <c r="Q59" s="35"/>
      <c r="R59" s="35"/>
      <c r="S59" s="36" t="str">
        <f t="shared" ca="1" si="2"/>
        <v/>
      </c>
      <c r="T59" s="29" t="str">
        <f t="shared" ca="1" si="3"/>
        <v/>
      </c>
      <c r="U59" s="30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7" t="str">
        <f>IFERROR(VLOOKUP(N59,Liste!$D$4:$E$10,2,FALSE),"")</f>
        <v/>
      </c>
    </row>
    <row r="60" spans="1:34" x14ac:dyDescent="0.35">
      <c r="A60" s="29" t="str">
        <f>Istruzioni!$B$4</f>
        <v>Catania</v>
      </c>
      <c r="B60" s="29" t="str">
        <f>Istruzioni!$B$5</f>
        <v>Sud</v>
      </c>
      <c r="C60" s="30"/>
      <c r="D60" s="30"/>
      <c r="E60" s="30"/>
      <c r="F60" s="31"/>
      <c r="G60" s="31"/>
      <c r="H60" s="31"/>
      <c r="I60" s="32"/>
      <c r="J60" s="33"/>
      <c r="K60" s="34"/>
      <c r="L60" s="34"/>
      <c r="M60" s="31"/>
      <c r="N60" s="31"/>
      <c r="O60" s="31"/>
      <c r="P60" s="35"/>
      <c r="Q60" s="35"/>
      <c r="R60" s="35"/>
      <c r="S60" s="36" t="str">
        <f t="shared" ca="1" si="2"/>
        <v/>
      </c>
      <c r="T60" s="29" t="str">
        <f t="shared" ca="1" si="3"/>
        <v/>
      </c>
      <c r="U60" s="30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7" t="str">
        <f>IFERROR(VLOOKUP(N60,Liste!$D$4:$E$10,2,FALSE),"")</f>
        <v/>
      </c>
    </row>
    <row r="61" spans="1:34" x14ac:dyDescent="0.35">
      <c r="A61" s="29" t="str">
        <f>Istruzioni!$B$4</f>
        <v>Catania</v>
      </c>
      <c r="B61" s="29" t="str">
        <f>Istruzioni!$B$5</f>
        <v>Sud</v>
      </c>
      <c r="C61" s="30"/>
      <c r="D61" s="30"/>
      <c r="E61" s="30"/>
      <c r="F61" s="31"/>
      <c r="G61" s="31"/>
      <c r="H61" s="31"/>
      <c r="I61" s="32"/>
      <c r="J61" s="33"/>
      <c r="K61" s="34"/>
      <c r="L61" s="34"/>
      <c r="M61" s="31"/>
      <c r="N61" s="31"/>
      <c r="O61" s="31"/>
      <c r="P61" s="35"/>
      <c r="Q61" s="35"/>
      <c r="R61" s="35"/>
      <c r="S61" s="36" t="str">
        <f t="shared" ca="1" si="2"/>
        <v/>
      </c>
      <c r="T61" s="29" t="str">
        <f t="shared" ca="1" si="3"/>
        <v/>
      </c>
      <c r="U61" s="30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7" t="str">
        <f>IFERROR(VLOOKUP(N61,Liste!$D$4:$E$10,2,FALSE),"")</f>
        <v/>
      </c>
    </row>
    <row r="62" spans="1:34" x14ac:dyDescent="0.35">
      <c r="A62" s="29" t="str">
        <f>Istruzioni!$B$4</f>
        <v>Catania</v>
      </c>
      <c r="B62" s="29" t="str">
        <f>Istruzioni!$B$5</f>
        <v>Sud</v>
      </c>
      <c r="C62" s="30"/>
      <c r="D62" s="30"/>
      <c r="E62" s="30"/>
      <c r="F62" s="31"/>
      <c r="G62" s="31"/>
      <c r="H62" s="31"/>
      <c r="I62" s="32"/>
      <c r="J62" s="33"/>
      <c r="K62" s="34"/>
      <c r="L62" s="34"/>
      <c r="M62" s="31"/>
      <c r="N62" s="31"/>
      <c r="O62" s="31"/>
      <c r="P62" s="35"/>
      <c r="Q62" s="35"/>
      <c r="R62" s="35"/>
      <c r="S62" s="36" t="str">
        <f t="shared" ca="1" si="2"/>
        <v/>
      </c>
      <c r="T62" s="29" t="str">
        <f t="shared" ca="1" si="3"/>
        <v/>
      </c>
      <c r="U62" s="30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7" t="str">
        <f>IFERROR(VLOOKUP(N62,Liste!$D$4:$E$10,2,FALSE),"")</f>
        <v/>
      </c>
    </row>
    <row r="63" spans="1:34" x14ac:dyDescent="0.35">
      <c r="A63" s="29" t="str">
        <f>Istruzioni!$B$4</f>
        <v>Catania</v>
      </c>
      <c r="B63" s="29" t="str">
        <f>Istruzioni!$B$5</f>
        <v>Sud</v>
      </c>
      <c r="C63" s="30"/>
      <c r="D63" s="30"/>
      <c r="E63" s="30"/>
      <c r="F63" s="31"/>
      <c r="G63" s="31"/>
      <c r="H63" s="31"/>
      <c r="I63" s="32"/>
      <c r="J63" s="33"/>
      <c r="K63" s="34"/>
      <c r="L63" s="34"/>
      <c r="M63" s="31"/>
      <c r="N63" s="31"/>
      <c r="O63" s="31"/>
      <c r="P63" s="35"/>
      <c r="Q63" s="35"/>
      <c r="R63" s="35"/>
      <c r="S63" s="36" t="str">
        <f t="shared" ca="1" si="2"/>
        <v/>
      </c>
      <c r="T63" s="29" t="str">
        <f t="shared" ca="1" si="3"/>
        <v/>
      </c>
      <c r="U63" s="30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7" t="str">
        <f>IFERROR(VLOOKUP(N63,Liste!$D$4:$E$10,2,FALSE),"")</f>
        <v/>
      </c>
    </row>
    <row r="64" spans="1:34" x14ac:dyDescent="0.35">
      <c r="A64" s="29" t="str">
        <f>Istruzioni!$B$4</f>
        <v>Catania</v>
      </c>
      <c r="B64" s="29" t="str">
        <f>Istruzioni!$B$5</f>
        <v>Sud</v>
      </c>
      <c r="C64" s="30"/>
      <c r="D64" s="30"/>
      <c r="E64" s="30"/>
      <c r="F64" s="31"/>
      <c r="G64" s="31"/>
      <c r="H64" s="31"/>
      <c r="I64" s="32"/>
      <c r="J64" s="33"/>
      <c r="K64" s="34"/>
      <c r="L64" s="34"/>
      <c r="M64" s="31"/>
      <c r="N64" s="31"/>
      <c r="O64" s="31"/>
      <c r="P64" s="35"/>
      <c r="Q64" s="35"/>
      <c r="R64" s="35"/>
      <c r="S64" s="36" t="str">
        <f t="shared" ca="1" si="2"/>
        <v/>
      </c>
      <c r="T64" s="29" t="str">
        <f t="shared" ca="1" si="3"/>
        <v/>
      </c>
      <c r="U64" s="30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7" t="str">
        <f>IFERROR(VLOOKUP(N64,Liste!$D$4:$E$10,2,FALSE),"")</f>
        <v/>
      </c>
    </row>
    <row r="65" spans="1:34" x14ac:dyDescent="0.35">
      <c r="A65" s="29" t="str">
        <f>Istruzioni!$B$4</f>
        <v>Catania</v>
      </c>
      <c r="B65" s="29" t="str">
        <f>Istruzioni!$B$5</f>
        <v>Sud</v>
      </c>
      <c r="C65" s="30"/>
      <c r="D65" s="30"/>
      <c r="E65" s="30"/>
      <c r="F65" s="31"/>
      <c r="G65" s="31"/>
      <c r="H65" s="31"/>
      <c r="I65" s="32"/>
      <c r="J65" s="33"/>
      <c r="K65" s="34"/>
      <c r="L65" s="34"/>
      <c r="M65" s="31"/>
      <c r="N65" s="31"/>
      <c r="O65" s="31"/>
      <c r="P65" s="35"/>
      <c r="Q65" s="35"/>
      <c r="R65" s="35"/>
      <c r="S65" s="36" t="str">
        <f t="shared" ca="1" si="2"/>
        <v/>
      </c>
      <c r="T65" s="29" t="str">
        <f t="shared" ca="1" si="3"/>
        <v/>
      </c>
      <c r="U65" s="30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7" t="str">
        <f>IFERROR(VLOOKUP(N65,Liste!$D$4:$E$10,2,FALSE),"")</f>
        <v/>
      </c>
    </row>
    <row r="66" spans="1:34" x14ac:dyDescent="0.35">
      <c r="A66" s="29" t="str">
        <f>Istruzioni!$B$4</f>
        <v>Catania</v>
      </c>
      <c r="B66" s="29" t="str">
        <f>Istruzioni!$B$5</f>
        <v>Sud</v>
      </c>
      <c r="C66" s="30"/>
      <c r="D66" s="30"/>
      <c r="E66" s="30"/>
      <c r="F66" s="31"/>
      <c r="G66" s="31"/>
      <c r="H66" s="31"/>
      <c r="I66" s="32"/>
      <c r="J66" s="33"/>
      <c r="K66" s="34"/>
      <c r="L66" s="34"/>
      <c r="M66" s="31"/>
      <c r="N66" s="31"/>
      <c r="O66" s="31"/>
      <c r="P66" s="35"/>
      <c r="Q66" s="35"/>
      <c r="R66" s="35"/>
      <c r="S66" s="36" t="str">
        <f t="shared" ca="1" si="2"/>
        <v/>
      </c>
      <c r="T66" s="29" t="str">
        <f t="shared" ca="1" si="3"/>
        <v/>
      </c>
      <c r="U66" s="30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7" t="str">
        <f>IFERROR(VLOOKUP(N66,Liste!$D$4:$E$10,2,FALSE),"")</f>
        <v/>
      </c>
    </row>
    <row r="67" spans="1:34" x14ac:dyDescent="0.35">
      <c r="A67" s="29" t="str">
        <f>Istruzioni!$B$4</f>
        <v>Catania</v>
      </c>
      <c r="B67" s="29" t="str">
        <f>Istruzioni!$B$5</f>
        <v>Sud</v>
      </c>
      <c r="C67" s="30"/>
      <c r="D67" s="30"/>
      <c r="E67" s="30"/>
      <c r="F67" s="31"/>
      <c r="G67" s="31"/>
      <c r="H67" s="31"/>
      <c r="I67" s="32"/>
      <c r="J67" s="33"/>
      <c r="K67" s="34"/>
      <c r="L67" s="34"/>
      <c r="M67" s="31"/>
      <c r="N67" s="31"/>
      <c r="O67" s="31"/>
      <c r="P67" s="35"/>
      <c r="Q67" s="35"/>
      <c r="R67" s="35"/>
      <c r="S67" s="36" t="str">
        <f t="shared" ca="1" si="2"/>
        <v/>
      </c>
      <c r="T67" s="29" t="str">
        <f t="shared" ca="1" si="3"/>
        <v/>
      </c>
      <c r="U67" s="30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7" t="str">
        <f>IFERROR(VLOOKUP(N67,Liste!$D$4:$E$10,2,FALSE),"")</f>
        <v/>
      </c>
    </row>
    <row r="68" spans="1:34" x14ac:dyDescent="0.35">
      <c r="A68" s="29" t="str">
        <f>Istruzioni!$B$4</f>
        <v>Catania</v>
      </c>
      <c r="B68" s="29" t="str">
        <f>Istruzioni!$B$5</f>
        <v>Sud</v>
      </c>
      <c r="C68" s="30"/>
      <c r="D68" s="30"/>
      <c r="E68" s="30"/>
      <c r="F68" s="31"/>
      <c r="G68" s="31"/>
      <c r="H68" s="31"/>
      <c r="I68" s="32"/>
      <c r="J68" s="33"/>
      <c r="K68" s="34"/>
      <c r="L68" s="34"/>
      <c r="M68" s="31"/>
      <c r="N68" s="31"/>
      <c r="O68" s="31"/>
      <c r="P68" s="35"/>
      <c r="Q68" s="35"/>
      <c r="R68" s="35"/>
      <c r="S68" s="36" t="str">
        <f t="shared" ca="1" si="2"/>
        <v/>
      </c>
      <c r="T68" s="29" t="str">
        <f t="shared" ca="1" si="3"/>
        <v/>
      </c>
      <c r="U68" s="30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7" t="str">
        <f>IFERROR(VLOOKUP(N68,Liste!$D$4:$E$10,2,FALSE),"")</f>
        <v/>
      </c>
    </row>
    <row r="69" spans="1:34" x14ac:dyDescent="0.35">
      <c r="A69" s="29" t="str">
        <f>Istruzioni!$B$4</f>
        <v>Catania</v>
      </c>
      <c r="B69" s="29" t="str">
        <f>Istruzioni!$B$5</f>
        <v>Sud</v>
      </c>
      <c r="C69" s="30"/>
      <c r="D69" s="30"/>
      <c r="E69" s="30"/>
      <c r="F69" s="31"/>
      <c r="G69" s="31"/>
      <c r="H69" s="31"/>
      <c r="I69" s="32"/>
      <c r="J69" s="33"/>
      <c r="K69" s="34"/>
      <c r="L69" s="34"/>
      <c r="M69" s="31"/>
      <c r="N69" s="31"/>
      <c r="O69" s="31"/>
      <c r="P69" s="35"/>
      <c r="Q69" s="35"/>
      <c r="R69" s="35"/>
      <c r="S69" s="36" t="str">
        <f t="shared" ref="S69:S100" ca="1" si="4">IF(OR(Q69="",M69="Completato",M69="Perso"),"",MAX(TODAY()-Q69,0))</f>
        <v/>
      </c>
      <c r="T69" s="29" t="str">
        <f t="shared" ref="T69:T100" ca="1" si="5">IF(OR(Q69="",M69="Completato",M69="Perso"),"",IF(Q69&lt;TODAY(),"In ritardo",IF(Q69&lt;=TODAY()+30,"In scadenza","On track")))</f>
        <v/>
      </c>
      <c r="U69" s="30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7" t="str">
        <f>IFERROR(VLOOKUP(N69,Liste!$D$4:$E$10,2,FALSE),"")</f>
        <v/>
      </c>
    </row>
    <row r="70" spans="1:34" x14ac:dyDescent="0.35">
      <c r="A70" s="29" t="str">
        <f>Istruzioni!$B$4</f>
        <v>Catania</v>
      </c>
      <c r="B70" s="29" t="str">
        <f>Istruzioni!$B$5</f>
        <v>Sud</v>
      </c>
      <c r="C70" s="30"/>
      <c r="D70" s="30"/>
      <c r="E70" s="30"/>
      <c r="F70" s="31"/>
      <c r="G70" s="31"/>
      <c r="H70" s="31"/>
      <c r="I70" s="32"/>
      <c r="J70" s="33"/>
      <c r="K70" s="34"/>
      <c r="L70" s="34"/>
      <c r="M70" s="31"/>
      <c r="N70" s="31"/>
      <c r="O70" s="31"/>
      <c r="P70" s="35"/>
      <c r="Q70" s="35"/>
      <c r="R70" s="35"/>
      <c r="S70" s="36" t="str">
        <f t="shared" ca="1" si="4"/>
        <v/>
      </c>
      <c r="T70" s="29" t="str">
        <f t="shared" ca="1" si="5"/>
        <v/>
      </c>
      <c r="U70" s="30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7" t="str">
        <f>IFERROR(VLOOKUP(N70,Liste!$D$4:$E$10,2,FALSE),"")</f>
        <v/>
      </c>
    </row>
    <row r="71" spans="1:34" x14ac:dyDescent="0.35">
      <c r="A71" s="29" t="str">
        <f>Istruzioni!$B$4</f>
        <v>Catania</v>
      </c>
      <c r="B71" s="29" t="str">
        <f>Istruzioni!$B$5</f>
        <v>Sud</v>
      </c>
      <c r="C71" s="30"/>
      <c r="D71" s="30"/>
      <c r="E71" s="30"/>
      <c r="F71" s="31"/>
      <c r="G71" s="31"/>
      <c r="H71" s="31"/>
      <c r="I71" s="32"/>
      <c r="J71" s="33"/>
      <c r="K71" s="34"/>
      <c r="L71" s="34"/>
      <c r="M71" s="31"/>
      <c r="N71" s="31"/>
      <c r="O71" s="31"/>
      <c r="P71" s="35"/>
      <c r="Q71" s="35"/>
      <c r="R71" s="35"/>
      <c r="S71" s="36" t="str">
        <f t="shared" ca="1" si="4"/>
        <v/>
      </c>
      <c r="T71" s="29" t="str">
        <f t="shared" ca="1" si="5"/>
        <v/>
      </c>
      <c r="U71" s="30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7" t="str">
        <f>IFERROR(VLOOKUP(N71,Liste!$D$4:$E$10,2,FALSE),"")</f>
        <v/>
      </c>
    </row>
    <row r="72" spans="1:34" x14ac:dyDescent="0.35">
      <c r="A72" s="29" t="str">
        <f>Istruzioni!$B$4</f>
        <v>Catania</v>
      </c>
      <c r="B72" s="29" t="str">
        <f>Istruzioni!$B$5</f>
        <v>Sud</v>
      </c>
      <c r="C72" s="30"/>
      <c r="D72" s="30"/>
      <c r="E72" s="30"/>
      <c r="F72" s="31"/>
      <c r="G72" s="31"/>
      <c r="H72" s="31"/>
      <c r="I72" s="32"/>
      <c r="J72" s="33"/>
      <c r="K72" s="34"/>
      <c r="L72" s="34"/>
      <c r="M72" s="31"/>
      <c r="N72" s="31"/>
      <c r="O72" s="31"/>
      <c r="P72" s="35"/>
      <c r="Q72" s="35"/>
      <c r="R72" s="35"/>
      <c r="S72" s="36" t="str">
        <f t="shared" ca="1" si="4"/>
        <v/>
      </c>
      <c r="T72" s="29" t="str">
        <f t="shared" ca="1" si="5"/>
        <v/>
      </c>
      <c r="U72" s="30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7" t="str">
        <f>IFERROR(VLOOKUP(N72,Liste!$D$4:$E$10,2,FALSE),"")</f>
        <v/>
      </c>
    </row>
    <row r="73" spans="1:34" x14ac:dyDescent="0.35">
      <c r="A73" s="29" t="str">
        <f>Istruzioni!$B$4</f>
        <v>Catania</v>
      </c>
      <c r="B73" s="29" t="str">
        <f>Istruzioni!$B$5</f>
        <v>Sud</v>
      </c>
      <c r="C73" s="30"/>
      <c r="D73" s="30"/>
      <c r="E73" s="30"/>
      <c r="F73" s="31"/>
      <c r="G73" s="31"/>
      <c r="H73" s="31"/>
      <c r="I73" s="32"/>
      <c r="J73" s="33"/>
      <c r="K73" s="34"/>
      <c r="L73" s="34"/>
      <c r="M73" s="31"/>
      <c r="N73" s="31"/>
      <c r="O73" s="31"/>
      <c r="P73" s="35"/>
      <c r="Q73" s="35"/>
      <c r="R73" s="35"/>
      <c r="S73" s="36" t="str">
        <f t="shared" ca="1" si="4"/>
        <v/>
      </c>
      <c r="T73" s="29" t="str">
        <f t="shared" ca="1" si="5"/>
        <v/>
      </c>
      <c r="U73" s="30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7" t="str">
        <f>IFERROR(VLOOKUP(N73,Liste!$D$4:$E$10,2,FALSE),"")</f>
        <v/>
      </c>
    </row>
    <row r="74" spans="1:34" x14ac:dyDescent="0.35">
      <c r="A74" s="29" t="str">
        <f>Istruzioni!$B$4</f>
        <v>Catania</v>
      </c>
      <c r="B74" s="29" t="str">
        <f>Istruzioni!$B$5</f>
        <v>Sud</v>
      </c>
      <c r="C74" s="30"/>
      <c r="D74" s="30"/>
      <c r="E74" s="30"/>
      <c r="F74" s="31"/>
      <c r="G74" s="31"/>
      <c r="H74" s="31"/>
      <c r="I74" s="32"/>
      <c r="J74" s="33"/>
      <c r="K74" s="34"/>
      <c r="L74" s="34"/>
      <c r="M74" s="31"/>
      <c r="N74" s="31"/>
      <c r="O74" s="31"/>
      <c r="P74" s="35"/>
      <c r="Q74" s="35"/>
      <c r="R74" s="35"/>
      <c r="S74" s="36" t="str">
        <f t="shared" ca="1" si="4"/>
        <v/>
      </c>
      <c r="T74" s="29" t="str">
        <f t="shared" ca="1" si="5"/>
        <v/>
      </c>
      <c r="U74" s="30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7" t="str">
        <f>IFERROR(VLOOKUP(N74,Liste!$D$4:$E$10,2,FALSE),"")</f>
        <v/>
      </c>
    </row>
    <row r="75" spans="1:34" x14ac:dyDescent="0.35">
      <c r="A75" s="29" t="str">
        <f>Istruzioni!$B$4</f>
        <v>Catania</v>
      </c>
      <c r="B75" s="29" t="str">
        <f>Istruzioni!$B$5</f>
        <v>Sud</v>
      </c>
      <c r="C75" s="30"/>
      <c r="D75" s="30"/>
      <c r="E75" s="30"/>
      <c r="F75" s="31"/>
      <c r="G75" s="31"/>
      <c r="H75" s="31"/>
      <c r="I75" s="32"/>
      <c r="J75" s="33"/>
      <c r="K75" s="34"/>
      <c r="L75" s="34"/>
      <c r="M75" s="31"/>
      <c r="N75" s="31"/>
      <c r="O75" s="31"/>
      <c r="P75" s="35"/>
      <c r="Q75" s="35"/>
      <c r="R75" s="35"/>
      <c r="S75" s="36" t="str">
        <f t="shared" ca="1" si="4"/>
        <v/>
      </c>
      <c r="T75" s="29" t="str">
        <f t="shared" ca="1" si="5"/>
        <v/>
      </c>
      <c r="U75" s="30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7" t="str">
        <f>IFERROR(VLOOKUP(N75,Liste!$D$4:$E$10,2,FALSE),"")</f>
        <v/>
      </c>
    </row>
    <row r="76" spans="1:34" x14ac:dyDescent="0.35">
      <c r="A76" s="29" t="str">
        <f>Istruzioni!$B$4</f>
        <v>Catania</v>
      </c>
      <c r="B76" s="29" t="str">
        <f>Istruzioni!$B$5</f>
        <v>Sud</v>
      </c>
      <c r="C76" s="30"/>
      <c r="D76" s="30"/>
      <c r="E76" s="30"/>
      <c r="F76" s="31"/>
      <c r="G76" s="31"/>
      <c r="H76" s="31"/>
      <c r="I76" s="32"/>
      <c r="J76" s="33"/>
      <c r="K76" s="34"/>
      <c r="L76" s="34"/>
      <c r="M76" s="31"/>
      <c r="N76" s="31"/>
      <c r="O76" s="31"/>
      <c r="P76" s="35"/>
      <c r="Q76" s="35"/>
      <c r="R76" s="35"/>
      <c r="S76" s="36" t="str">
        <f t="shared" ca="1" si="4"/>
        <v/>
      </c>
      <c r="T76" s="29" t="str">
        <f t="shared" ca="1" si="5"/>
        <v/>
      </c>
      <c r="U76" s="30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7" t="str">
        <f>IFERROR(VLOOKUP(N76,Liste!$D$4:$E$10,2,FALSE),"")</f>
        <v/>
      </c>
    </row>
    <row r="77" spans="1:34" x14ac:dyDescent="0.35">
      <c r="A77" s="29" t="str">
        <f>Istruzioni!$B$4</f>
        <v>Catania</v>
      </c>
      <c r="B77" s="29" t="str">
        <f>Istruzioni!$B$5</f>
        <v>Sud</v>
      </c>
      <c r="C77" s="30"/>
      <c r="D77" s="30"/>
      <c r="E77" s="30"/>
      <c r="F77" s="31"/>
      <c r="G77" s="31"/>
      <c r="H77" s="31"/>
      <c r="I77" s="32"/>
      <c r="J77" s="33"/>
      <c r="K77" s="34"/>
      <c r="L77" s="34"/>
      <c r="M77" s="31"/>
      <c r="N77" s="31"/>
      <c r="O77" s="31"/>
      <c r="P77" s="35"/>
      <c r="Q77" s="35"/>
      <c r="R77" s="35"/>
      <c r="S77" s="36" t="str">
        <f t="shared" ca="1" si="4"/>
        <v/>
      </c>
      <c r="T77" s="29" t="str">
        <f t="shared" ca="1" si="5"/>
        <v/>
      </c>
      <c r="U77" s="30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7" t="str">
        <f>IFERROR(VLOOKUP(N77,Liste!$D$4:$E$10,2,FALSE),"")</f>
        <v/>
      </c>
    </row>
    <row r="78" spans="1:34" x14ac:dyDescent="0.35">
      <c r="A78" s="29" t="str">
        <f>Istruzioni!$B$4</f>
        <v>Catania</v>
      </c>
      <c r="B78" s="29" t="str">
        <f>Istruzioni!$B$5</f>
        <v>Sud</v>
      </c>
      <c r="C78" s="30"/>
      <c r="D78" s="30"/>
      <c r="E78" s="30"/>
      <c r="F78" s="31"/>
      <c r="G78" s="31"/>
      <c r="H78" s="31"/>
      <c r="I78" s="32"/>
      <c r="J78" s="33"/>
      <c r="K78" s="34"/>
      <c r="L78" s="34"/>
      <c r="M78" s="31"/>
      <c r="N78" s="31"/>
      <c r="O78" s="31"/>
      <c r="P78" s="35"/>
      <c r="Q78" s="35"/>
      <c r="R78" s="35"/>
      <c r="S78" s="36" t="str">
        <f t="shared" ca="1" si="4"/>
        <v/>
      </c>
      <c r="T78" s="29" t="str">
        <f t="shared" ca="1" si="5"/>
        <v/>
      </c>
      <c r="U78" s="30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7" t="str">
        <f>IFERROR(VLOOKUP(N78,Liste!$D$4:$E$10,2,FALSE),"")</f>
        <v/>
      </c>
    </row>
    <row r="79" spans="1:34" x14ac:dyDescent="0.35">
      <c r="A79" s="29" t="str">
        <f>Istruzioni!$B$4</f>
        <v>Catania</v>
      </c>
      <c r="B79" s="29" t="str">
        <f>Istruzioni!$B$5</f>
        <v>Sud</v>
      </c>
      <c r="C79" s="30"/>
      <c r="D79" s="30"/>
      <c r="E79" s="30"/>
      <c r="F79" s="31"/>
      <c r="G79" s="31"/>
      <c r="H79" s="31"/>
      <c r="I79" s="32"/>
      <c r="J79" s="33"/>
      <c r="K79" s="34"/>
      <c r="L79" s="34"/>
      <c r="M79" s="31"/>
      <c r="N79" s="31"/>
      <c r="O79" s="31"/>
      <c r="P79" s="35"/>
      <c r="Q79" s="35"/>
      <c r="R79" s="35"/>
      <c r="S79" s="36" t="str">
        <f t="shared" ca="1" si="4"/>
        <v/>
      </c>
      <c r="T79" s="29" t="str">
        <f t="shared" ca="1" si="5"/>
        <v/>
      </c>
      <c r="U79" s="30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7" t="str">
        <f>IFERROR(VLOOKUP(N79,Liste!$D$4:$E$10,2,FALSE),"")</f>
        <v/>
      </c>
    </row>
    <row r="80" spans="1:34" x14ac:dyDescent="0.35">
      <c r="A80" s="29" t="str">
        <f>Istruzioni!$B$4</f>
        <v>Catania</v>
      </c>
      <c r="B80" s="29" t="str">
        <f>Istruzioni!$B$5</f>
        <v>Sud</v>
      </c>
      <c r="C80" s="30"/>
      <c r="D80" s="30"/>
      <c r="E80" s="30"/>
      <c r="F80" s="31"/>
      <c r="G80" s="31"/>
      <c r="H80" s="31"/>
      <c r="I80" s="32"/>
      <c r="J80" s="33"/>
      <c r="K80" s="34"/>
      <c r="L80" s="34"/>
      <c r="M80" s="31"/>
      <c r="N80" s="31"/>
      <c r="O80" s="31"/>
      <c r="P80" s="35"/>
      <c r="Q80" s="35"/>
      <c r="R80" s="35"/>
      <c r="S80" s="36" t="str">
        <f t="shared" ca="1" si="4"/>
        <v/>
      </c>
      <c r="T80" s="29" t="str">
        <f t="shared" ca="1" si="5"/>
        <v/>
      </c>
      <c r="U80" s="30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7" t="str">
        <f>IFERROR(VLOOKUP(N80,Liste!$D$4:$E$10,2,FALSE),"")</f>
        <v/>
      </c>
    </row>
    <row r="81" spans="1:34" x14ac:dyDescent="0.35">
      <c r="A81" s="29" t="str">
        <f>Istruzioni!$B$4</f>
        <v>Catania</v>
      </c>
      <c r="B81" s="29" t="str">
        <f>Istruzioni!$B$5</f>
        <v>Sud</v>
      </c>
      <c r="C81" s="30"/>
      <c r="D81" s="30"/>
      <c r="E81" s="30"/>
      <c r="F81" s="31"/>
      <c r="G81" s="31"/>
      <c r="H81" s="31"/>
      <c r="I81" s="32"/>
      <c r="J81" s="33"/>
      <c r="K81" s="34"/>
      <c r="L81" s="34"/>
      <c r="M81" s="31"/>
      <c r="N81" s="31"/>
      <c r="O81" s="31"/>
      <c r="P81" s="35"/>
      <c r="Q81" s="35"/>
      <c r="R81" s="35"/>
      <c r="S81" s="36" t="str">
        <f t="shared" ca="1" si="4"/>
        <v/>
      </c>
      <c r="T81" s="29" t="str">
        <f t="shared" ca="1" si="5"/>
        <v/>
      </c>
      <c r="U81" s="30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7" t="str">
        <f>IFERROR(VLOOKUP(N81,Liste!$D$4:$E$10,2,FALSE),"")</f>
        <v/>
      </c>
    </row>
    <row r="82" spans="1:34" x14ac:dyDescent="0.35">
      <c r="A82" s="29" t="str">
        <f>Istruzioni!$B$4</f>
        <v>Catania</v>
      </c>
      <c r="B82" s="29" t="str">
        <f>Istruzioni!$B$5</f>
        <v>Sud</v>
      </c>
      <c r="C82" s="30"/>
      <c r="D82" s="30"/>
      <c r="E82" s="30"/>
      <c r="F82" s="31"/>
      <c r="G82" s="31"/>
      <c r="H82" s="31"/>
      <c r="I82" s="32"/>
      <c r="J82" s="33"/>
      <c r="K82" s="34"/>
      <c r="L82" s="34"/>
      <c r="M82" s="31"/>
      <c r="N82" s="31"/>
      <c r="O82" s="31"/>
      <c r="P82" s="35"/>
      <c r="Q82" s="35"/>
      <c r="R82" s="35"/>
      <c r="S82" s="36" t="str">
        <f t="shared" ca="1" si="4"/>
        <v/>
      </c>
      <c r="T82" s="29" t="str">
        <f t="shared" ca="1" si="5"/>
        <v/>
      </c>
      <c r="U82" s="30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7" t="str">
        <f>IFERROR(VLOOKUP(N82,Liste!$D$4:$E$10,2,FALSE),"")</f>
        <v/>
      </c>
    </row>
    <row r="83" spans="1:34" x14ac:dyDescent="0.35">
      <c r="A83" s="29" t="str">
        <f>Istruzioni!$B$4</f>
        <v>Catania</v>
      </c>
      <c r="B83" s="29" t="str">
        <f>Istruzioni!$B$5</f>
        <v>Sud</v>
      </c>
      <c r="C83" s="30"/>
      <c r="D83" s="30"/>
      <c r="E83" s="30"/>
      <c r="F83" s="31"/>
      <c r="G83" s="31"/>
      <c r="H83" s="31"/>
      <c r="I83" s="32"/>
      <c r="J83" s="33"/>
      <c r="K83" s="34"/>
      <c r="L83" s="34"/>
      <c r="M83" s="31"/>
      <c r="N83" s="31"/>
      <c r="O83" s="31"/>
      <c r="P83" s="35"/>
      <c r="Q83" s="35"/>
      <c r="R83" s="35"/>
      <c r="S83" s="36" t="str">
        <f t="shared" ca="1" si="4"/>
        <v/>
      </c>
      <c r="T83" s="29" t="str">
        <f t="shared" ca="1" si="5"/>
        <v/>
      </c>
      <c r="U83" s="30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7" t="str">
        <f>IFERROR(VLOOKUP(N83,Liste!$D$4:$E$10,2,FALSE),"")</f>
        <v/>
      </c>
    </row>
    <row r="84" spans="1:34" x14ac:dyDescent="0.35">
      <c r="A84" s="29" t="str">
        <f>Istruzioni!$B$4</f>
        <v>Catania</v>
      </c>
      <c r="B84" s="29" t="str">
        <f>Istruzioni!$B$5</f>
        <v>Sud</v>
      </c>
      <c r="C84" s="30"/>
      <c r="D84" s="30"/>
      <c r="E84" s="30"/>
      <c r="F84" s="31"/>
      <c r="G84" s="31"/>
      <c r="H84" s="31"/>
      <c r="I84" s="32"/>
      <c r="J84" s="33"/>
      <c r="K84" s="34"/>
      <c r="L84" s="34"/>
      <c r="M84" s="31"/>
      <c r="N84" s="31"/>
      <c r="O84" s="31"/>
      <c r="P84" s="35"/>
      <c r="Q84" s="35"/>
      <c r="R84" s="35"/>
      <c r="S84" s="36" t="str">
        <f t="shared" ca="1" si="4"/>
        <v/>
      </c>
      <c r="T84" s="29" t="str">
        <f t="shared" ca="1" si="5"/>
        <v/>
      </c>
      <c r="U84" s="30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7" t="str">
        <f>IFERROR(VLOOKUP(N84,Liste!$D$4:$E$10,2,FALSE),"")</f>
        <v/>
      </c>
    </row>
    <row r="85" spans="1:34" x14ac:dyDescent="0.35">
      <c r="A85" s="29" t="str">
        <f>Istruzioni!$B$4</f>
        <v>Catania</v>
      </c>
      <c r="B85" s="29" t="str">
        <f>Istruzioni!$B$5</f>
        <v>Sud</v>
      </c>
      <c r="C85" s="30"/>
      <c r="D85" s="30"/>
      <c r="E85" s="30"/>
      <c r="F85" s="31"/>
      <c r="G85" s="31"/>
      <c r="H85" s="31"/>
      <c r="I85" s="32"/>
      <c r="J85" s="33"/>
      <c r="K85" s="34"/>
      <c r="L85" s="34"/>
      <c r="M85" s="31"/>
      <c r="N85" s="31"/>
      <c r="O85" s="31"/>
      <c r="P85" s="35"/>
      <c r="Q85" s="35"/>
      <c r="R85" s="35"/>
      <c r="S85" s="36" t="str">
        <f t="shared" ca="1" si="4"/>
        <v/>
      </c>
      <c r="T85" s="29" t="str">
        <f t="shared" ca="1" si="5"/>
        <v/>
      </c>
      <c r="U85" s="30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7" t="str">
        <f>IFERROR(VLOOKUP(N85,Liste!$D$4:$E$10,2,FALSE),"")</f>
        <v/>
      </c>
    </row>
    <row r="86" spans="1:34" x14ac:dyDescent="0.35">
      <c r="A86" s="29" t="str">
        <f>Istruzioni!$B$4</f>
        <v>Catania</v>
      </c>
      <c r="B86" s="29" t="str">
        <f>Istruzioni!$B$5</f>
        <v>Sud</v>
      </c>
      <c r="C86" s="30"/>
      <c r="D86" s="30"/>
      <c r="E86" s="30"/>
      <c r="F86" s="31"/>
      <c r="G86" s="31"/>
      <c r="H86" s="31"/>
      <c r="I86" s="32"/>
      <c r="J86" s="33"/>
      <c r="K86" s="34"/>
      <c r="L86" s="34"/>
      <c r="M86" s="31"/>
      <c r="N86" s="31"/>
      <c r="O86" s="31"/>
      <c r="P86" s="35"/>
      <c r="Q86" s="35"/>
      <c r="R86" s="35"/>
      <c r="S86" s="36" t="str">
        <f t="shared" ca="1" si="4"/>
        <v/>
      </c>
      <c r="T86" s="29" t="str">
        <f t="shared" ca="1" si="5"/>
        <v/>
      </c>
      <c r="U86" s="30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7" t="str">
        <f>IFERROR(VLOOKUP(N86,Liste!$D$4:$E$10,2,FALSE),"")</f>
        <v/>
      </c>
    </row>
    <row r="87" spans="1:34" x14ac:dyDescent="0.35">
      <c r="A87" s="29" t="str">
        <f>Istruzioni!$B$4</f>
        <v>Catania</v>
      </c>
      <c r="B87" s="29" t="str">
        <f>Istruzioni!$B$5</f>
        <v>Sud</v>
      </c>
      <c r="C87" s="30"/>
      <c r="D87" s="30"/>
      <c r="E87" s="30"/>
      <c r="F87" s="31"/>
      <c r="G87" s="31"/>
      <c r="H87" s="31"/>
      <c r="I87" s="32"/>
      <c r="J87" s="33"/>
      <c r="K87" s="34"/>
      <c r="L87" s="34"/>
      <c r="M87" s="31"/>
      <c r="N87" s="31"/>
      <c r="O87" s="31"/>
      <c r="P87" s="35"/>
      <c r="Q87" s="35"/>
      <c r="R87" s="35"/>
      <c r="S87" s="36" t="str">
        <f t="shared" ca="1" si="4"/>
        <v/>
      </c>
      <c r="T87" s="29" t="str">
        <f t="shared" ca="1" si="5"/>
        <v/>
      </c>
      <c r="U87" s="30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7" t="str">
        <f>IFERROR(VLOOKUP(N87,Liste!$D$4:$E$10,2,FALSE),"")</f>
        <v/>
      </c>
    </row>
    <row r="88" spans="1:34" x14ac:dyDescent="0.35">
      <c r="A88" s="29" t="str">
        <f>Istruzioni!$B$4</f>
        <v>Catania</v>
      </c>
      <c r="B88" s="29" t="str">
        <f>Istruzioni!$B$5</f>
        <v>Sud</v>
      </c>
      <c r="C88" s="30"/>
      <c r="D88" s="30"/>
      <c r="E88" s="30"/>
      <c r="F88" s="31"/>
      <c r="G88" s="31"/>
      <c r="H88" s="31"/>
      <c r="I88" s="32"/>
      <c r="J88" s="33"/>
      <c r="K88" s="34"/>
      <c r="L88" s="34"/>
      <c r="M88" s="31"/>
      <c r="N88" s="31"/>
      <c r="O88" s="31"/>
      <c r="P88" s="35"/>
      <c r="Q88" s="35"/>
      <c r="R88" s="35"/>
      <c r="S88" s="36" t="str">
        <f t="shared" ca="1" si="4"/>
        <v/>
      </c>
      <c r="T88" s="29" t="str">
        <f t="shared" ca="1" si="5"/>
        <v/>
      </c>
      <c r="U88" s="30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7" t="str">
        <f>IFERROR(VLOOKUP(N88,Liste!$D$4:$E$10,2,FALSE),"")</f>
        <v/>
      </c>
    </row>
    <row r="89" spans="1:34" x14ac:dyDescent="0.35">
      <c r="A89" s="29" t="str">
        <f>Istruzioni!$B$4</f>
        <v>Catania</v>
      </c>
      <c r="B89" s="29" t="str">
        <f>Istruzioni!$B$5</f>
        <v>Sud</v>
      </c>
      <c r="C89" s="30"/>
      <c r="D89" s="30"/>
      <c r="E89" s="30"/>
      <c r="F89" s="31"/>
      <c r="G89" s="31"/>
      <c r="H89" s="31"/>
      <c r="I89" s="32"/>
      <c r="J89" s="33"/>
      <c r="K89" s="34"/>
      <c r="L89" s="34"/>
      <c r="M89" s="31"/>
      <c r="N89" s="31"/>
      <c r="O89" s="31"/>
      <c r="P89" s="35"/>
      <c r="Q89" s="35"/>
      <c r="R89" s="35"/>
      <c r="S89" s="36" t="str">
        <f t="shared" ca="1" si="4"/>
        <v/>
      </c>
      <c r="T89" s="29" t="str">
        <f t="shared" ca="1" si="5"/>
        <v/>
      </c>
      <c r="U89" s="30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7" t="str">
        <f>IFERROR(VLOOKUP(N89,Liste!$D$4:$E$10,2,FALSE),"")</f>
        <v/>
      </c>
    </row>
    <row r="90" spans="1:34" x14ac:dyDescent="0.35">
      <c r="A90" s="29" t="str">
        <f>Istruzioni!$B$4</f>
        <v>Catania</v>
      </c>
      <c r="B90" s="29" t="str">
        <f>Istruzioni!$B$5</f>
        <v>Sud</v>
      </c>
      <c r="C90" s="30"/>
      <c r="D90" s="30"/>
      <c r="E90" s="30"/>
      <c r="F90" s="31"/>
      <c r="G90" s="31"/>
      <c r="H90" s="31"/>
      <c r="I90" s="32"/>
      <c r="J90" s="33"/>
      <c r="K90" s="34"/>
      <c r="L90" s="34"/>
      <c r="M90" s="31"/>
      <c r="N90" s="31"/>
      <c r="O90" s="31"/>
      <c r="P90" s="35"/>
      <c r="Q90" s="35"/>
      <c r="R90" s="35"/>
      <c r="S90" s="36" t="str">
        <f t="shared" ca="1" si="4"/>
        <v/>
      </c>
      <c r="T90" s="29" t="str">
        <f t="shared" ca="1" si="5"/>
        <v/>
      </c>
      <c r="U90" s="30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7" t="str">
        <f>IFERROR(VLOOKUP(N90,Liste!$D$4:$E$10,2,FALSE),"")</f>
        <v/>
      </c>
    </row>
    <row r="91" spans="1:34" x14ac:dyDescent="0.35">
      <c r="A91" s="29" t="str">
        <f>Istruzioni!$B$4</f>
        <v>Catania</v>
      </c>
      <c r="B91" s="29" t="str">
        <f>Istruzioni!$B$5</f>
        <v>Sud</v>
      </c>
      <c r="C91" s="30"/>
      <c r="D91" s="30"/>
      <c r="E91" s="30"/>
      <c r="F91" s="31"/>
      <c r="G91" s="31"/>
      <c r="H91" s="31"/>
      <c r="I91" s="32"/>
      <c r="J91" s="33"/>
      <c r="K91" s="34"/>
      <c r="L91" s="34"/>
      <c r="M91" s="31"/>
      <c r="N91" s="31"/>
      <c r="O91" s="31"/>
      <c r="P91" s="35"/>
      <c r="Q91" s="35"/>
      <c r="R91" s="35"/>
      <c r="S91" s="36" t="str">
        <f t="shared" ca="1" si="4"/>
        <v/>
      </c>
      <c r="T91" s="29" t="str">
        <f t="shared" ca="1" si="5"/>
        <v/>
      </c>
      <c r="U91" s="30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7" t="str">
        <f>IFERROR(VLOOKUP(N91,Liste!$D$4:$E$10,2,FALSE),"")</f>
        <v/>
      </c>
    </row>
    <row r="92" spans="1:34" x14ac:dyDescent="0.35">
      <c r="A92" s="29" t="str">
        <f>Istruzioni!$B$4</f>
        <v>Catania</v>
      </c>
      <c r="B92" s="29" t="str">
        <f>Istruzioni!$B$5</f>
        <v>Sud</v>
      </c>
      <c r="C92" s="30"/>
      <c r="D92" s="30"/>
      <c r="E92" s="30"/>
      <c r="F92" s="31"/>
      <c r="G92" s="31"/>
      <c r="H92" s="31"/>
      <c r="I92" s="32"/>
      <c r="J92" s="33"/>
      <c r="K92" s="34"/>
      <c r="L92" s="34"/>
      <c r="M92" s="31"/>
      <c r="N92" s="31"/>
      <c r="O92" s="31"/>
      <c r="P92" s="35"/>
      <c r="Q92" s="35"/>
      <c r="R92" s="35"/>
      <c r="S92" s="36" t="str">
        <f t="shared" ca="1" si="4"/>
        <v/>
      </c>
      <c r="T92" s="29" t="str">
        <f t="shared" ca="1" si="5"/>
        <v/>
      </c>
      <c r="U92" s="30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7" t="str">
        <f>IFERROR(VLOOKUP(N92,Liste!$D$4:$E$10,2,FALSE),"")</f>
        <v/>
      </c>
    </row>
    <row r="93" spans="1:34" x14ac:dyDescent="0.35">
      <c r="A93" s="29" t="str">
        <f>Istruzioni!$B$4</f>
        <v>Catania</v>
      </c>
      <c r="B93" s="29" t="str">
        <f>Istruzioni!$B$5</f>
        <v>Sud</v>
      </c>
      <c r="C93" s="30"/>
      <c r="D93" s="30"/>
      <c r="E93" s="30"/>
      <c r="F93" s="31"/>
      <c r="G93" s="31"/>
      <c r="H93" s="31"/>
      <c r="I93" s="32"/>
      <c r="J93" s="33"/>
      <c r="K93" s="34"/>
      <c r="L93" s="34"/>
      <c r="M93" s="31"/>
      <c r="N93" s="31"/>
      <c r="O93" s="31"/>
      <c r="P93" s="35"/>
      <c r="Q93" s="35"/>
      <c r="R93" s="35"/>
      <c r="S93" s="36" t="str">
        <f t="shared" ca="1" si="4"/>
        <v/>
      </c>
      <c r="T93" s="29" t="str">
        <f t="shared" ca="1" si="5"/>
        <v/>
      </c>
      <c r="U93" s="30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7" t="str">
        <f>IFERROR(VLOOKUP(N93,Liste!$D$4:$E$10,2,FALSE),"")</f>
        <v/>
      </c>
    </row>
    <row r="94" spans="1:34" x14ac:dyDescent="0.35">
      <c r="A94" s="29" t="str">
        <f>Istruzioni!$B$4</f>
        <v>Catania</v>
      </c>
      <c r="B94" s="29" t="str">
        <f>Istruzioni!$B$5</f>
        <v>Sud</v>
      </c>
      <c r="C94" s="30"/>
      <c r="D94" s="30"/>
      <c r="E94" s="30"/>
      <c r="F94" s="31"/>
      <c r="G94" s="31"/>
      <c r="H94" s="31"/>
      <c r="I94" s="32"/>
      <c r="J94" s="33"/>
      <c r="K94" s="34"/>
      <c r="L94" s="34"/>
      <c r="M94" s="31"/>
      <c r="N94" s="31"/>
      <c r="O94" s="31"/>
      <c r="P94" s="35"/>
      <c r="Q94" s="35"/>
      <c r="R94" s="35"/>
      <c r="S94" s="36" t="str">
        <f t="shared" ca="1" si="4"/>
        <v/>
      </c>
      <c r="T94" s="29" t="str">
        <f t="shared" ca="1" si="5"/>
        <v/>
      </c>
      <c r="U94" s="30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7" t="str">
        <f>IFERROR(VLOOKUP(N94,Liste!$D$4:$E$10,2,FALSE),"")</f>
        <v/>
      </c>
    </row>
    <row r="95" spans="1:34" x14ac:dyDescent="0.35">
      <c r="A95" s="29" t="str">
        <f>Istruzioni!$B$4</f>
        <v>Catania</v>
      </c>
      <c r="B95" s="29" t="str">
        <f>Istruzioni!$B$5</f>
        <v>Sud</v>
      </c>
      <c r="C95" s="30"/>
      <c r="D95" s="30"/>
      <c r="E95" s="30"/>
      <c r="F95" s="31"/>
      <c r="G95" s="31"/>
      <c r="H95" s="31"/>
      <c r="I95" s="32"/>
      <c r="J95" s="33"/>
      <c r="K95" s="34"/>
      <c r="L95" s="34"/>
      <c r="M95" s="31"/>
      <c r="N95" s="31"/>
      <c r="O95" s="31"/>
      <c r="P95" s="35"/>
      <c r="Q95" s="35"/>
      <c r="R95" s="35"/>
      <c r="S95" s="36" t="str">
        <f t="shared" ca="1" si="4"/>
        <v/>
      </c>
      <c r="T95" s="29" t="str">
        <f t="shared" ca="1" si="5"/>
        <v/>
      </c>
      <c r="U95" s="30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7" t="str">
        <f>IFERROR(VLOOKUP(N95,Liste!$D$4:$E$10,2,FALSE),"")</f>
        <v/>
      </c>
    </row>
    <row r="96" spans="1:34" x14ac:dyDescent="0.35">
      <c r="A96" s="29" t="str">
        <f>Istruzioni!$B$4</f>
        <v>Catania</v>
      </c>
      <c r="B96" s="29" t="str">
        <f>Istruzioni!$B$5</f>
        <v>Sud</v>
      </c>
      <c r="C96" s="30"/>
      <c r="D96" s="30"/>
      <c r="E96" s="30"/>
      <c r="F96" s="31"/>
      <c r="G96" s="31"/>
      <c r="H96" s="31"/>
      <c r="I96" s="32"/>
      <c r="J96" s="33"/>
      <c r="K96" s="34"/>
      <c r="L96" s="34"/>
      <c r="M96" s="31"/>
      <c r="N96" s="31"/>
      <c r="O96" s="31"/>
      <c r="P96" s="35"/>
      <c r="Q96" s="35"/>
      <c r="R96" s="35"/>
      <c r="S96" s="36" t="str">
        <f t="shared" ca="1" si="4"/>
        <v/>
      </c>
      <c r="T96" s="29" t="str">
        <f t="shared" ca="1" si="5"/>
        <v/>
      </c>
      <c r="U96" s="30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7" t="str">
        <f>IFERROR(VLOOKUP(N96,Liste!$D$4:$E$10,2,FALSE),"")</f>
        <v/>
      </c>
    </row>
    <row r="97" spans="1:34" x14ac:dyDescent="0.35">
      <c r="A97" s="29" t="str">
        <f>Istruzioni!$B$4</f>
        <v>Catania</v>
      </c>
      <c r="B97" s="29" t="str">
        <f>Istruzioni!$B$5</f>
        <v>Sud</v>
      </c>
      <c r="C97" s="30"/>
      <c r="D97" s="30"/>
      <c r="E97" s="30"/>
      <c r="F97" s="31"/>
      <c r="G97" s="31"/>
      <c r="H97" s="31"/>
      <c r="I97" s="32"/>
      <c r="J97" s="33"/>
      <c r="K97" s="34"/>
      <c r="L97" s="34"/>
      <c r="M97" s="31"/>
      <c r="N97" s="31"/>
      <c r="O97" s="31"/>
      <c r="P97" s="35"/>
      <c r="Q97" s="35"/>
      <c r="R97" s="35"/>
      <c r="S97" s="36" t="str">
        <f t="shared" ca="1" si="4"/>
        <v/>
      </c>
      <c r="T97" s="29" t="str">
        <f t="shared" ca="1" si="5"/>
        <v/>
      </c>
      <c r="U97" s="30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7" t="str">
        <f>IFERROR(VLOOKUP(N97,Liste!$D$4:$E$10,2,FALSE),"")</f>
        <v/>
      </c>
    </row>
    <row r="98" spans="1:34" x14ac:dyDescent="0.35">
      <c r="A98" s="29" t="str">
        <f>Istruzioni!$B$4</f>
        <v>Catania</v>
      </c>
      <c r="B98" s="29" t="str">
        <f>Istruzioni!$B$5</f>
        <v>Sud</v>
      </c>
      <c r="C98" s="30"/>
      <c r="D98" s="30"/>
      <c r="E98" s="30"/>
      <c r="F98" s="31"/>
      <c r="G98" s="31"/>
      <c r="H98" s="31"/>
      <c r="I98" s="32"/>
      <c r="J98" s="33"/>
      <c r="K98" s="34"/>
      <c r="L98" s="34"/>
      <c r="M98" s="31"/>
      <c r="N98" s="31"/>
      <c r="O98" s="31"/>
      <c r="P98" s="35"/>
      <c r="Q98" s="35"/>
      <c r="R98" s="35"/>
      <c r="S98" s="36" t="str">
        <f t="shared" ca="1" si="4"/>
        <v/>
      </c>
      <c r="T98" s="29" t="str">
        <f t="shared" ca="1" si="5"/>
        <v/>
      </c>
      <c r="U98" s="30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7" t="str">
        <f>IFERROR(VLOOKUP(N98,Liste!$D$4:$E$10,2,FALSE),"")</f>
        <v/>
      </c>
    </row>
    <row r="99" spans="1:34" x14ac:dyDescent="0.35">
      <c r="A99" s="29" t="str">
        <f>Istruzioni!$B$4</f>
        <v>Catania</v>
      </c>
      <c r="B99" s="29" t="str">
        <f>Istruzioni!$B$5</f>
        <v>Sud</v>
      </c>
      <c r="C99" s="30"/>
      <c r="D99" s="30"/>
      <c r="E99" s="30"/>
      <c r="F99" s="31"/>
      <c r="G99" s="31"/>
      <c r="H99" s="31"/>
      <c r="I99" s="32"/>
      <c r="J99" s="33"/>
      <c r="K99" s="34"/>
      <c r="L99" s="34"/>
      <c r="M99" s="31"/>
      <c r="N99" s="31"/>
      <c r="O99" s="31"/>
      <c r="P99" s="35"/>
      <c r="Q99" s="35"/>
      <c r="R99" s="35"/>
      <c r="S99" s="36" t="str">
        <f t="shared" ca="1" si="4"/>
        <v/>
      </c>
      <c r="T99" s="29" t="str">
        <f t="shared" ca="1" si="5"/>
        <v/>
      </c>
      <c r="U99" s="30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7" t="str">
        <f>IFERROR(VLOOKUP(N99,Liste!$D$4:$E$10,2,FALSE),"")</f>
        <v/>
      </c>
    </row>
    <row r="100" spans="1:34" x14ac:dyDescent="0.35">
      <c r="A100" s="29" t="str">
        <f>Istruzioni!$B$4</f>
        <v>Catania</v>
      </c>
      <c r="B100" s="29" t="str">
        <f>Istruzioni!$B$5</f>
        <v>Sud</v>
      </c>
      <c r="C100" s="30"/>
      <c r="D100" s="30"/>
      <c r="E100" s="30"/>
      <c r="F100" s="31"/>
      <c r="G100" s="31"/>
      <c r="H100" s="31"/>
      <c r="I100" s="32"/>
      <c r="J100" s="33"/>
      <c r="K100" s="34"/>
      <c r="L100" s="34"/>
      <c r="M100" s="31"/>
      <c r="N100" s="31"/>
      <c r="O100" s="31"/>
      <c r="P100" s="35"/>
      <c r="Q100" s="35"/>
      <c r="R100" s="35"/>
      <c r="S100" s="36" t="str">
        <f t="shared" ca="1" si="4"/>
        <v/>
      </c>
      <c r="T100" s="29" t="str">
        <f t="shared" ca="1" si="5"/>
        <v/>
      </c>
      <c r="U100" s="30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7" t="str">
        <f>IFERROR(VLOOKUP(N100,Liste!$D$4:$E$10,2,FALSE),"")</f>
        <v/>
      </c>
    </row>
    <row r="101" spans="1:34" x14ac:dyDescent="0.35">
      <c r="A101" s="29" t="str">
        <f>Istruzioni!$B$4</f>
        <v>Catania</v>
      </c>
      <c r="B101" s="29" t="str">
        <f>Istruzioni!$B$5</f>
        <v>Sud</v>
      </c>
      <c r="C101" s="30"/>
      <c r="D101" s="30"/>
      <c r="E101" s="30"/>
      <c r="F101" s="31"/>
      <c r="G101" s="31"/>
      <c r="H101" s="31"/>
      <c r="I101" s="32"/>
      <c r="J101" s="33"/>
      <c r="K101" s="34"/>
      <c r="L101" s="34"/>
      <c r="M101" s="31"/>
      <c r="N101" s="31"/>
      <c r="O101" s="31"/>
      <c r="P101" s="35"/>
      <c r="Q101" s="35"/>
      <c r="R101" s="35"/>
      <c r="S101" s="36" t="str">
        <f t="shared" ref="S101:S132" ca="1" si="6">IF(OR(Q101="",M101="Completato",M101="Perso"),"",MAX(TODAY()-Q101,0))</f>
        <v/>
      </c>
      <c r="T101" s="29" t="str">
        <f t="shared" ref="T101:T132" ca="1" si="7">IF(OR(Q101="",M101="Completato",M101="Perso"),"",IF(Q101&lt;TODAY(),"In ritardo",IF(Q101&lt;=TODAY()+30,"In scadenza","On track")))</f>
        <v/>
      </c>
      <c r="U101" s="30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7" t="str">
        <f>IFERROR(VLOOKUP(N101,Liste!$D$4:$E$10,2,FALSE),"")</f>
        <v/>
      </c>
    </row>
    <row r="102" spans="1:34" x14ac:dyDescent="0.35">
      <c r="A102" s="29" t="str">
        <f>Istruzioni!$B$4</f>
        <v>Catania</v>
      </c>
      <c r="B102" s="29" t="str">
        <f>Istruzioni!$B$5</f>
        <v>Sud</v>
      </c>
      <c r="C102" s="30"/>
      <c r="D102" s="30"/>
      <c r="E102" s="30"/>
      <c r="F102" s="31"/>
      <c r="G102" s="31"/>
      <c r="H102" s="31"/>
      <c r="I102" s="32"/>
      <c r="J102" s="33"/>
      <c r="K102" s="34"/>
      <c r="L102" s="34"/>
      <c r="M102" s="31"/>
      <c r="N102" s="31"/>
      <c r="O102" s="31"/>
      <c r="P102" s="35"/>
      <c r="Q102" s="35"/>
      <c r="R102" s="35"/>
      <c r="S102" s="36" t="str">
        <f t="shared" ca="1" si="6"/>
        <v/>
      </c>
      <c r="T102" s="29" t="str">
        <f t="shared" ca="1" si="7"/>
        <v/>
      </c>
      <c r="U102" s="30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7" t="str">
        <f>IFERROR(VLOOKUP(N102,Liste!$D$4:$E$10,2,FALSE),"")</f>
        <v/>
      </c>
    </row>
    <row r="103" spans="1:34" x14ac:dyDescent="0.35">
      <c r="A103" s="29" t="str">
        <f>Istruzioni!$B$4</f>
        <v>Catania</v>
      </c>
      <c r="B103" s="29" t="str">
        <f>Istruzioni!$B$5</f>
        <v>Sud</v>
      </c>
      <c r="C103" s="30"/>
      <c r="D103" s="30"/>
      <c r="E103" s="30"/>
      <c r="F103" s="31"/>
      <c r="G103" s="31"/>
      <c r="H103" s="31"/>
      <c r="I103" s="32"/>
      <c r="J103" s="33"/>
      <c r="K103" s="34"/>
      <c r="L103" s="34"/>
      <c r="M103" s="31"/>
      <c r="N103" s="31"/>
      <c r="O103" s="31"/>
      <c r="P103" s="35"/>
      <c r="Q103" s="35"/>
      <c r="R103" s="35"/>
      <c r="S103" s="36" t="str">
        <f t="shared" ca="1" si="6"/>
        <v/>
      </c>
      <c r="T103" s="29" t="str">
        <f t="shared" ca="1" si="7"/>
        <v/>
      </c>
      <c r="U103" s="30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7" t="str">
        <f>IFERROR(VLOOKUP(N103,Liste!$D$4:$E$10,2,FALSE),"")</f>
        <v/>
      </c>
    </row>
    <row r="104" spans="1:34" x14ac:dyDescent="0.35">
      <c r="A104" s="29" t="str">
        <f>Istruzioni!$B$4</f>
        <v>Catania</v>
      </c>
      <c r="B104" s="29" t="str">
        <f>Istruzioni!$B$5</f>
        <v>Sud</v>
      </c>
      <c r="C104" s="30"/>
      <c r="D104" s="30"/>
      <c r="E104" s="30"/>
      <c r="F104" s="31"/>
      <c r="G104" s="31"/>
      <c r="H104" s="31"/>
      <c r="I104" s="32"/>
      <c r="J104" s="33"/>
      <c r="K104" s="34"/>
      <c r="L104" s="34"/>
      <c r="M104" s="31"/>
      <c r="N104" s="31"/>
      <c r="O104" s="31"/>
      <c r="P104" s="35"/>
      <c r="Q104" s="35"/>
      <c r="R104" s="35"/>
      <c r="S104" s="36" t="str">
        <f t="shared" ca="1" si="6"/>
        <v/>
      </c>
      <c r="T104" s="29" t="str">
        <f t="shared" ca="1" si="7"/>
        <v/>
      </c>
      <c r="U104" s="30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7" t="str">
        <f>IFERROR(VLOOKUP(N104,Liste!$D$4:$E$10,2,FALSE),"")</f>
        <v/>
      </c>
    </row>
    <row r="105" spans="1:34" x14ac:dyDescent="0.35">
      <c r="A105" s="29" t="str">
        <f>Istruzioni!$B$4</f>
        <v>Catania</v>
      </c>
      <c r="B105" s="29" t="str">
        <f>Istruzioni!$B$5</f>
        <v>Sud</v>
      </c>
      <c r="C105" s="30"/>
      <c r="D105" s="30"/>
      <c r="E105" s="30"/>
      <c r="F105" s="31"/>
      <c r="G105" s="31"/>
      <c r="H105" s="31"/>
      <c r="I105" s="32"/>
      <c r="J105" s="33"/>
      <c r="K105" s="34"/>
      <c r="L105" s="34"/>
      <c r="M105" s="31"/>
      <c r="N105" s="31"/>
      <c r="O105" s="31"/>
      <c r="P105" s="35"/>
      <c r="Q105" s="35"/>
      <c r="R105" s="35"/>
      <c r="S105" s="36" t="str">
        <f t="shared" ca="1" si="6"/>
        <v/>
      </c>
      <c r="T105" s="29" t="str">
        <f t="shared" ca="1" si="7"/>
        <v/>
      </c>
      <c r="U105" s="30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7" t="str">
        <f>IFERROR(VLOOKUP(N105,Liste!$D$4:$E$10,2,FALSE),"")</f>
        <v/>
      </c>
    </row>
    <row r="106" spans="1:34" x14ac:dyDescent="0.35">
      <c r="A106" s="29" t="str">
        <f>Istruzioni!$B$4</f>
        <v>Catania</v>
      </c>
      <c r="B106" s="29" t="str">
        <f>Istruzioni!$B$5</f>
        <v>Sud</v>
      </c>
      <c r="C106" s="30"/>
      <c r="D106" s="30"/>
      <c r="E106" s="30"/>
      <c r="F106" s="31"/>
      <c r="G106" s="31"/>
      <c r="H106" s="31"/>
      <c r="I106" s="32"/>
      <c r="J106" s="33"/>
      <c r="K106" s="34"/>
      <c r="L106" s="34"/>
      <c r="M106" s="31"/>
      <c r="N106" s="31"/>
      <c r="O106" s="31"/>
      <c r="P106" s="35"/>
      <c r="Q106" s="35"/>
      <c r="R106" s="35"/>
      <c r="S106" s="36" t="str">
        <f t="shared" ca="1" si="6"/>
        <v/>
      </c>
      <c r="T106" s="29" t="str">
        <f t="shared" ca="1" si="7"/>
        <v/>
      </c>
      <c r="U106" s="30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7" t="str">
        <f>IFERROR(VLOOKUP(N106,Liste!$D$4:$E$10,2,FALSE),"")</f>
        <v/>
      </c>
    </row>
    <row r="107" spans="1:34" x14ac:dyDescent="0.35">
      <c r="A107" s="29" t="str">
        <f>Istruzioni!$B$4</f>
        <v>Catania</v>
      </c>
      <c r="B107" s="29" t="str">
        <f>Istruzioni!$B$5</f>
        <v>Sud</v>
      </c>
      <c r="C107" s="30"/>
      <c r="D107" s="30"/>
      <c r="E107" s="30"/>
      <c r="F107" s="31"/>
      <c r="G107" s="31"/>
      <c r="H107" s="31"/>
      <c r="I107" s="32"/>
      <c r="J107" s="33"/>
      <c r="K107" s="34"/>
      <c r="L107" s="34"/>
      <c r="M107" s="31"/>
      <c r="N107" s="31"/>
      <c r="O107" s="31"/>
      <c r="P107" s="35"/>
      <c r="Q107" s="35"/>
      <c r="R107" s="35"/>
      <c r="S107" s="36" t="str">
        <f t="shared" ca="1" si="6"/>
        <v/>
      </c>
      <c r="T107" s="29" t="str">
        <f t="shared" ca="1" si="7"/>
        <v/>
      </c>
      <c r="U107" s="30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7" t="str">
        <f>IFERROR(VLOOKUP(N107,Liste!$D$4:$E$10,2,FALSE),"")</f>
        <v/>
      </c>
    </row>
    <row r="108" spans="1:34" x14ac:dyDescent="0.35">
      <c r="A108" s="29" t="str">
        <f>Istruzioni!$B$4</f>
        <v>Catania</v>
      </c>
      <c r="B108" s="29" t="str">
        <f>Istruzioni!$B$5</f>
        <v>Sud</v>
      </c>
      <c r="C108" s="30"/>
      <c r="D108" s="30"/>
      <c r="E108" s="30"/>
      <c r="F108" s="31"/>
      <c r="G108" s="31"/>
      <c r="H108" s="31"/>
      <c r="I108" s="32"/>
      <c r="J108" s="33"/>
      <c r="K108" s="34"/>
      <c r="L108" s="34"/>
      <c r="M108" s="31"/>
      <c r="N108" s="31"/>
      <c r="O108" s="31"/>
      <c r="P108" s="35"/>
      <c r="Q108" s="35"/>
      <c r="R108" s="35"/>
      <c r="S108" s="36" t="str">
        <f t="shared" ca="1" si="6"/>
        <v/>
      </c>
      <c r="T108" s="29" t="str">
        <f t="shared" ca="1" si="7"/>
        <v/>
      </c>
      <c r="U108" s="30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7" t="str">
        <f>IFERROR(VLOOKUP(N108,Liste!$D$4:$E$10,2,FALSE),"")</f>
        <v/>
      </c>
    </row>
    <row r="109" spans="1:34" x14ac:dyDescent="0.35">
      <c r="A109" s="29" t="str">
        <f>Istruzioni!$B$4</f>
        <v>Catania</v>
      </c>
      <c r="B109" s="29" t="str">
        <f>Istruzioni!$B$5</f>
        <v>Sud</v>
      </c>
      <c r="C109" s="30"/>
      <c r="D109" s="30"/>
      <c r="E109" s="30"/>
      <c r="F109" s="31"/>
      <c r="G109" s="31"/>
      <c r="H109" s="31"/>
      <c r="I109" s="32"/>
      <c r="J109" s="33"/>
      <c r="K109" s="34"/>
      <c r="L109" s="34"/>
      <c r="M109" s="31"/>
      <c r="N109" s="31"/>
      <c r="O109" s="31"/>
      <c r="P109" s="35"/>
      <c r="Q109" s="35"/>
      <c r="R109" s="35"/>
      <c r="S109" s="36" t="str">
        <f t="shared" ca="1" si="6"/>
        <v/>
      </c>
      <c r="T109" s="29" t="str">
        <f t="shared" ca="1" si="7"/>
        <v/>
      </c>
      <c r="U109" s="30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7" t="str">
        <f>IFERROR(VLOOKUP(N109,Liste!$D$4:$E$10,2,FALSE),"")</f>
        <v/>
      </c>
    </row>
    <row r="110" spans="1:34" x14ac:dyDescent="0.35">
      <c r="A110" s="29" t="str">
        <f>Istruzioni!$B$4</f>
        <v>Catania</v>
      </c>
      <c r="B110" s="29" t="str">
        <f>Istruzioni!$B$5</f>
        <v>Sud</v>
      </c>
      <c r="C110" s="30"/>
      <c r="D110" s="30"/>
      <c r="E110" s="30"/>
      <c r="F110" s="31"/>
      <c r="G110" s="31"/>
      <c r="H110" s="31"/>
      <c r="I110" s="32"/>
      <c r="J110" s="33"/>
      <c r="K110" s="34"/>
      <c r="L110" s="34"/>
      <c r="M110" s="31"/>
      <c r="N110" s="31"/>
      <c r="O110" s="31"/>
      <c r="P110" s="35"/>
      <c r="Q110" s="35"/>
      <c r="R110" s="35"/>
      <c r="S110" s="36" t="str">
        <f t="shared" ca="1" si="6"/>
        <v/>
      </c>
      <c r="T110" s="29" t="str">
        <f t="shared" ca="1" si="7"/>
        <v/>
      </c>
      <c r="U110" s="30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7" t="str">
        <f>IFERROR(VLOOKUP(N110,Liste!$D$4:$E$10,2,FALSE),"")</f>
        <v/>
      </c>
    </row>
    <row r="111" spans="1:34" x14ac:dyDescent="0.35">
      <c r="A111" s="29" t="str">
        <f>Istruzioni!$B$4</f>
        <v>Catania</v>
      </c>
      <c r="B111" s="29" t="str">
        <f>Istruzioni!$B$5</f>
        <v>Sud</v>
      </c>
      <c r="C111" s="30"/>
      <c r="D111" s="30"/>
      <c r="E111" s="30"/>
      <c r="F111" s="31"/>
      <c r="G111" s="31"/>
      <c r="H111" s="31"/>
      <c r="I111" s="32"/>
      <c r="J111" s="33"/>
      <c r="K111" s="34"/>
      <c r="L111" s="34"/>
      <c r="M111" s="31"/>
      <c r="N111" s="31"/>
      <c r="O111" s="31"/>
      <c r="P111" s="35"/>
      <c r="Q111" s="35"/>
      <c r="R111" s="35"/>
      <c r="S111" s="36" t="str">
        <f t="shared" ca="1" si="6"/>
        <v/>
      </c>
      <c r="T111" s="29" t="str">
        <f t="shared" ca="1" si="7"/>
        <v/>
      </c>
      <c r="U111" s="30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7" t="str">
        <f>IFERROR(VLOOKUP(N111,Liste!$D$4:$E$10,2,FALSE),"")</f>
        <v/>
      </c>
    </row>
    <row r="112" spans="1:34" x14ac:dyDescent="0.35">
      <c r="A112" s="29" t="str">
        <f>Istruzioni!$B$4</f>
        <v>Catania</v>
      </c>
      <c r="B112" s="29" t="str">
        <f>Istruzioni!$B$5</f>
        <v>Sud</v>
      </c>
      <c r="C112" s="30"/>
      <c r="D112" s="30"/>
      <c r="E112" s="30"/>
      <c r="F112" s="31"/>
      <c r="G112" s="31"/>
      <c r="H112" s="31"/>
      <c r="I112" s="32"/>
      <c r="J112" s="33"/>
      <c r="K112" s="34"/>
      <c r="L112" s="34"/>
      <c r="M112" s="31"/>
      <c r="N112" s="31"/>
      <c r="O112" s="31"/>
      <c r="P112" s="35"/>
      <c r="Q112" s="35"/>
      <c r="R112" s="35"/>
      <c r="S112" s="36" t="str">
        <f t="shared" ca="1" si="6"/>
        <v/>
      </c>
      <c r="T112" s="29" t="str">
        <f t="shared" ca="1" si="7"/>
        <v/>
      </c>
      <c r="U112" s="30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7" t="str">
        <f>IFERROR(VLOOKUP(N112,Liste!$D$4:$E$10,2,FALSE),"")</f>
        <v/>
      </c>
    </row>
    <row r="113" spans="1:34" x14ac:dyDescent="0.35">
      <c r="A113" s="29" t="str">
        <f>Istruzioni!$B$4</f>
        <v>Catania</v>
      </c>
      <c r="B113" s="29" t="str">
        <f>Istruzioni!$B$5</f>
        <v>Sud</v>
      </c>
      <c r="C113" s="30"/>
      <c r="D113" s="30"/>
      <c r="E113" s="30"/>
      <c r="F113" s="31"/>
      <c r="G113" s="31"/>
      <c r="H113" s="31"/>
      <c r="I113" s="32"/>
      <c r="J113" s="33"/>
      <c r="K113" s="34"/>
      <c r="L113" s="34"/>
      <c r="M113" s="31"/>
      <c r="N113" s="31"/>
      <c r="O113" s="31"/>
      <c r="P113" s="35"/>
      <c r="Q113" s="35"/>
      <c r="R113" s="35"/>
      <c r="S113" s="36" t="str">
        <f t="shared" ca="1" si="6"/>
        <v/>
      </c>
      <c r="T113" s="29" t="str">
        <f t="shared" ca="1" si="7"/>
        <v/>
      </c>
      <c r="U113" s="30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7" t="str">
        <f>IFERROR(VLOOKUP(N113,Liste!$D$4:$E$10,2,FALSE),"")</f>
        <v/>
      </c>
    </row>
    <row r="114" spans="1:34" x14ac:dyDescent="0.35">
      <c r="A114" s="29" t="str">
        <f>Istruzioni!$B$4</f>
        <v>Catania</v>
      </c>
      <c r="B114" s="29" t="str">
        <f>Istruzioni!$B$5</f>
        <v>Sud</v>
      </c>
      <c r="C114" s="30"/>
      <c r="D114" s="30"/>
      <c r="E114" s="30"/>
      <c r="F114" s="31"/>
      <c r="G114" s="31"/>
      <c r="H114" s="31"/>
      <c r="I114" s="32"/>
      <c r="J114" s="33"/>
      <c r="K114" s="34"/>
      <c r="L114" s="34"/>
      <c r="M114" s="31"/>
      <c r="N114" s="31"/>
      <c r="O114" s="31"/>
      <c r="P114" s="35"/>
      <c r="Q114" s="35"/>
      <c r="R114" s="35"/>
      <c r="S114" s="36" t="str">
        <f t="shared" ca="1" si="6"/>
        <v/>
      </c>
      <c r="T114" s="29" t="str">
        <f t="shared" ca="1" si="7"/>
        <v/>
      </c>
      <c r="U114" s="30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7" t="str">
        <f>IFERROR(VLOOKUP(N114,Liste!$D$4:$E$10,2,FALSE),"")</f>
        <v/>
      </c>
    </row>
    <row r="115" spans="1:34" x14ac:dyDescent="0.35">
      <c r="A115" s="29" t="str">
        <f>Istruzioni!$B$4</f>
        <v>Catania</v>
      </c>
      <c r="B115" s="29" t="str">
        <f>Istruzioni!$B$5</f>
        <v>Sud</v>
      </c>
      <c r="C115" s="30"/>
      <c r="D115" s="30"/>
      <c r="E115" s="30"/>
      <c r="F115" s="31"/>
      <c r="G115" s="31"/>
      <c r="H115" s="31"/>
      <c r="I115" s="32"/>
      <c r="J115" s="33"/>
      <c r="K115" s="34"/>
      <c r="L115" s="34"/>
      <c r="M115" s="31"/>
      <c r="N115" s="31"/>
      <c r="O115" s="31"/>
      <c r="P115" s="35"/>
      <c r="Q115" s="35"/>
      <c r="R115" s="35"/>
      <c r="S115" s="36" t="str">
        <f t="shared" ca="1" si="6"/>
        <v/>
      </c>
      <c r="T115" s="29" t="str">
        <f t="shared" ca="1" si="7"/>
        <v/>
      </c>
      <c r="U115" s="30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7" t="str">
        <f>IFERROR(VLOOKUP(N115,Liste!$D$4:$E$10,2,FALSE),"")</f>
        <v/>
      </c>
    </row>
    <row r="116" spans="1:34" x14ac:dyDescent="0.35">
      <c r="A116" s="29" t="str">
        <f>Istruzioni!$B$4</f>
        <v>Catania</v>
      </c>
      <c r="B116" s="29" t="str">
        <f>Istruzioni!$B$5</f>
        <v>Sud</v>
      </c>
      <c r="C116" s="30"/>
      <c r="D116" s="30"/>
      <c r="E116" s="30"/>
      <c r="F116" s="31"/>
      <c r="G116" s="31"/>
      <c r="H116" s="31"/>
      <c r="I116" s="32"/>
      <c r="J116" s="33"/>
      <c r="K116" s="34"/>
      <c r="L116" s="34"/>
      <c r="M116" s="31"/>
      <c r="N116" s="31"/>
      <c r="O116" s="31"/>
      <c r="P116" s="35"/>
      <c r="Q116" s="35"/>
      <c r="R116" s="35"/>
      <c r="S116" s="36" t="str">
        <f t="shared" ca="1" si="6"/>
        <v/>
      </c>
      <c r="T116" s="29" t="str">
        <f t="shared" ca="1" si="7"/>
        <v/>
      </c>
      <c r="U116" s="30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7" t="str">
        <f>IFERROR(VLOOKUP(N116,Liste!$D$4:$E$10,2,FALSE),"")</f>
        <v/>
      </c>
    </row>
    <row r="117" spans="1:34" x14ac:dyDescent="0.35">
      <c r="A117" s="29" t="str">
        <f>Istruzioni!$B$4</f>
        <v>Catania</v>
      </c>
      <c r="B117" s="29" t="str">
        <f>Istruzioni!$B$5</f>
        <v>Sud</v>
      </c>
      <c r="C117" s="30"/>
      <c r="D117" s="30"/>
      <c r="E117" s="30"/>
      <c r="F117" s="31"/>
      <c r="G117" s="31"/>
      <c r="H117" s="31"/>
      <c r="I117" s="32"/>
      <c r="J117" s="33"/>
      <c r="K117" s="34"/>
      <c r="L117" s="34"/>
      <c r="M117" s="31"/>
      <c r="N117" s="31"/>
      <c r="O117" s="31"/>
      <c r="P117" s="35"/>
      <c r="Q117" s="35"/>
      <c r="R117" s="35"/>
      <c r="S117" s="36" t="str">
        <f t="shared" ca="1" si="6"/>
        <v/>
      </c>
      <c r="T117" s="29" t="str">
        <f t="shared" ca="1" si="7"/>
        <v/>
      </c>
      <c r="U117" s="30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7" t="str">
        <f>IFERROR(VLOOKUP(N117,Liste!$D$4:$E$10,2,FALSE),"")</f>
        <v/>
      </c>
    </row>
    <row r="118" spans="1:34" x14ac:dyDescent="0.35">
      <c r="A118" s="29" t="str">
        <f>Istruzioni!$B$4</f>
        <v>Catania</v>
      </c>
      <c r="B118" s="29" t="str">
        <f>Istruzioni!$B$5</f>
        <v>Sud</v>
      </c>
      <c r="C118" s="30"/>
      <c r="D118" s="30"/>
      <c r="E118" s="30"/>
      <c r="F118" s="31"/>
      <c r="G118" s="31"/>
      <c r="H118" s="31"/>
      <c r="I118" s="32"/>
      <c r="J118" s="33"/>
      <c r="K118" s="34"/>
      <c r="L118" s="34"/>
      <c r="M118" s="31"/>
      <c r="N118" s="31"/>
      <c r="O118" s="31"/>
      <c r="P118" s="35"/>
      <c r="Q118" s="35"/>
      <c r="R118" s="35"/>
      <c r="S118" s="36" t="str">
        <f t="shared" ca="1" si="6"/>
        <v/>
      </c>
      <c r="T118" s="29" t="str">
        <f t="shared" ca="1" si="7"/>
        <v/>
      </c>
      <c r="U118" s="30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7" t="str">
        <f>IFERROR(VLOOKUP(N118,Liste!$D$4:$E$10,2,FALSE),"")</f>
        <v/>
      </c>
    </row>
    <row r="119" spans="1:34" x14ac:dyDescent="0.35">
      <c r="A119" s="29" t="str">
        <f>Istruzioni!$B$4</f>
        <v>Catania</v>
      </c>
      <c r="B119" s="29" t="str">
        <f>Istruzioni!$B$5</f>
        <v>Sud</v>
      </c>
      <c r="C119" s="30"/>
      <c r="D119" s="30"/>
      <c r="E119" s="30"/>
      <c r="F119" s="31"/>
      <c r="G119" s="31"/>
      <c r="H119" s="31"/>
      <c r="I119" s="32"/>
      <c r="J119" s="33"/>
      <c r="K119" s="34"/>
      <c r="L119" s="34"/>
      <c r="M119" s="31"/>
      <c r="N119" s="31"/>
      <c r="O119" s="31"/>
      <c r="P119" s="35"/>
      <c r="Q119" s="35"/>
      <c r="R119" s="35"/>
      <c r="S119" s="36" t="str">
        <f t="shared" ca="1" si="6"/>
        <v/>
      </c>
      <c r="T119" s="29" t="str">
        <f t="shared" ca="1" si="7"/>
        <v/>
      </c>
      <c r="U119" s="30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7" t="str">
        <f>IFERROR(VLOOKUP(N119,Liste!$D$4:$E$10,2,FALSE),"")</f>
        <v/>
      </c>
    </row>
    <row r="120" spans="1:34" x14ac:dyDescent="0.35">
      <c r="A120" s="29" t="str">
        <f>Istruzioni!$B$4</f>
        <v>Catania</v>
      </c>
      <c r="B120" s="29" t="str">
        <f>Istruzioni!$B$5</f>
        <v>Sud</v>
      </c>
      <c r="C120" s="30"/>
      <c r="D120" s="30"/>
      <c r="E120" s="30"/>
      <c r="F120" s="31"/>
      <c r="G120" s="31"/>
      <c r="H120" s="31"/>
      <c r="I120" s="32"/>
      <c r="J120" s="33"/>
      <c r="K120" s="34"/>
      <c r="L120" s="34"/>
      <c r="M120" s="31"/>
      <c r="N120" s="31"/>
      <c r="O120" s="31"/>
      <c r="P120" s="35"/>
      <c r="Q120" s="35"/>
      <c r="R120" s="35"/>
      <c r="S120" s="36" t="str">
        <f t="shared" ca="1" si="6"/>
        <v/>
      </c>
      <c r="T120" s="29" t="str">
        <f t="shared" ca="1" si="7"/>
        <v/>
      </c>
      <c r="U120" s="30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7" t="str">
        <f>IFERROR(VLOOKUP(N120,Liste!$D$4:$E$10,2,FALSE),"")</f>
        <v/>
      </c>
    </row>
    <row r="121" spans="1:34" x14ac:dyDescent="0.35">
      <c r="A121" s="29" t="str">
        <f>Istruzioni!$B$4</f>
        <v>Catania</v>
      </c>
      <c r="B121" s="29" t="str">
        <f>Istruzioni!$B$5</f>
        <v>Sud</v>
      </c>
      <c r="C121" s="30"/>
      <c r="D121" s="30"/>
      <c r="E121" s="30"/>
      <c r="F121" s="31"/>
      <c r="G121" s="31"/>
      <c r="H121" s="31"/>
      <c r="I121" s="32"/>
      <c r="J121" s="33"/>
      <c r="K121" s="34"/>
      <c r="L121" s="34"/>
      <c r="M121" s="31"/>
      <c r="N121" s="31"/>
      <c r="O121" s="31"/>
      <c r="P121" s="35"/>
      <c r="Q121" s="35"/>
      <c r="R121" s="35"/>
      <c r="S121" s="36" t="str">
        <f t="shared" ca="1" si="6"/>
        <v/>
      </c>
      <c r="T121" s="29" t="str">
        <f t="shared" ca="1" si="7"/>
        <v/>
      </c>
      <c r="U121" s="30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7" t="str">
        <f>IFERROR(VLOOKUP(N121,Liste!$D$4:$E$10,2,FALSE),"")</f>
        <v/>
      </c>
    </row>
    <row r="122" spans="1:34" x14ac:dyDescent="0.35">
      <c r="A122" s="29" t="str">
        <f>Istruzioni!$B$4</f>
        <v>Catania</v>
      </c>
      <c r="B122" s="29" t="str">
        <f>Istruzioni!$B$5</f>
        <v>Sud</v>
      </c>
      <c r="C122" s="30"/>
      <c r="D122" s="30"/>
      <c r="E122" s="30"/>
      <c r="F122" s="31"/>
      <c r="G122" s="31"/>
      <c r="H122" s="31"/>
      <c r="I122" s="32"/>
      <c r="J122" s="33"/>
      <c r="K122" s="34"/>
      <c r="L122" s="34"/>
      <c r="M122" s="31"/>
      <c r="N122" s="31"/>
      <c r="O122" s="31"/>
      <c r="P122" s="35"/>
      <c r="Q122" s="35"/>
      <c r="R122" s="35"/>
      <c r="S122" s="36" t="str">
        <f t="shared" ca="1" si="6"/>
        <v/>
      </c>
      <c r="T122" s="29" t="str">
        <f t="shared" ca="1" si="7"/>
        <v/>
      </c>
      <c r="U122" s="30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7" t="str">
        <f>IFERROR(VLOOKUP(N122,Liste!$D$4:$E$10,2,FALSE),"")</f>
        <v/>
      </c>
    </row>
    <row r="123" spans="1:34" x14ac:dyDescent="0.35">
      <c r="A123" s="29" t="str">
        <f>Istruzioni!$B$4</f>
        <v>Catania</v>
      </c>
      <c r="B123" s="29" t="str">
        <f>Istruzioni!$B$5</f>
        <v>Sud</v>
      </c>
      <c r="C123" s="30"/>
      <c r="D123" s="30"/>
      <c r="E123" s="30"/>
      <c r="F123" s="31"/>
      <c r="G123" s="31"/>
      <c r="H123" s="31"/>
      <c r="I123" s="32"/>
      <c r="J123" s="33"/>
      <c r="K123" s="34"/>
      <c r="L123" s="34"/>
      <c r="M123" s="31"/>
      <c r="N123" s="31"/>
      <c r="O123" s="31"/>
      <c r="P123" s="35"/>
      <c r="Q123" s="35"/>
      <c r="R123" s="35"/>
      <c r="S123" s="36" t="str">
        <f t="shared" ca="1" si="6"/>
        <v/>
      </c>
      <c r="T123" s="29" t="str">
        <f t="shared" ca="1" si="7"/>
        <v/>
      </c>
      <c r="U123" s="30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7" t="str">
        <f>IFERROR(VLOOKUP(N123,Liste!$D$4:$E$10,2,FALSE),"")</f>
        <v/>
      </c>
    </row>
    <row r="124" spans="1:34" x14ac:dyDescent="0.35">
      <c r="A124" s="29" t="str">
        <f>Istruzioni!$B$4</f>
        <v>Catania</v>
      </c>
      <c r="B124" s="29" t="str">
        <f>Istruzioni!$B$5</f>
        <v>Sud</v>
      </c>
      <c r="C124" s="30"/>
      <c r="D124" s="30"/>
      <c r="E124" s="30"/>
      <c r="F124" s="31"/>
      <c r="G124" s="31"/>
      <c r="H124" s="31"/>
      <c r="I124" s="32"/>
      <c r="J124" s="33"/>
      <c r="K124" s="34"/>
      <c r="L124" s="34"/>
      <c r="M124" s="31"/>
      <c r="N124" s="31"/>
      <c r="O124" s="31"/>
      <c r="P124" s="35"/>
      <c r="Q124" s="35"/>
      <c r="R124" s="35"/>
      <c r="S124" s="36" t="str">
        <f t="shared" ca="1" si="6"/>
        <v/>
      </c>
      <c r="T124" s="29" t="str">
        <f t="shared" ca="1" si="7"/>
        <v/>
      </c>
      <c r="U124" s="30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7" t="str">
        <f>IFERROR(VLOOKUP(N124,Liste!$D$4:$E$10,2,FALSE),"")</f>
        <v/>
      </c>
    </row>
    <row r="125" spans="1:34" x14ac:dyDescent="0.35">
      <c r="A125" s="29" t="str">
        <f>Istruzioni!$B$4</f>
        <v>Catania</v>
      </c>
      <c r="B125" s="29" t="str">
        <f>Istruzioni!$B$5</f>
        <v>Sud</v>
      </c>
      <c r="C125" s="30"/>
      <c r="D125" s="30"/>
      <c r="E125" s="30"/>
      <c r="F125" s="31"/>
      <c r="G125" s="31"/>
      <c r="H125" s="31"/>
      <c r="I125" s="32"/>
      <c r="J125" s="33"/>
      <c r="K125" s="34"/>
      <c r="L125" s="34"/>
      <c r="M125" s="31"/>
      <c r="N125" s="31"/>
      <c r="O125" s="31"/>
      <c r="P125" s="35"/>
      <c r="Q125" s="35"/>
      <c r="R125" s="35"/>
      <c r="S125" s="36" t="str">
        <f t="shared" ca="1" si="6"/>
        <v/>
      </c>
      <c r="T125" s="29" t="str">
        <f t="shared" ca="1" si="7"/>
        <v/>
      </c>
      <c r="U125" s="30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7" t="str">
        <f>IFERROR(VLOOKUP(N125,Liste!$D$4:$E$10,2,FALSE),"")</f>
        <v/>
      </c>
    </row>
    <row r="126" spans="1:34" x14ac:dyDescent="0.35">
      <c r="A126" s="29" t="str">
        <f>Istruzioni!$B$4</f>
        <v>Catania</v>
      </c>
      <c r="B126" s="29" t="str">
        <f>Istruzioni!$B$5</f>
        <v>Sud</v>
      </c>
      <c r="C126" s="30"/>
      <c r="D126" s="30"/>
      <c r="E126" s="30"/>
      <c r="F126" s="31"/>
      <c r="G126" s="31"/>
      <c r="H126" s="31"/>
      <c r="I126" s="32"/>
      <c r="J126" s="33"/>
      <c r="K126" s="34"/>
      <c r="L126" s="34"/>
      <c r="M126" s="31"/>
      <c r="N126" s="31"/>
      <c r="O126" s="31"/>
      <c r="P126" s="35"/>
      <c r="Q126" s="35"/>
      <c r="R126" s="35"/>
      <c r="S126" s="36" t="str">
        <f t="shared" ca="1" si="6"/>
        <v/>
      </c>
      <c r="T126" s="29" t="str">
        <f t="shared" ca="1" si="7"/>
        <v/>
      </c>
      <c r="U126" s="30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7" t="str">
        <f>IFERROR(VLOOKUP(N126,Liste!$D$4:$E$10,2,FALSE),"")</f>
        <v/>
      </c>
    </row>
    <row r="127" spans="1:34" x14ac:dyDescent="0.35">
      <c r="A127" s="29" t="str">
        <f>Istruzioni!$B$4</f>
        <v>Catania</v>
      </c>
      <c r="B127" s="29" t="str">
        <f>Istruzioni!$B$5</f>
        <v>Sud</v>
      </c>
      <c r="C127" s="30"/>
      <c r="D127" s="30"/>
      <c r="E127" s="30"/>
      <c r="F127" s="31"/>
      <c r="G127" s="31"/>
      <c r="H127" s="31"/>
      <c r="I127" s="32"/>
      <c r="J127" s="33"/>
      <c r="K127" s="34"/>
      <c r="L127" s="34"/>
      <c r="M127" s="31"/>
      <c r="N127" s="31"/>
      <c r="O127" s="31"/>
      <c r="P127" s="35"/>
      <c r="Q127" s="35"/>
      <c r="R127" s="35"/>
      <c r="S127" s="36" t="str">
        <f t="shared" ca="1" si="6"/>
        <v/>
      </c>
      <c r="T127" s="29" t="str">
        <f t="shared" ca="1" si="7"/>
        <v/>
      </c>
      <c r="U127" s="30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7" t="str">
        <f>IFERROR(VLOOKUP(N127,Liste!$D$4:$E$10,2,FALSE),"")</f>
        <v/>
      </c>
    </row>
    <row r="128" spans="1:34" x14ac:dyDescent="0.35">
      <c r="A128" s="29" t="str">
        <f>Istruzioni!$B$4</f>
        <v>Catania</v>
      </c>
      <c r="B128" s="29" t="str">
        <f>Istruzioni!$B$5</f>
        <v>Sud</v>
      </c>
      <c r="C128" s="30"/>
      <c r="D128" s="30"/>
      <c r="E128" s="30"/>
      <c r="F128" s="31"/>
      <c r="G128" s="31"/>
      <c r="H128" s="31"/>
      <c r="I128" s="32"/>
      <c r="J128" s="33"/>
      <c r="K128" s="34"/>
      <c r="L128" s="34"/>
      <c r="M128" s="31"/>
      <c r="N128" s="31"/>
      <c r="O128" s="31"/>
      <c r="P128" s="35"/>
      <c r="Q128" s="35"/>
      <c r="R128" s="35"/>
      <c r="S128" s="36" t="str">
        <f t="shared" ca="1" si="6"/>
        <v/>
      </c>
      <c r="T128" s="29" t="str">
        <f t="shared" ca="1" si="7"/>
        <v/>
      </c>
      <c r="U128" s="30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7" t="str">
        <f>IFERROR(VLOOKUP(N128,Liste!$D$4:$E$10,2,FALSE),"")</f>
        <v/>
      </c>
    </row>
    <row r="129" spans="1:34" x14ac:dyDescent="0.35">
      <c r="A129" s="29" t="str">
        <f>Istruzioni!$B$4</f>
        <v>Catania</v>
      </c>
      <c r="B129" s="29" t="str">
        <f>Istruzioni!$B$5</f>
        <v>Sud</v>
      </c>
      <c r="C129" s="30"/>
      <c r="D129" s="30"/>
      <c r="E129" s="30"/>
      <c r="F129" s="31"/>
      <c r="G129" s="31"/>
      <c r="H129" s="31"/>
      <c r="I129" s="32"/>
      <c r="J129" s="33"/>
      <c r="K129" s="34"/>
      <c r="L129" s="34"/>
      <c r="M129" s="31"/>
      <c r="N129" s="31"/>
      <c r="O129" s="31"/>
      <c r="P129" s="35"/>
      <c r="Q129" s="35"/>
      <c r="R129" s="35"/>
      <c r="S129" s="36" t="str">
        <f t="shared" ca="1" si="6"/>
        <v/>
      </c>
      <c r="T129" s="29" t="str">
        <f t="shared" ca="1" si="7"/>
        <v/>
      </c>
      <c r="U129" s="30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7" t="str">
        <f>IFERROR(VLOOKUP(N129,Liste!$D$4:$E$10,2,FALSE),"")</f>
        <v/>
      </c>
    </row>
    <row r="130" spans="1:34" x14ac:dyDescent="0.35">
      <c r="A130" s="29" t="str">
        <f>Istruzioni!$B$4</f>
        <v>Catania</v>
      </c>
      <c r="B130" s="29" t="str">
        <f>Istruzioni!$B$5</f>
        <v>Sud</v>
      </c>
      <c r="C130" s="30"/>
      <c r="D130" s="30"/>
      <c r="E130" s="30"/>
      <c r="F130" s="31"/>
      <c r="G130" s="31"/>
      <c r="H130" s="31"/>
      <c r="I130" s="32"/>
      <c r="J130" s="33"/>
      <c r="K130" s="34"/>
      <c r="L130" s="34"/>
      <c r="M130" s="31"/>
      <c r="N130" s="31"/>
      <c r="O130" s="31"/>
      <c r="P130" s="35"/>
      <c r="Q130" s="35"/>
      <c r="R130" s="35"/>
      <c r="S130" s="36" t="str">
        <f t="shared" ca="1" si="6"/>
        <v/>
      </c>
      <c r="T130" s="29" t="str">
        <f t="shared" ca="1" si="7"/>
        <v/>
      </c>
      <c r="U130" s="30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7" t="str">
        <f>IFERROR(VLOOKUP(N130,Liste!$D$4:$E$10,2,FALSE),"")</f>
        <v/>
      </c>
    </row>
    <row r="131" spans="1:34" x14ac:dyDescent="0.35">
      <c r="A131" s="29" t="str">
        <f>Istruzioni!$B$4</f>
        <v>Catania</v>
      </c>
      <c r="B131" s="29" t="str">
        <f>Istruzioni!$B$5</f>
        <v>Sud</v>
      </c>
      <c r="C131" s="30"/>
      <c r="D131" s="30"/>
      <c r="E131" s="30"/>
      <c r="F131" s="31"/>
      <c r="G131" s="31"/>
      <c r="H131" s="31"/>
      <c r="I131" s="32"/>
      <c r="J131" s="33"/>
      <c r="K131" s="34"/>
      <c r="L131" s="34"/>
      <c r="M131" s="31"/>
      <c r="N131" s="31"/>
      <c r="O131" s="31"/>
      <c r="P131" s="35"/>
      <c r="Q131" s="35"/>
      <c r="R131" s="35"/>
      <c r="S131" s="36" t="str">
        <f t="shared" ca="1" si="6"/>
        <v/>
      </c>
      <c r="T131" s="29" t="str">
        <f t="shared" ca="1" si="7"/>
        <v/>
      </c>
      <c r="U131" s="30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7" t="str">
        <f>IFERROR(VLOOKUP(N131,Liste!$D$4:$E$10,2,FALSE),"")</f>
        <v/>
      </c>
    </row>
    <row r="132" spans="1:34" x14ac:dyDescent="0.35">
      <c r="A132" s="29" t="str">
        <f>Istruzioni!$B$4</f>
        <v>Catania</v>
      </c>
      <c r="B132" s="29" t="str">
        <f>Istruzioni!$B$5</f>
        <v>Sud</v>
      </c>
      <c r="C132" s="30"/>
      <c r="D132" s="30"/>
      <c r="E132" s="30"/>
      <c r="F132" s="31"/>
      <c r="G132" s="31"/>
      <c r="H132" s="31"/>
      <c r="I132" s="32"/>
      <c r="J132" s="33"/>
      <c r="K132" s="34"/>
      <c r="L132" s="34"/>
      <c r="M132" s="31"/>
      <c r="N132" s="31"/>
      <c r="O132" s="31"/>
      <c r="P132" s="35"/>
      <c r="Q132" s="35"/>
      <c r="R132" s="35"/>
      <c r="S132" s="36" t="str">
        <f t="shared" ca="1" si="6"/>
        <v/>
      </c>
      <c r="T132" s="29" t="str">
        <f t="shared" ca="1" si="7"/>
        <v/>
      </c>
      <c r="U132" s="30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7" t="str">
        <f>IFERROR(VLOOKUP(N132,Liste!$D$4:$E$10,2,FALSE),"")</f>
        <v/>
      </c>
    </row>
    <row r="133" spans="1:34" x14ac:dyDescent="0.35">
      <c r="A133" s="29" t="str">
        <f>Istruzioni!$B$4</f>
        <v>Catania</v>
      </c>
      <c r="B133" s="29" t="str">
        <f>Istruzioni!$B$5</f>
        <v>Sud</v>
      </c>
      <c r="C133" s="30"/>
      <c r="D133" s="30"/>
      <c r="E133" s="30"/>
      <c r="F133" s="31"/>
      <c r="G133" s="31"/>
      <c r="H133" s="31"/>
      <c r="I133" s="32"/>
      <c r="J133" s="33"/>
      <c r="K133" s="34"/>
      <c r="L133" s="34"/>
      <c r="M133" s="31"/>
      <c r="N133" s="31"/>
      <c r="O133" s="31"/>
      <c r="P133" s="35"/>
      <c r="Q133" s="35"/>
      <c r="R133" s="35"/>
      <c r="S133" s="36" t="str">
        <f t="shared" ref="S133:S164" ca="1" si="8">IF(OR(Q133="",M133="Completato",M133="Perso"),"",MAX(TODAY()-Q133,0))</f>
        <v/>
      </c>
      <c r="T133" s="29" t="str">
        <f t="shared" ref="T133:T164" ca="1" si="9">IF(OR(Q133="",M133="Completato",M133="Perso"),"",IF(Q133&lt;TODAY(),"In ritardo",IF(Q133&lt;=TODAY()+30,"In scadenza","On track")))</f>
        <v/>
      </c>
      <c r="U133" s="30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7" t="str">
        <f>IFERROR(VLOOKUP(N133,Liste!$D$4:$E$10,2,FALSE),"")</f>
        <v/>
      </c>
    </row>
    <row r="134" spans="1:34" x14ac:dyDescent="0.35">
      <c r="A134" s="29" t="str">
        <f>Istruzioni!$B$4</f>
        <v>Catania</v>
      </c>
      <c r="B134" s="29" t="str">
        <f>Istruzioni!$B$5</f>
        <v>Sud</v>
      </c>
      <c r="C134" s="30"/>
      <c r="D134" s="30"/>
      <c r="E134" s="30"/>
      <c r="F134" s="31"/>
      <c r="G134" s="31"/>
      <c r="H134" s="31"/>
      <c r="I134" s="32"/>
      <c r="J134" s="33"/>
      <c r="K134" s="34"/>
      <c r="L134" s="34"/>
      <c r="M134" s="31"/>
      <c r="N134" s="31"/>
      <c r="O134" s="31"/>
      <c r="P134" s="35"/>
      <c r="Q134" s="35"/>
      <c r="R134" s="35"/>
      <c r="S134" s="36" t="str">
        <f t="shared" ca="1" si="8"/>
        <v/>
      </c>
      <c r="T134" s="29" t="str">
        <f t="shared" ca="1" si="9"/>
        <v/>
      </c>
      <c r="U134" s="30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7" t="str">
        <f>IFERROR(VLOOKUP(N134,Liste!$D$4:$E$10,2,FALSE),"")</f>
        <v/>
      </c>
    </row>
    <row r="135" spans="1:34" x14ac:dyDescent="0.35">
      <c r="A135" s="29" t="str">
        <f>Istruzioni!$B$4</f>
        <v>Catania</v>
      </c>
      <c r="B135" s="29" t="str">
        <f>Istruzioni!$B$5</f>
        <v>Sud</v>
      </c>
      <c r="C135" s="30"/>
      <c r="D135" s="30"/>
      <c r="E135" s="30"/>
      <c r="F135" s="31"/>
      <c r="G135" s="31"/>
      <c r="H135" s="31"/>
      <c r="I135" s="32"/>
      <c r="J135" s="33"/>
      <c r="K135" s="34"/>
      <c r="L135" s="34"/>
      <c r="M135" s="31"/>
      <c r="N135" s="31"/>
      <c r="O135" s="31"/>
      <c r="P135" s="35"/>
      <c r="Q135" s="35"/>
      <c r="R135" s="35"/>
      <c r="S135" s="36" t="str">
        <f t="shared" ca="1" si="8"/>
        <v/>
      </c>
      <c r="T135" s="29" t="str">
        <f t="shared" ca="1" si="9"/>
        <v/>
      </c>
      <c r="U135" s="30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7" t="str">
        <f>IFERROR(VLOOKUP(N135,Liste!$D$4:$E$10,2,FALSE),"")</f>
        <v/>
      </c>
    </row>
    <row r="136" spans="1:34" x14ac:dyDescent="0.35">
      <c r="A136" s="29" t="str">
        <f>Istruzioni!$B$4</f>
        <v>Catania</v>
      </c>
      <c r="B136" s="29" t="str">
        <f>Istruzioni!$B$5</f>
        <v>Sud</v>
      </c>
      <c r="C136" s="30"/>
      <c r="D136" s="30"/>
      <c r="E136" s="30"/>
      <c r="F136" s="31"/>
      <c r="G136" s="31"/>
      <c r="H136" s="31"/>
      <c r="I136" s="32"/>
      <c r="J136" s="33"/>
      <c r="K136" s="34"/>
      <c r="L136" s="34"/>
      <c r="M136" s="31"/>
      <c r="N136" s="31"/>
      <c r="O136" s="31"/>
      <c r="P136" s="35"/>
      <c r="Q136" s="35"/>
      <c r="R136" s="35"/>
      <c r="S136" s="36" t="str">
        <f t="shared" ca="1" si="8"/>
        <v/>
      </c>
      <c r="T136" s="29" t="str">
        <f t="shared" ca="1" si="9"/>
        <v/>
      </c>
      <c r="U136" s="30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7" t="str">
        <f>IFERROR(VLOOKUP(N136,Liste!$D$4:$E$10,2,FALSE),"")</f>
        <v/>
      </c>
    </row>
    <row r="137" spans="1:34" x14ac:dyDescent="0.35">
      <c r="A137" s="29" t="str">
        <f>Istruzioni!$B$4</f>
        <v>Catania</v>
      </c>
      <c r="B137" s="29" t="str">
        <f>Istruzioni!$B$5</f>
        <v>Sud</v>
      </c>
      <c r="C137" s="30"/>
      <c r="D137" s="30"/>
      <c r="E137" s="30"/>
      <c r="F137" s="31"/>
      <c r="G137" s="31"/>
      <c r="H137" s="31"/>
      <c r="I137" s="32"/>
      <c r="J137" s="33"/>
      <c r="K137" s="34"/>
      <c r="L137" s="34"/>
      <c r="M137" s="31"/>
      <c r="N137" s="31"/>
      <c r="O137" s="31"/>
      <c r="P137" s="35"/>
      <c r="Q137" s="35"/>
      <c r="R137" s="35"/>
      <c r="S137" s="36" t="str">
        <f t="shared" ca="1" si="8"/>
        <v/>
      </c>
      <c r="T137" s="29" t="str">
        <f t="shared" ca="1" si="9"/>
        <v/>
      </c>
      <c r="U137" s="30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7" t="str">
        <f>IFERROR(VLOOKUP(N137,Liste!$D$4:$E$10,2,FALSE),"")</f>
        <v/>
      </c>
    </row>
    <row r="138" spans="1:34" x14ac:dyDescent="0.35">
      <c r="A138" s="29" t="str">
        <f>Istruzioni!$B$4</f>
        <v>Catania</v>
      </c>
      <c r="B138" s="29" t="str">
        <f>Istruzioni!$B$5</f>
        <v>Sud</v>
      </c>
      <c r="C138" s="30"/>
      <c r="D138" s="30"/>
      <c r="E138" s="30"/>
      <c r="F138" s="31"/>
      <c r="G138" s="31"/>
      <c r="H138" s="31"/>
      <c r="I138" s="32"/>
      <c r="J138" s="33"/>
      <c r="K138" s="34"/>
      <c r="L138" s="34"/>
      <c r="M138" s="31"/>
      <c r="N138" s="31"/>
      <c r="O138" s="31"/>
      <c r="P138" s="35"/>
      <c r="Q138" s="35"/>
      <c r="R138" s="35"/>
      <c r="S138" s="36" t="str">
        <f t="shared" ca="1" si="8"/>
        <v/>
      </c>
      <c r="T138" s="29" t="str">
        <f t="shared" ca="1" si="9"/>
        <v/>
      </c>
      <c r="U138" s="30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7" t="str">
        <f>IFERROR(VLOOKUP(N138,Liste!$D$4:$E$10,2,FALSE),"")</f>
        <v/>
      </c>
    </row>
    <row r="139" spans="1:34" x14ac:dyDescent="0.35">
      <c r="A139" s="29" t="str">
        <f>Istruzioni!$B$4</f>
        <v>Catania</v>
      </c>
      <c r="B139" s="29" t="str">
        <f>Istruzioni!$B$5</f>
        <v>Sud</v>
      </c>
      <c r="C139" s="30"/>
      <c r="D139" s="30"/>
      <c r="E139" s="30"/>
      <c r="F139" s="31"/>
      <c r="G139" s="31"/>
      <c r="H139" s="31"/>
      <c r="I139" s="32"/>
      <c r="J139" s="33"/>
      <c r="K139" s="34"/>
      <c r="L139" s="34"/>
      <c r="M139" s="31"/>
      <c r="N139" s="31"/>
      <c r="O139" s="31"/>
      <c r="P139" s="35"/>
      <c r="Q139" s="35"/>
      <c r="R139" s="35"/>
      <c r="S139" s="36" t="str">
        <f t="shared" ca="1" si="8"/>
        <v/>
      </c>
      <c r="T139" s="29" t="str">
        <f t="shared" ca="1" si="9"/>
        <v/>
      </c>
      <c r="U139" s="30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7" t="str">
        <f>IFERROR(VLOOKUP(N139,Liste!$D$4:$E$10,2,FALSE),"")</f>
        <v/>
      </c>
    </row>
    <row r="140" spans="1:34" x14ac:dyDescent="0.35">
      <c r="A140" s="29" t="str">
        <f>Istruzioni!$B$4</f>
        <v>Catania</v>
      </c>
      <c r="B140" s="29" t="str">
        <f>Istruzioni!$B$5</f>
        <v>Sud</v>
      </c>
      <c r="C140" s="30"/>
      <c r="D140" s="30"/>
      <c r="E140" s="30"/>
      <c r="F140" s="31"/>
      <c r="G140" s="31"/>
      <c r="H140" s="31"/>
      <c r="I140" s="32"/>
      <c r="J140" s="33"/>
      <c r="K140" s="34"/>
      <c r="L140" s="34"/>
      <c r="M140" s="31"/>
      <c r="N140" s="31"/>
      <c r="O140" s="31"/>
      <c r="P140" s="35"/>
      <c r="Q140" s="35"/>
      <c r="R140" s="35"/>
      <c r="S140" s="36" t="str">
        <f t="shared" ca="1" si="8"/>
        <v/>
      </c>
      <c r="T140" s="29" t="str">
        <f t="shared" ca="1" si="9"/>
        <v/>
      </c>
      <c r="U140" s="30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7" t="str">
        <f>IFERROR(VLOOKUP(N140,Liste!$D$4:$E$10,2,FALSE),"")</f>
        <v/>
      </c>
    </row>
    <row r="141" spans="1:34" x14ac:dyDescent="0.35">
      <c r="A141" s="29" t="str">
        <f>Istruzioni!$B$4</f>
        <v>Catania</v>
      </c>
      <c r="B141" s="29" t="str">
        <f>Istruzioni!$B$5</f>
        <v>Sud</v>
      </c>
      <c r="C141" s="30"/>
      <c r="D141" s="30"/>
      <c r="E141" s="30"/>
      <c r="F141" s="31"/>
      <c r="G141" s="31"/>
      <c r="H141" s="31"/>
      <c r="I141" s="32"/>
      <c r="J141" s="33"/>
      <c r="K141" s="34"/>
      <c r="L141" s="34"/>
      <c r="M141" s="31"/>
      <c r="N141" s="31"/>
      <c r="O141" s="31"/>
      <c r="P141" s="35"/>
      <c r="Q141" s="35"/>
      <c r="R141" s="35"/>
      <c r="S141" s="36" t="str">
        <f t="shared" ca="1" si="8"/>
        <v/>
      </c>
      <c r="T141" s="29" t="str">
        <f t="shared" ca="1" si="9"/>
        <v/>
      </c>
      <c r="U141" s="30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7" t="str">
        <f>IFERROR(VLOOKUP(N141,Liste!$D$4:$E$10,2,FALSE),"")</f>
        <v/>
      </c>
    </row>
    <row r="142" spans="1:34" x14ac:dyDescent="0.35">
      <c r="A142" s="29" t="str">
        <f>Istruzioni!$B$4</f>
        <v>Catania</v>
      </c>
      <c r="B142" s="29" t="str">
        <f>Istruzioni!$B$5</f>
        <v>Sud</v>
      </c>
      <c r="C142" s="30"/>
      <c r="D142" s="30"/>
      <c r="E142" s="30"/>
      <c r="F142" s="31"/>
      <c r="G142" s="31"/>
      <c r="H142" s="31"/>
      <c r="I142" s="32"/>
      <c r="J142" s="33"/>
      <c r="K142" s="34"/>
      <c r="L142" s="34"/>
      <c r="M142" s="31"/>
      <c r="N142" s="31"/>
      <c r="O142" s="31"/>
      <c r="P142" s="35"/>
      <c r="Q142" s="35"/>
      <c r="R142" s="35"/>
      <c r="S142" s="36" t="str">
        <f t="shared" ca="1" si="8"/>
        <v/>
      </c>
      <c r="T142" s="29" t="str">
        <f t="shared" ca="1" si="9"/>
        <v/>
      </c>
      <c r="U142" s="30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7" t="str">
        <f>IFERROR(VLOOKUP(N142,Liste!$D$4:$E$10,2,FALSE),"")</f>
        <v/>
      </c>
    </row>
    <row r="143" spans="1:34" x14ac:dyDescent="0.35">
      <c r="A143" s="29" t="str">
        <f>Istruzioni!$B$4</f>
        <v>Catania</v>
      </c>
      <c r="B143" s="29" t="str">
        <f>Istruzioni!$B$5</f>
        <v>Sud</v>
      </c>
      <c r="C143" s="30"/>
      <c r="D143" s="30"/>
      <c r="E143" s="30"/>
      <c r="F143" s="31"/>
      <c r="G143" s="31"/>
      <c r="H143" s="31"/>
      <c r="I143" s="32"/>
      <c r="J143" s="33"/>
      <c r="K143" s="34"/>
      <c r="L143" s="34"/>
      <c r="M143" s="31"/>
      <c r="N143" s="31"/>
      <c r="O143" s="31"/>
      <c r="P143" s="35"/>
      <c r="Q143" s="35"/>
      <c r="R143" s="35"/>
      <c r="S143" s="36" t="str">
        <f t="shared" ca="1" si="8"/>
        <v/>
      </c>
      <c r="T143" s="29" t="str">
        <f t="shared" ca="1" si="9"/>
        <v/>
      </c>
      <c r="U143" s="30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7" t="str">
        <f>IFERROR(VLOOKUP(N143,Liste!$D$4:$E$10,2,FALSE),"")</f>
        <v/>
      </c>
    </row>
    <row r="144" spans="1:34" x14ac:dyDescent="0.35">
      <c r="A144" s="29" t="str">
        <f>Istruzioni!$B$4</f>
        <v>Catania</v>
      </c>
      <c r="B144" s="29" t="str">
        <f>Istruzioni!$B$5</f>
        <v>Sud</v>
      </c>
      <c r="C144" s="30"/>
      <c r="D144" s="30"/>
      <c r="E144" s="30"/>
      <c r="F144" s="31"/>
      <c r="G144" s="31"/>
      <c r="H144" s="31"/>
      <c r="I144" s="32"/>
      <c r="J144" s="33"/>
      <c r="K144" s="34"/>
      <c r="L144" s="34"/>
      <c r="M144" s="31"/>
      <c r="N144" s="31"/>
      <c r="O144" s="31"/>
      <c r="P144" s="35"/>
      <c r="Q144" s="35"/>
      <c r="R144" s="35"/>
      <c r="S144" s="36" t="str">
        <f t="shared" ca="1" si="8"/>
        <v/>
      </c>
      <c r="T144" s="29" t="str">
        <f t="shared" ca="1" si="9"/>
        <v/>
      </c>
      <c r="U144" s="30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7" t="str">
        <f>IFERROR(VLOOKUP(N144,Liste!$D$4:$E$10,2,FALSE),"")</f>
        <v/>
      </c>
    </row>
    <row r="145" spans="1:34" x14ac:dyDescent="0.35">
      <c r="A145" s="29" t="str">
        <f>Istruzioni!$B$4</f>
        <v>Catania</v>
      </c>
      <c r="B145" s="29" t="str">
        <f>Istruzioni!$B$5</f>
        <v>Sud</v>
      </c>
      <c r="C145" s="30"/>
      <c r="D145" s="30"/>
      <c r="E145" s="30"/>
      <c r="F145" s="31"/>
      <c r="G145" s="31"/>
      <c r="H145" s="31"/>
      <c r="I145" s="32"/>
      <c r="J145" s="33"/>
      <c r="K145" s="34"/>
      <c r="L145" s="34"/>
      <c r="M145" s="31"/>
      <c r="N145" s="31"/>
      <c r="O145" s="31"/>
      <c r="P145" s="35"/>
      <c r="Q145" s="35"/>
      <c r="R145" s="35"/>
      <c r="S145" s="36" t="str">
        <f t="shared" ca="1" si="8"/>
        <v/>
      </c>
      <c r="T145" s="29" t="str">
        <f t="shared" ca="1" si="9"/>
        <v/>
      </c>
      <c r="U145" s="30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7" t="str">
        <f>IFERROR(VLOOKUP(N145,Liste!$D$4:$E$10,2,FALSE),"")</f>
        <v/>
      </c>
    </row>
    <row r="146" spans="1:34" x14ac:dyDescent="0.35">
      <c r="A146" s="29" t="str">
        <f>Istruzioni!$B$4</f>
        <v>Catania</v>
      </c>
      <c r="B146" s="29" t="str">
        <f>Istruzioni!$B$5</f>
        <v>Sud</v>
      </c>
      <c r="C146" s="30"/>
      <c r="D146" s="30"/>
      <c r="E146" s="30"/>
      <c r="F146" s="31"/>
      <c r="G146" s="31"/>
      <c r="H146" s="31"/>
      <c r="I146" s="32"/>
      <c r="J146" s="33"/>
      <c r="K146" s="34"/>
      <c r="L146" s="34"/>
      <c r="M146" s="31"/>
      <c r="N146" s="31"/>
      <c r="O146" s="31"/>
      <c r="P146" s="35"/>
      <c r="Q146" s="35"/>
      <c r="R146" s="35"/>
      <c r="S146" s="36" t="str">
        <f t="shared" ca="1" si="8"/>
        <v/>
      </c>
      <c r="T146" s="29" t="str">
        <f t="shared" ca="1" si="9"/>
        <v/>
      </c>
      <c r="U146" s="30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7" t="str">
        <f>IFERROR(VLOOKUP(N146,Liste!$D$4:$E$10,2,FALSE),"")</f>
        <v/>
      </c>
    </row>
    <row r="147" spans="1:34" x14ac:dyDescent="0.35">
      <c r="A147" s="29" t="str">
        <f>Istruzioni!$B$4</f>
        <v>Catania</v>
      </c>
      <c r="B147" s="29" t="str">
        <f>Istruzioni!$B$5</f>
        <v>Sud</v>
      </c>
      <c r="C147" s="30"/>
      <c r="D147" s="30"/>
      <c r="E147" s="30"/>
      <c r="F147" s="31"/>
      <c r="G147" s="31"/>
      <c r="H147" s="31"/>
      <c r="I147" s="32"/>
      <c r="J147" s="33"/>
      <c r="K147" s="34"/>
      <c r="L147" s="34"/>
      <c r="M147" s="31"/>
      <c r="N147" s="31"/>
      <c r="O147" s="31"/>
      <c r="P147" s="35"/>
      <c r="Q147" s="35"/>
      <c r="R147" s="35"/>
      <c r="S147" s="36" t="str">
        <f t="shared" ca="1" si="8"/>
        <v/>
      </c>
      <c r="T147" s="29" t="str">
        <f t="shared" ca="1" si="9"/>
        <v/>
      </c>
      <c r="U147" s="30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7" t="str">
        <f>IFERROR(VLOOKUP(N147,Liste!$D$4:$E$10,2,FALSE),"")</f>
        <v/>
      </c>
    </row>
    <row r="148" spans="1:34" x14ac:dyDescent="0.35">
      <c r="A148" s="29" t="str">
        <f>Istruzioni!$B$4</f>
        <v>Catania</v>
      </c>
      <c r="B148" s="29" t="str">
        <f>Istruzioni!$B$5</f>
        <v>Sud</v>
      </c>
      <c r="C148" s="30"/>
      <c r="D148" s="30"/>
      <c r="E148" s="30"/>
      <c r="F148" s="31"/>
      <c r="G148" s="31"/>
      <c r="H148" s="31"/>
      <c r="I148" s="32"/>
      <c r="J148" s="33"/>
      <c r="K148" s="34"/>
      <c r="L148" s="34"/>
      <c r="M148" s="31"/>
      <c r="N148" s="31"/>
      <c r="O148" s="31"/>
      <c r="P148" s="35"/>
      <c r="Q148" s="35"/>
      <c r="R148" s="35"/>
      <c r="S148" s="36" t="str">
        <f t="shared" ca="1" si="8"/>
        <v/>
      </c>
      <c r="T148" s="29" t="str">
        <f t="shared" ca="1" si="9"/>
        <v/>
      </c>
      <c r="U148" s="30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7" t="str">
        <f>IFERROR(VLOOKUP(N148,Liste!$D$4:$E$10,2,FALSE),"")</f>
        <v/>
      </c>
    </row>
    <row r="149" spans="1:34" x14ac:dyDescent="0.35">
      <c r="A149" s="29" t="str">
        <f>Istruzioni!$B$4</f>
        <v>Catania</v>
      </c>
      <c r="B149" s="29" t="str">
        <f>Istruzioni!$B$5</f>
        <v>Sud</v>
      </c>
      <c r="C149" s="30"/>
      <c r="D149" s="30"/>
      <c r="E149" s="30"/>
      <c r="F149" s="31"/>
      <c r="G149" s="31"/>
      <c r="H149" s="31"/>
      <c r="I149" s="32"/>
      <c r="J149" s="33"/>
      <c r="K149" s="34"/>
      <c r="L149" s="34"/>
      <c r="M149" s="31"/>
      <c r="N149" s="31"/>
      <c r="O149" s="31"/>
      <c r="P149" s="35"/>
      <c r="Q149" s="35"/>
      <c r="R149" s="35"/>
      <c r="S149" s="36" t="str">
        <f t="shared" ca="1" si="8"/>
        <v/>
      </c>
      <c r="T149" s="29" t="str">
        <f t="shared" ca="1" si="9"/>
        <v/>
      </c>
      <c r="U149" s="30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7" t="str">
        <f>IFERROR(VLOOKUP(N149,Liste!$D$4:$E$10,2,FALSE),"")</f>
        <v/>
      </c>
    </row>
    <row r="150" spans="1:34" x14ac:dyDescent="0.35">
      <c r="A150" s="29" t="str">
        <f>Istruzioni!$B$4</f>
        <v>Catania</v>
      </c>
      <c r="B150" s="29" t="str">
        <f>Istruzioni!$B$5</f>
        <v>Sud</v>
      </c>
      <c r="C150" s="30"/>
      <c r="D150" s="30"/>
      <c r="E150" s="30"/>
      <c r="F150" s="31"/>
      <c r="G150" s="31"/>
      <c r="H150" s="31"/>
      <c r="I150" s="32"/>
      <c r="J150" s="33"/>
      <c r="K150" s="34"/>
      <c r="L150" s="34"/>
      <c r="M150" s="31"/>
      <c r="N150" s="31"/>
      <c r="O150" s="31"/>
      <c r="P150" s="35"/>
      <c r="Q150" s="35"/>
      <c r="R150" s="35"/>
      <c r="S150" s="36" t="str">
        <f t="shared" ca="1" si="8"/>
        <v/>
      </c>
      <c r="T150" s="29" t="str">
        <f t="shared" ca="1" si="9"/>
        <v/>
      </c>
      <c r="U150" s="30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7" t="str">
        <f>IFERROR(VLOOKUP(N150,Liste!$D$4:$E$10,2,FALSE),"")</f>
        <v/>
      </c>
    </row>
    <row r="151" spans="1:34" x14ac:dyDescent="0.35">
      <c r="A151" s="29" t="str">
        <f>Istruzioni!$B$4</f>
        <v>Catania</v>
      </c>
      <c r="B151" s="29" t="str">
        <f>Istruzioni!$B$5</f>
        <v>Sud</v>
      </c>
      <c r="C151" s="30"/>
      <c r="D151" s="30"/>
      <c r="E151" s="30"/>
      <c r="F151" s="31"/>
      <c r="G151" s="31"/>
      <c r="H151" s="31"/>
      <c r="I151" s="32"/>
      <c r="J151" s="33"/>
      <c r="K151" s="34"/>
      <c r="L151" s="34"/>
      <c r="M151" s="31"/>
      <c r="N151" s="31"/>
      <c r="O151" s="31"/>
      <c r="P151" s="35"/>
      <c r="Q151" s="35"/>
      <c r="R151" s="35"/>
      <c r="S151" s="36" t="str">
        <f t="shared" ca="1" si="8"/>
        <v/>
      </c>
      <c r="T151" s="29" t="str">
        <f t="shared" ca="1" si="9"/>
        <v/>
      </c>
      <c r="U151" s="30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7" t="str">
        <f>IFERROR(VLOOKUP(N151,Liste!$D$4:$E$10,2,FALSE),"")</f>
        <v/>
      </c>
    </row>
    <row r="152" spans="1:34" x14ac:dyDescent="0.35">
      <c r="A152" s="29" t="str">
        <f>Istruzioni!$B$4</f>
        <v>Catania</v>
      </c>
      <c r="B152" s="29" t="str">
        <f>Istruzioni!$B$5</f>
        <v>Sud</v>
      </c>
      <c r="C152" s="30"/>
      <c r="D152" s="30"/>
      <c r="E152" s="30"/>
      <c r="F152" s="31"/>
      <c r="G152" s="31"/>
      <c r="H152" s="31"/>
      <c r="I152" s="32"/>
      <c r="J152" s="33"/>
      <c r="K152" s="34"/>
      <c r="L152" s="34"/>
      <c r="M152" s="31"/>
      <c r="N152" s="31"/>
      <c r="O152" s="31"/>
      <c r="P152" s="35"/>
      <c r="Q152" s="35"/>
      <c r="R152" s="35"/>
      <c r="S152" s="36" t="str">
        <f t="shared" ca="1" si="8"/>
        <v/>
      </c>
      <c r="T152" s="29" t="str">
        <f t="shared" ca="1" si="9"/>
        <v/>
      </c>
      <c r="U152" s="30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7" t="str">
        <f>IFERROR(VLOOKUP(N152,Liste!$D$4:$E$10,2,FALSE),"")</f>
        <v/>
      </c>
    </row>
    <row r="153" spans="1:34" x14ac:dyDescent="0.35">
      <c r="A153" s="29" t="str">
        <f>Istruzioni!$B$4</f>
        <v>Catania</v>
      </c>
      <c r="B153" s="29" t="str">
        <f>Istruzioni!$B$5</f>
        <v>Sud</v>
      </c>
      <c r="C153" s="30"/>
      <c r="D153" s="30"/>
      <c r="E153" s="30"/>
      <c r="F153" s="31"/>
      <c r="G153" s="31"/>
      <c r="H153" s="31"/>
      <c r="I153" s="32"/>
      <c r="J153" s="33"/>
      <c r="K153" s="34"/>
      <c r="L153" s="34"/>
      <c r="M153" s="31"/>
      <c r="N153" s="31"/>
      <c r="O153" s="31"/>
      <c r="P153" s="35"/>
      <c r="Q153" s="35"/>
      <c r="R153" s="35"/>
      <c r="S153" s="36" t="str">
        <f t="shared" ca="1" si="8"/>
        <v/>
      </c>
      <c r="T153" s="29" t="str">
        <f t="shared" ca="1" si="9"/>
        <v/>
      </c>
      <c r="U153" s="30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7" t="str">
        <f>IFERROR(VLOOKUP(N153,Liste!$D$4:$E$10,2,FALSE),"")</f>
        <v/>
      </c>
    </row>
    <row r="154" spans="1:34" x14ac:dyDescent="0.35">
      <c r="A154" s="29" t="str">
        <f>Istruzioni!$B$4</f>
        <v>Catania</v>
      </c>
      <c r="B154" s="29" t="str">
        <f>Istruzioni!$B$5</f>
        <v>Sud</v>
      </c>
      <c r="C154" s="30"/>
      <c r="D154" s="30"/>
      <c r="E154" s="30"/>
      <c r="F154" s="31"/>
      <c r="G154" s="31"/>
      <c r="H154" s="31"/>
      <c r="I154" s="32"/>
      <c r="J154" s="33"/>
      <c r="K154" s="34"/>
      <c r="L154" s="34"/>
      <c r="M154" s="31"/>
      <c r="N154" s="31"/>
      <c r="O154" s="31"/>
      <c r="P154" s="35"/>
      <c r="Q154" s="35"/>
      <c r="R154" s="35"/>
      <c r="S154" s="36" t="str">
        <f t="shared" ca="1" si="8"/>
        <v/>
      </c>
      <c r="T154" s="29" t="str">
        <f t="shared" ca="1" si="9"/>
        <v/>
      </c>
      <c r="U154" s="30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7" t="str">
        <f>IFERROR(VLOOKUP(N154,Liste!$D$4:$E$10,2,FALSE),"")</f>
        <v/>
      </c>
    </row>
    <row r="155" spans="1:34" x14ac:dyDescent="0.35">
      <c r="A155" s="29" t="str">
        <f>Istruzioni!$B$4</f>
        <v>Catania</v>
      </c>
      <c r="B155" s="29" t="str">
        <f>Istruzioni!$B$5</f>
        <v>Sud</v>
      </c>
      <c r="C155" s="30"/>
      <c r="D155" s="30"/>
      <c r="E155" s="30"/>
      <c r="F155" s="31"/>
      <c r="G155" s="31"/>
      <c r="H155" s="31"/>
      <c r="I155" s="32"/>
      <c r="J155" s="33"/>
      <c r="K155" s="34"/>
      <c r="L155" s="34"/>
      <c r="M155" s="31"/>
      <c r="N155" s="31"/>
      <c r="O155" s="31"/>
      <c r="P155" s="35"/>
      <c r="Q155" s="35"/>
      <c r="R155" s="35"/>
      <c r="S155" s="36" t="str">
        <f t="shared" ca="1" si="8"/>
        <v/>
      </c>
      <c r="T155" s="29" t="str">
        <f t="shared" ca="1" si="9"/>
        <v/>
      </c>
      <c r="U155" s="30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7" t="str">
        <f>IFERROR(VLOOKUP(N155,Liste!$D$4:$E$10,2,FALSE),"")</f>
        <v/>
      </c>
    </row>
    <row r="156" spans="1:34" x14ac:dyDescent="0.35">
      <c r="A156" s="29" t="str">
        <f>Istruzioni!$B$4</f>
        <v>Catania</v>
      </c>
      <c r="B156" s="29" t="str">
        <f>Istruzioni!$B$5</f>
        <v>Sud</v>
      </c>
      <c r="C156" s="30"/>
      <c r="D156" s="30"/>
      <c r="E156" s="30"/>
      <c r="F156" s="31"/>
      <c r="G156" s="31"/>
      <c r="H156" s="31"/>
      <c r="I156" s="32"/>
      <c r="J156" s="33"/>
      <c r="K156" s="34"/>
      <c r="L156" s="34"/>
      <c r="M156" s="31"/>
      <c r="N156" s="31"/>
      <c r="O156" s="31"/>
      <c r="P156" s="35"/>
      <c r="Q156" s="35"/>
      <c r="R156" s="35"/>
      <c r="S156" s="36" t="str">
        <f t="shared" ca="1" si="8"/>
        <v/>
      </c>
      <c r="T156" s="29" t="str">
        <f t="shared" ca="1" si="9"/>
        <v/>
      </c>
      <c r="U156" s="30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7" t="str">
        <f>IFERROR(VLOOKUP(N156,Liste!$D$4:$E$10,2,FALSE),"")</f>
        <v/>
      </c>
    </row>
    <row r="157" spans="1:34" x14ac:dyDescent="0.35">
      <c r="A157" s="29" t="str">
        <f>Istruzioni!$B$4</f>
        <v>Catania</v>
      </c>
      <c r="B157" s="29" t="str">
        <f>Istruzioni!$B$5</f>
        <v>Sud</v>
      </c>
      <c r="C157" s="30"/>
      <c r="D157" s="30"/>
      <c r="E157" s="30"/>
      <c r="F157" s="31"/>
      <c r="G157" s="31"/>
      <c r="H157" s="31"/>
      <c r="I157" s="32"/>
      <c r="J157" s="33"/>
      <c r="K157" s="34"/>
      <c r="L157" s="34"/>
      <c r="M157" s="31"/>
      <c r="N157" s="31"/>
      <c r="O157" s="31"/>
      <c r="P157" s="35"/>
      <c r="Q157" s="35"/>
      <c r="R157" s="35"/>
      <c r="S157" s="36" t="str">
        <f t="shared" ca="1" si="8"/>
        <v/>
      </c>
      <c r="T157" s="29" t="str">
        <f t="shared" ca="1" si="9"/>
        <v/>
      </c>
      <c r="U157" s="30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7" t="str">
        <f>IFERROR(VLOOKUP(N157,Liste!$D$4:$E$10,2,FALSE),"")</f>
        <v/>
      </c>
    </row>
    <row r="158" spans="1:34" x14ac:dyDescent="0.35">
      <c r="A158" s="29" t="str">
        <f>Istruzioni!$B$4</f>
        <v>Catania</v>
      </c>
      <c r="B158" s="29" t="str">
        <f>Istruzioni!$B$5</f>
        <v>Sud</v>
      </c>
      <c r="C158" s="30"/>
      <c r="D158" s="30"/>
      <c r="E158" s="30"/>
      <c r="F158" s="31"/>
      <c r="G158" s="31"/>
      <c r="H158" s="31"/>
      <c r="I158" s="32"/>
      <c r="J158" s="33"/>
      <c r="K158" s="34"/>
      <c r="L158" s="34"/>
      <c r="M158" s="31"/>
      <c r="N158" s="31"/>
      <c r="O158" s="31"/>
      <c r="P158" s="35"/>
      <c r="Q158" s="35"/>
      <c r="R158" s="35"/>
      <c r="S158" s="36" t="str">
        <f t="shared" ca="1" si="8"/>
        <v/>
      </c>
      <c r="T158" s="29" t="str">
        <f t="shared" ca="1" si="9"/>
        <v/>
      </c>
      <c r="U158" s="30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7" t="str">
        <f>IFERROR(VLOOKUP(N158,Liste!$D$4:$E$10,2,FALSE),"")</f>
        <v/>
      </c>
    </row>
    <row r="159" spans="1:34" x14ac:dyDescent="0.35">
      <c r="A159" s="29" t="str">
        <f>Istruzioni!$B$4</f>
        <v>Catania</v>
      </c>
      <c r="B159" s="29" t="str">
        <f>Istruzioni!$B$5</f>
        <v>Sud</v>
      </c>
      <c r="C159" s="30"/>
      <c r="D159" s="30"/>
      <c r="E159" s="30"/>
      <c r="F159" s="31"/>
      <c r="G159" s="31"/>
      <c r="H159" s="31"/>
      <c r="I159" s="32"/>
      <c r="J159" s="33"/>
      <c r="K159" s="34"/>
      <c r="L159" s="34"/>
      <c r="M159" s="31"/>
      <c r="N159" s="31"/>
      <c r="O159" s="31"/>
      <c r="P159" s="35"/>
      <c r="Q159" s="35"/>
      <c r="R159" s="35"/>
      <c r="S159" s="36" t="str">
        <f t="shared" ca="1" si="8"/>
        <v/>
      </c>
      <c r="T159" s="29" t="str">
        <f t="shared" ca="1" si="9"/>
        <v/>
      </c>
      <c r="U159" s="30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7" t="str">
        <f>IFERROR(VLOOKUP(N159,Liste!$D$4:$E$10,2,FALSE),"")</f>
        <v/>
      </c>
    </row>
    <row r="160" spans="1:34" x14ac:dyDescent="0.35">
      <c r="A160" s="29" t="str">
        <f>Istruzioni!$B$4</f>
        <v>Catania</v>
      </c>
      <c r="B160" s="29" t="str">
        <f>Istruzioni!$B$5</f>
        <v>Sud</v>
      </c>
      <c r="C160" s="30"/>
      <c r="D160" s="30"/>
      <c r="E160" s="30"/>
      <c r="F160" s="31"/>
      <c r="G160" s="31"/>
      <c r="H160" s="31"/>
      <c r="I160" s="32"/>
      <c r="J160" s="33"/>
      <c r="K160" s="34"/>
      <c r="L160" s="34"/>
      <c r="M160" s="31"/>
      <c r="N160" s="31"/>
      <c r="O160" s="31"/>
      <c r="P160" s="35"/>
      <c r="Q160" s="35"/>
      <c r="R160" s="35"/>
      <c r="S160" s="36" t="str">
        <f t="shared" ca="1" si="8"/>
        <v/>
      </c>
      <c r="T160" s="29" t="str">
        <f t="shared" ca="1" si="9"/>
        <v/>
      </c>
      <c r="U160" s="30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7" t="str">
        <f>IFERROR(VLOOKUP(N160,Liste!$D$4:$E$10,2,FALSE),"")</f>
        <v/>
      </c>
    </row>
    <row r="161" spans="1:34" x14ac:dyDescent="0.35">
      <c r="A161" s="29" t="str">
        <f>Istruzioni!$B$4</f>
        <v>Catania</v>
      </c>
      <c r="B161" s="29" t="str">
        <f>Istruzioni!$B$5</f>
        <v>Sud</v>
      </c>
      <c r="C161" s="30"/>
      <c r="D161" s="30"/>
      <c r="E161" s="30"/>
      <c r="F161" s="31"/>
      <c r="G161" s="31"/>
      <c r="H161" s="31"/>
      <c r="I161" s="32"/>
      <c r="J161" s="33"/>
      <c r="K161" s="34"/>
      <c r="L161" s="34"/>
      <c r="M161" s="31"/>
      <c r="N161" s="31"/>
      <c r="O161" s="31"/>
      <c r="P161" s="35"/>
      <c r="Q161" s="35"/>
      <c r="R161" s="35"/>
      <c r="S161" s="36" t="str">
        <f t="shared" ca="1" si="8"/>
        <v/>
      </c>
      <c r="T161" s="29" t="str">
        <f t="shared" ca="1" si="9"/>
        <v/>
      </c>
      <c r="U161" s="30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7" t="str">
        <f>IFERROR(VLOOKUP(N161,Liste!$D$4:$E$10,2,FALSE),"")</f>
        <v/>
      </c>
    </row>
    <row r="162" spans="1:34" x14ac:dyDescent="0.35">
      <c r="A162" s="29" t="str">
        <f>Istruzioni!$B$4</f>
        <v>Catania</v>
      </c>
      <c r="B162" s="29" t="str">
        <f>Istruzioni!$B$5</f>
        <v>Sud</v>
      </c>
      <c r="C162" s="30"/>
      <c r="D162" s="30"/>
      <c r="E162" s="30"/>
      <c r="F162" s="31"/>
      <c r="G162" s="31"/>
      <c r="H162" s="31"/>
      <c r="I162" s="32"/>
      <c r="J162" s="33"/>
      <c r="K162" s="34"/>
      <c r="L162" s="34"/>
      <c r="M162" s="31"/>
      <c r="N162" s="31"/>
      <c r="O162" s="31"/>
      <c r="P162" s="35"/>
      <c r="Q162" s="35"/>
      <c r="R162" s="35"/>
      <c r="S162" s="36" t="str">
        <f t="shared" ca="1" si="8"/>
        <v/>
      </c>
      <c r="T162" s="29" t="str">
        <f t="shared" ca="1" si="9"/>
        <v/>
      </c>
      <c r="U162" s="30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7" t="str">
        <f>IFERROR(VLOOKUP(N162,Liste!$D$4:$E$10,2,FALSE),"")</f>
        <v/>
      </c>
    </row>
    <row r="163" spans="1:34" x14ac:dyDescent="0.35">
      <c r="A163" s="29" t="str">
        <f>Istruzioni!$B$4</f>
        <v>Catania</v>
      </c>
      <c r="B163" s="29" t="str">
        <f>Istruzioni!$B$5</f>
        <v>Sud</v>
      </c>
      <c r="C163" s="30"/>
      <c r="D163" s="30"/>
      <c r="E163" s="30"/>
      <c r="F163" s="31"/>
      <c r="G163" s="31"/>
      <c r="H163" s="31"/>
      <c r="I163" s="32"/>
      <c r="J163" s="33"/>
      <c r="K163" s="34"/>
      <c r="L163" s="34"/>
      <c r="M163" s="31"/>
      <c r="N163" s="31"/>
      <c r="O163" s="31"/>
      <c r="P163" s="35"/>
      <c r="Q163" s="35"/>
      <c r="R163" s="35"/>
      <c r="S163" s="36" t="str">
        <f t="shared" ca="1" si="8"/>
        <v/>
      </c>
      <c r="T163" s="29" t="str">
        <f t="shared" ca="1" si="9"/>
        <v/>
      </c>
      <c r="U163" s="30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7" t="str">
        <f>IFERROR(VLOOKUP(N163,Liste!$D$4:$E$10,2,FALSE),"")</f>
        <v/>
      </c>
    </row>
    <row r="164" spans="1:34" x14ac:dyDescent="0.35">
      <c r="A164" s="29" t="str">
        <f>Istruzioni!$B$4</f>
        <v>Catania</v>
      </c>
      <c r="B164" s="29" t="str">
        <f>Istruzioni!$B$5</f>
        <v>Sud</v>
      </c>
      <c r="C164" s="30"/>
      <c r="D164" s="30"/>
      <c r="E164" s="30"/>
      <c r="F164" s="31"/>
      <c r="G164" s="31"/>
      <c r="H164" s="31"/>
      <c r="I164" s="32"/>
      <c r="J164" s="33"/>
      <c r="K164" s="34"/>
      <c r="L164" s="34"/>
      <c r="M164" s="31"/>
      <c r="N164" s="31"/>
      <c r="O164" s="31"/>
      <c r="P164" s="35"/>
      <c r="Q164" s="35"/>
      <c r="R164" s="35"/>
      <c r="S164" s="36" t="str">
        <f t="shared" ca="1" si="8"/>
        <v/>
      </c>
      <c r="T164" s="29" t="str">
        <f t="shared" ca="1" si="9"/>
        <v/>
      </c>
      <c r="U164" s="30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7" t="str">
        <f>IFERROR(VLOOKUP(N164,Liste!$D$4:$E$10,2,FALSE),"")</f>
        <v/>
      </c>
    </row>
    <row r="165" spans="1:34" x14ac:dyDescent="0.35">
      <c r="A165" s="29" t="str">
        <f>Istruzioni!$B$4</f>
        <v>Catania</v>
      </c>
      <c r="B165" s="29" t="str">
        <f>Istruzioni!$B$5</f>
        <v>Sud</v>
      </c>
      <c r="C165" s="30"/>
      <c r="D165" s="30"/>
      <c r="E165" s="30"/>
      <c r="F165" s="31"/>
      <c r="G165" s="31"/>
      <c r="H165" s="31"/>
      <c r="I165" s="32"/>
      <c r="J165" s="33"/>
      <c r="K165" s="34"/>
      <c r="L165" s="34"/>
      <c r="M165" s="31"/>
      <c r="N165" s="31"/>
      <c r="O165" s="31"/>
      <c r="P165" s="35"/>
      <c r="Q165" s="35"/>
      <c r="R165" s="35"/>
      <c r="S165" s="36" t="str">
        <f t="shared" ref="S165:S196" ca="1" si="10">IF(OR(Q165="",M165="Completato",M165="Perso"),"",MAX(TODAY()-Q165,0))</f>
        <v/>
      </c>
      <c r="T165" s="29" t="str">
        <f t="shared" ref="T165:T196" ca="1" si="11">IF(OR(Q165="",M165="Completato",M165="Perso"),"",IF(Q165&lt;TODAY(),"In ritardo",IF(Q165&lt;=TODAY()+30,"In scadenza","On track")))</f>
        <v/>
      </c>
      <c r="U165" s="30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7" t="str">
        <f>IFERROR(VLOOKUP(N165,Liste!$D$4:$E$10,2,FALSE),"")</f>
        <v/>
      </c>
    </row>
    <row r="166" spans="1:34" x14ac:dyDescent="0.35">
      <c r="A166" s="29" t="str">
        <f>Istruzioni!$B$4</f>
        <v>Catania</v>
      </c>
      <c r="B166" s="29" t="str">
        <f>Istruzioni!$B$5</f>
        <v>Sud</v>
      </c>
      <c r="C166" s="30"/>
      <c r="D166" s="30"/>
      <c r="E166" s="30"/>
      <c r="F166" s="31"/>
      <c r="G166" s="31"/>
      <c r="H166" s="31"/>
      <c r="I166" s="32"/>
      <c r="J166" s="33"/>
      <c r="K166" s="34"/>
      <c r="L166" s="34"/>
      <c r="M166" s="31"/>
      <c r="N166" s="31"/>
      <c r="O166" s="31"/>
      <c r="P166" s="35"/>
      <c r="Q166" s="35"/>
      <c r="R166" s="35"/>
      <c r="S166" s="36" t="str">
        <f t="shared" ca="1" si="10"/>
        <v/>
      </c>
      <c r="T166" s="29" t="str">
        <f t="shared" ca="1" si="11"/>
        <v/>
      </c>
      <c r="U166" s="30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7" t="str">
        <f>IFERROR(VLOOKUP(N166,Liste!$D$4:$E$10,2,FALSE),"")</f>
        <v/>
      </c>
    </row>
    <row r="167" spans="1:34" x14ac:dyDescent="0.35">
      <c r="A167" s="29" t="str">
        <f>Istruzioni!$B$4</f>
        <v>Catania</v>
      </c>
      <c r="B167" s="29" t="str">
        <f>Istruzioni!$B$5</f>
        <v>Sud</v>
      </c>
      <c r="C167" s="30"/>
      <c r="D167" s="30"/>
      <c r="E167" s="30"/>
      <c r="F167" s="31"/>
      <c r="G167" s="31"/>
      <c r="H167" s="31"/>
      <c r="I167" s="32"/>
      <c r="J167" s="33"/>
      <c r="K167" s="34"/>
      <c r="L167" s="34"/>
      <c r="M167" s="31"/>
      <c r="N167" s="31"/>
      <c r="O167" s="31"/>
      <c r="P167" s="35"/>
      <c r="Q167" s="35"/>
      <c r="R167" s="35"/>
      <c r="S167" s="36" t="str">
        <f t="shared" ca="1" si="10"/>
        <v/>
      </c>
      <c r="T167" s="29" t="str">
        <f t="shared" ca="1" si="11"/>
        <v/>
      </c>
      <c r="U167" s="30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7" t="str">
        <f>IFERROR(VLOOKUP(N167,Liste!$D$4:$E$10,2,FALSE),"")</f>
        <v/>
      </c>
    </row>
    <row r="168" spans="1:34" x14ac:dyDescent="0.35">
      <c r="A168" s="29" t="str">
        <f>Istruzioni!$B$4</f>
        <v>Catania</v>
      </c>
      <c r="B168" s="29" t="str">
        <f>Istruzioni!$B$5</f>
        <v>Sud</v>
      </c>
      <c r="C168" s="30"/>
      <c r="D168" s="30"/>
      <c r="E168" s="30"/>
      <c r="F168" s="31"/>
      <c r="G168" s="31"/>
      <c r="H168" s="31"/>
      <c r="I168" s="32"/>
      <c r="J168" s="33"/>
      <c r="K168" s="34"/>
      <c r="L168" s="34"/>
      <c r="M168" s="31"/>
      <c r="N168" s="31"/>
      <c r="O168" s="31"/>
      <c r="P168" s="35"/>
      <c r="Q168" s="35"/>
      <c r="R168" s="35"/>
      <c r="S168" s="36" t="str">
        <f t="shared" ca="1" si="10"/>
        <v/>
      </c>
      <c r="T168" s="29" t="str">
        <f t="shared" ca="1" si="11"/>
        <v/>
      </c>
      <c r="U168" s="30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7" t="str">
        <f>IFERROR(VLOOKUP(N168,Liste!$D$4:$E$10,2,FALSE),"")</f>
        <v/>
      </c>
    </row>
    <row r="169" spans="1:34" x14ac:dyDescent="0.35">
      <c r="A169" s="29" t="str">
        <f>Istruzioni!$B$4</f>
        <v>Catania</v>
      </c>
      <c r="B169" s="29" t="str">
        <f>Istruzioni!$B$5</f>
        <v>Sud</v>
      </c>
      <c r="C169" s="30"/>
      <c r="D169" s="30"/>
      <c r="E169" s="30"/>
      <c r="F169" s="31"/>
      <c r="G169" s="31"/>
      <c r="H169" s="31"/>
      <c r="I169" s="32"/>
      <c r="J169" s="33"/>
      <c r="K169" s="34"/>
      <c r="L169" s="34"/>
      <c r="M169" s="31"/>
      <c r="N169" s="31"/>
      <c r="O169" s="31"/>
      <c r="P169" s="35"/>
      <c r="Q169" s="35"/>
      <c r="R169" s="35"/>
      <c r="S169" s="36" t="str">
        <f t="shared" ca="1" si="10"/>
        <v/>
      </c>
      <c r="T169" s="29" t="str">
        <f t="shared" ca="1" si="11"/>
        <v/>
      </c>
      <c r="U169" s="30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7" t="str">
        <f>IFERROR(VLOOKUP(N169,Liste!$D$4:$E$10,2,FALSE),"")</f>
        <v/>
      </c>
    </row>
    <row r="170" spans="1:34" x14ac:dyDescent="0.35">
      <c r="A170" s="29" t="str">
        <f>Istruzioni!$B$4</f>
        <v>Catania</v>
      </c>
      <c r="B170" s="29" t="str">
        <f>Istruzioni!$B$5</f>
        <v>Sud</v>
      </c>
      <c r="C170" s="30"/>
      <c r="D170" s="30"/>
      <c r="E170" s="30"/>
      <c r="F170" s="31"/>
      <c r="G170" s="31"/>
      <c r="H170" s="31"/>
      <c r="I170" s="32"/>
      <c r="J170" s="33"/>
      <c r="K170" s="34"/>
      <c r="L170" s="34"/>
      <c r="M170" s="31"/>
      <c r="N170" s="31"/>
      <c r="O170" s="31"/>
      <c r="P170" s="35"/>
      <c r="Q170" s="35"/>
      <c r="R170" s="35"/>
      <c r="S170" s="36" t="str">
        <f t="shared" ca="1" si="10"/>
        <v/>
      </c>
      <c r="T170" s="29" t="str">
        <f t="shared" ca="1" si="11"/>
        <v/>
      </c>
      <c r="U170" s="30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7" t="str">
        <f>IFERROR(VLOOKUP(N170,Liste!$D$4:$E$10,2,FALSE),"")</f>
        <v/>
      </c>
    </row>
    <row r="171" spans="1:34" x14ac:dyDescent="0.35">
      <c r="A171" s="29" t="str">
        <f>Istruzioni!$B$4</f>
        <v>Catania</v>
      </c>
      <c r="B171" s="29" t="str">
        <f>Istruzioni!$B$5</f>
        <v>Sud</v>
      </c>
      <c r="C171" s="30"/>
      <c r="D171" s="30"/>
      <c r="E171" s="30"/>
      <c r="F171" s="31"/>
      <c r="G171" s="31"/>
      <c r="H171" s="31"/>
      <c r="I171" s="32"/>
      <c r="J171" s="33"/>
      <c r="K171" s="34"/>
      <c r="L171" s="34"/>
      <c r="M171" s="31"/>
      <c r="N171" s="31"/>
      <c r="O171" s="31"/>
      <c r="P171" s="35"/>
      <c r="Q171" s="35"/>
      <c r="R171" s="35"/>
      <c r="S171" s="36" t="str">
        <f t="shared" ca="1" si="10"/>
        <v/>
      </c>
      <c r="T171" s="29" t="str">
        <f t="shared" ca="1" si="11"/>
        <v/>
      </c>
      <c r="U171" s="30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7" t="str">
        <f>IFERROR(VLOOKUP(N171,Liste!$D$4:$E$10,2,FALSE),"")</f>
        <v/>
      </c>
    </row>
    <row r="172" spans="1:34" x14ac:dyDescent="0.35">
      <c r="A172" s="29" t="str">
        <f>Istruzioni!$B$4</f>
        <v>Catania</v>
      </c>
      <c r="B172" s="29" t="str">
        <f>Istruzioni!$B$5</f>
        <v>Sud</v>
      </c>
      <c r="C172" s="30"/>
      <c r="D172" s="30"/>
      <c r="E172" s="30"/>
      <c r="F172" s="31"/>
      <c r="G172" s="31"/>
      <c r="H172" s="31"/>
      <c r="I172" s="32"/>
      <c r="J172" s="33"/>
      <c r="K172" s="34"/>
      <c r="L172" s="34"/>
      <c r="M172" s="31"/>
      <c r="N172" s="31"/>
      <c r="O172" s="31"/>
      <c r="P172" s="35"/>
      <c r="Q172" s="35"/>
      <c r="R172" s="35"/>
      <c r="S172" s="36" t="str">
        <f t="shared" ca="1" si="10"/>
        <v/>
      </c>
      <c r="T172" s="29" t="str">
        <f t="shared" ca="1" si="11"/>
        <v/>
      </c>
      <c r="U172" s="30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7" t="str">
        <f>IFERROR(VLOOKUP(N172,Liste!$D$4:$E$10,2,FALSE),"")</f>
        <v/>
      </c>
    </row>
    <row r="173" spans="1:34" x14ac:dyDescent="0.35">
      <c r="A173" s="29" t="str">
        <f>Istruzioni!$B$4</f>
        <v>Catania</v>
      </c>
      <c r="B173" s="29" t="str">
        <f>Istruzioni!$B$5</f>
        <v>Sud</v>
      </c>
      <c r="C173" s="30"/>
      <c r="D173" s="30"/>
      <c r="E173" s="30"/>
      <c r="F173" s="31"/>
      <c r="G173" s="31"/>
      <c r="H173" s="31"/>
      <c r="I173" s="32"/>
      <c r="J173" s="33"/>
      <c r="K173" s="34"/>
      <c r="L173" s="34"/>
      <c r="M173" s="31"/>
      <c r="N173" s="31"/>
      <c r="O173" s="31"/>
      <c r="P173" s="35"/>
      <c r="Q173" s="35"/>
      <c r="R173" s="35"/>
      <c r="S173" s="36" t="str">
        <f t="shared" ca="1" si="10"/>
        <v/>
      </c>
      <c r="T173" s="29" t="str">
        <f t="shared" ca="1" si="11"/>
        <v/>
      </c>
      <c r="U173" s="30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7" t="str">
        <f>IFERROR(VLOOKUP(N173,Liste!$D$4:$E$10,2,FALSE),"")</f>
        <v/>
      </c>
    </row>
    <row r="174" spans="1:34" x14ac:dyDescent="0.35">
      <c r="A174" s="29" t="str">
        <f>Istruzioni!$B$4</f>
        <v>Catania</v>
      </c>
      <c r="B174" s="29" t="str">
        <f>Istruzioni!$B$5</f>
        <v>Sud</v>
      </c>
      <c r="C174" s="30"/>
      <c r="D174" s="30"/>
      <c r="E174" s="30"/>
      <c r="F174" s="31"/>
      <c r="G174" s="31"/>
      <c r="H174" s="31"/>
      <c r="I174" s="32"/>
      <c r="J174" s="33"/>
      <c r="K174" s="34"/>
      <c r="L174" s="34"/>
      <c r="M174" s="31"/>
      <c r="N174" s="31"/>
      <c r="O174" s="31"/>
      <c r="P174" s="35"/>
      <c r="Q174" s="35"/>
      <c r="R174" s="35"/>
      <c r="S174" s="36" t="str">
        <f t="shared" ca="1" si="10"/>
        <v/>
      </c>
      <c r="T174" s="29" t="str">
        <f t="shared" ca="1" si="11"/>
        <v/>
      </c>
      <c r="U174" s="30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7" t="str">
        <f>IFERROR(VLOOKUP(N174,Liste!$D$4:$E$10,2,FALSE),"")</f>
        <v/>
      </c>
    </row>
    <row r="175" spans="1:34" x14ac:dyDescent="0.35">
      <c r="A175" s="29" t="str">
        <f>Istruzioni!$B$4</f>
        <v>Catania</v>
      </c>
      <c r="B175" s="29" t="str">
        <f>Istruzioni!$B$5</f>
        <v>Sud</v>
      </c>
      <c r="C175" s="30"/>
      <c r="D175" s="30"/>
      <c r="E175" s="30"/>
      <c r="F175" s="31"/>
      <c r="G175" s="31"/>
      <c r="H175" s="31"/>
      <c r="I175" s="32"/>
      <c r="J175" s="33"/>
      <c r="K175" s="34"/>
      <c r="L175" s="34"/>
      <c r="M175" s="31"/>
      <c r="N175" s="31"/>
      <c r="O175" s="31"/>
      <c r="P175" s="35"/>
      <c r="Q175" s="35"/>
      <c r="R175" s="35"/>
      <c r="S175" s="36" t="str">
        <f t="shared" ca="1" si="10"/>
        <v/>
      </c>
      <c r="T175" s="29" t="str">
        <f t="shared" ca="1" si="11"/>
        <v/>
      </c>
      <c r="U175" s="30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7" t="str">
        <f>IFERROR(VLOOKUP(N175,Liste!$D$4:$E$10,2,FALSE),"")</f>
        <v/>
      </c>
    </row>
    <row r="176" spans="1:34" x14ac:dyDescent="0.35">
      <c r="A176" s="29" t="str">
        <f>Istruzioni!$B$4</f>
        <v>Catania</v>
      </c>
      <c r="B176" s="29" t="str">
        <f>Istruzioni!$B$5</f>
        <v>Sud</v>
      </c>
      <c r="C176" s="30"/>
      <c r="D176" s="30"/>
      <c r="E176" s="30"/>
      <c r="F176" s="31"/>
      <c r="G176" s="31"/>
      <c r="H176" s="31"/>
      <c r="I176" s="32"/>
      <c r="J176" s="33"/>
      <c r="K176" s="34"/>
      <c r="L176" s="34"/>
      <c r="M176" s="31"/>
      <c r="N176" s="31"/>
      <c r="O176" s="31"/>
      <c r="P176" s="35"/>
      <c r="Q176" s="35"/>
      <c r="R176" s="35"/>
      <c r="S176" s="36" t="str">
        <f t="shared" ca="1" si="10"/>
        <v/>
      </c>
      <c r="T176" s="29" t="str">
        <f t="shared" ca="1" si="11"/>
        <v/>
      </c>
      <c r="U176" s="30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7" t="str">
        <f>IFERROR(VLOOKUP(N176,Liste!$D$4:$E$10,2,FALSE),"")</f>
        <v/>
      </c>
    </row>
    <row r="177" spans="1:34" x14ac:dyDescent="0.35">
      <c r="A177" s="29" t="str">
        <f>Istruzioni!$B$4</f>
        <v>Catania</v>
      </c>
      <c r="B177" s="29" t="str">
        <f>Istruzioni!$B$5</f>
        <v>Sud</v>
      </c>
      <c r="C177" s="30"/>
      <c r="D177" s="30"/>
      <c r="E177" s="30"/>
      <c r="F177" s="31"/>
      <c r="G177" s="31"/>
      <c r="H177" s="31"/>
      <c r="I177" s="32"/>
      <c r="J177" s="33"/>
      <c r="K177" s="34"/>
      <c r="L177" s="34"/>
      <c r="M177" s="31"/>
      <c r="N177" s="31"/>
      <c r="O177" s="31"/>
      <c r="P177" s="35"/>
      <c r="Q177" s="35"/>
      <c r="R177" s="35"/>
      <c r="S177" s="36" t="str">
        <f t="shared" ca="1" si="10"/>
        <v/>
      </c>
      <c r="T177" s="29" t="str">
        <f t="shared" ca="1" si="11"/>
        <v/>
      </c>
      <c r="U177" s="30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7" t="str">
        <f>IFERROR(VLOOKUP(N177,Liste!$D$4:$E$10,2,FALSE),"")</f>
        <v/>
      </c>
    </row>
    <row r="178" spans="1:34" x14ac:dyDescent="0.35">
      <c r="A178" s="29" t="str">
        <f>Istruzioni!$B$4</f>
        <v>Catania</v>
      </c>
      <c r="B178" s="29" t="str">
        <f>Istruzioni!$B$5</f>
        <v>Sud</v>
      </c>
      <c r="C178" s="30"/>
      <c r="D178" s="30"/>
      <c r="E178" s="30"/>
      <c r="F178" s="31"/>
      <c r="G178" s="31"/>
      <c r="H178" s="31"/>
      <c r="I178" s="32"/>
      <c r="J178" s="33"/>
      <c r="K178" s="34"/>
      <c r="L178" s="34"/>
      <c r="M178" s="31"/>
      <c r="N178" s="31"/>
      <c r="O178" s="31"/>
      <c r="P178" s="35"/>
      <c r="Q178" s="35"/>
      <c r="R178" s="35"/>
      <c r="S178" s="36" t="str">
        <f t="shared" ca="1" si="10"/>
        <v/>
      </c>
      <c r="T178" s="29" t="str">
        <f t="shared" ca="1" si="11"/>
        <v/>
      </c>
      <c r="U178" s="30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7" t="str">
        <f>IFERROR(VLOOKUP(N178,Liste!$D$4:$E$10,2,FALSE),"")</f>
        <v/>
      </c>
    </row>
    <row r="179" spans="1:34" x14ac:dyDescent="0.35">
      <c r="A179" s="29" t="str">
        <f>Istruzioni!$B$4</f>
        <v>Catania</v>
      </c>
      <c r="B179" s="29" t="str">
        <f>Istruzioni!$B$5</f>
        <v>Sud</v>
      </c>
      <c r="C179" s="30"/>
      <c r="D179" s="30"/>
      <c r="E179" s="30"/>
      <c r="F179" s="31"/>
      <c r="G179" s="31"/>
      <c r="H179" s="31"/>
      <c r="I179" s="32"/>
      <c r="J179" s="33"/>
      <c r="K179" s="34"/>
      <c r="L179" s="34"/>
      <c r="M179" s="31"/>
      <c r="N179" s="31"/>
      <c r="O179" s="31"/>
      <c r="P179" s="35"/>
      <c r="Q179" s="35"/>
      <c r="R179" s="35"/>
      <c r="S179" s="36" t="str">
        <f t="shared" ca="1" si="10"/>
        <v/>
      </c>
      <c r="T179" s="29" t="str">
        <f t="shared" ca="1" si="11"/>
        <v/>
      </c>
      <c r="U179" s="30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7" t="str">
        <f>IFERROR(VLOOKUP(N179,Liste!$D$4:$E$10,2,FALSE),"")</f>
        <v/>
      </c>
    </row>
    <row r="180" spans="1:34" x14ac:dyDescent="0.35">
      <c r="A180" s="29" t="str">
        <f>Istruzioni!$B$4</f>
        <v>Catania</v>
      </c>
      <c r="B180" s="29" t="str">
        <f>Istruzioni!$B$5</f>
        <v>Sud</v>
      </c>
      <c r="C180" s="30"/>
      <c r="D180" s="30"/>
      <c r="E180" s="30"/>
      <c r="F180" s="31"/>
      <c r="G180" s="31"/>
      <c r="H180" s="31"/>
      <c r="I180" s="32"/>
      <c r="J180" s="33"/>
      <c r="K180" s="34"/>
      <c r="L180" s="34"/>
      <c r="M180" s="31"/>
      <c r="N180" s="31"/>
      <c r="O180" s="31"/>
      <c r="P180" s="35"/>
      <c r="Q180" s="35"/>
      <c r="R180" s="35"/>
      <c r="S180" s="36" t="str">
        <f t="shared" ca="1" si="10"/>
        <v/>
      </c>
      <c r="T180" s="29" t="str">
        <f t="shared" ca="1" si="11"/>
        <v/>
      </c>
      <c r="U180" s="30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7" t="str">
        <f>IFERROR(VLOOKUP(N180,Liste!$D$4:$E$10,2,FALSE),"")</f>
        <v/>
      </c>
    </row>
    <row r="181" spans="1:34" x14ac:dyDescent="0.35">
      <c r="A181" s="29" t="str">
        <f>Istruzioni!$B$4</f>
        <v>Catania</v>
      </c>
      <c r="B181" s="29" t="str">
        <f>Istruzioni!$B$5</f>
        <v>Sud</v>
      </c>
      <c r="C181" s="30"/>
      <c r="D181" s="30"/>
      <c r="E181" s="30"/>
      <c r="F181" s="31"/>
      <c r="G181" s="31"/>
      <c r="H181" s="31"/>
      <c r="I181" s="32"/>
      <c r="J181" s="33"/>
      <c r="K181" s="34"/>
      <c r="L181" s="34"/>
      <c r="M181" s="31"/>
      <c r="N181" s="31"/>
      <c r="O181" s="31"/>
      <c r="P181" s="35"/>
      <c r="Q181" s="35"/>
      <c r="R181" s="35"/>
      <c r="S181" s="36" t="str">
        <f t="shared" ca="1" si="10"/>
        <v/>
      </c>
      <c r="T181" s="29" t="str">
        <f t="shared" ca="1" si="11"/>
        <v/>
      </c>
      <c r="U181" s="30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7" t="str">
        <f>IFERROR(VLOOKUP(N181,Liste!$D$4:$E$10,2,FALSE),"")</f>
        <v/>
      </c>
    </row>
    <row r="182" spans="1:34" x14ac:dyDescent="0.35">
      <c r="A182" s="29" t="str">
        <f>Istruzioni!$B$4</f>
        <v>Catania</v>
      </c>
      <c r="B182" s="29" t="str">
        <f>Istruzioni!$B$5</f>
        <v>Sud</v>
      </c>
      <c r="C182" s="30"/>
      <c r="D182" s="30"/>
      <c r="E182" s="30"/>
      <c r="F182" s="31"/>
      <c r="G182" s="31"/>
      <c r="H182" s="31"/>
      <c r="I182" s="32"/>
      <c r="J182" s="33"/>
      <c r="K182" s="34"/>
      <c r="L182" s="34"/>
      <c r="M182" s="31"/>
      <c r="N182" s="31"/>
      <c r="O182" s="31"/>
      <c r="P182" s="35"/>
      <c r="Q182" s="35"/>
      <c r="R182" s="35"/>
      <c r="S182" s="36" t="str">
        <f t="shared" ca="1" si="10"/>
        <v/>
      </c>
      <c r="T182" s="29" t="str">
        <f t="shared" ca="1" si="11"/>
        <v/>
      </c>
      <c r="U182" s="30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7" t="str">
        <f>IFERROR(VLOOKUP(N182,Liste!$D$4:$E$10,2,FALSE),"")</f>
        <v/>
      </c>
    </row>
    <row r="183" spans="1:34" x14ac:dyDescent="0.35">
      <c r="A183" s="29" t="str">
        <f>Istruzioni!$B$4</f>
        <v>Catania</v>
      </c>
      <c r="B183" s="29" t="str">
        <f>Istruzioni!$B$5</f>
        <v>Sud</v>
      </c>
      <c r="C183" s="30"/>
      <c r="D183" s="30"/>
      <c r="E183" s="30"/>
      <c r="F183" s="31"/>
      <c r="G183" s="31"/>
      <c r="H183" s="31"/>
      <c r="I183" s="32"/>
      <c r="J183" s="33"/>
      <c r="K183" s="34"/>
      <c r="L183" s="34"/>
      <c r="M183" s="31"/>
      <c r="N183" s="31"/>
      <c r="O183" s="31"/>
      <c r="P183" s="35"/>
      <c r="Q183" s="35"/>
      <c r="R183" s="35"/>
      <c r="S183" s="36" t="str">
        <f t="shared" ca="1" si="10"/>
        <v/>
      </c>
      <c r="T183" s="29" t="str">
        <f t="shared" ca="1" si="11"/>
        <v/>
      </c>
      <c r="U183" s="30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7" t="str">
        <f>IFERROR(VLOOKUP(N183,Liste!$D$4:$E$10,2,FALSE),"")</f>
        <v/>
      </c>
    </row>
    <row r="184" spans="1:34" x14ac:dyDescent="0.35">
      <c r="A184" s="29" t="str">
        <f>Istruzioni!$B$4</f>
        <v>Catania</v>
      </c>
      <c r="B184" s="29" t="str">
        <f>Istruzioni!$B$5</f>
        <v>Sud</v>
      </c>
      <c r="C184" s="30"/>
      <c r="D184" s="30"/>
      <c r="E184" s="30"/>
      <c r="F184" s="31"/>
      <c r="G184" s="31"/>
      <c r="H184" s="31"/>
      <c r="I184" s="32"/>
      <c r="J184" s="33"/>
      <c r="K184" s="34"/>
      <c r="L184" s="34"/>
      <c r="M184" s="31"/>
      <c r="N184" s="31"/>
      <c r="O184" s="31"/>
      <c r="P184" s="35"/>
      <c r="Q184" s="35"/>
      <c r="R184" s="35"/>
      <c r="S184" s="36" t="str">
        <f t="shared" ca="1" si="10"/>
        <v/>
      </c>
      <c r="T184" s="29" t="str">
        <f t="shared" ca="1" si="11"/>
        <v/>
      </c>
      <c r="U184" s="30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7" t="str">
        <f>IFERROR(VLOOKUP(N184,Liste!$D$4:$E$10,2,FALSE),"")</f>
        <v/>
      </c>
    </row>
    <row r="185" spans="1:34" x14ac:dyDescent="0.35">
      <c r="A185" s="29" t="str">
        <f>Istruzioni!$B$4</f>
        <v>Catania</v>
      </c>
      <c r="B185" s="29" t="str">
        <f>Istruzioni!$B$5</f>
        <v>Sud</v>
      </c>
      <c r="C185" s="30"/>
      <c r="D185" s="30"/>
      <c r="E185" s="30"/>
      <c r="F185" s="31"/>
      <c r="G185" s="31"/>
      <c r="H185" s="31"/>
      <c r="I185" s="32"/>
      <c r="J185" s="33"/>
      <c r="K185" s="34"/>
      <c r="L185" s="34"/>
      <c r="M185" s="31"/>
      <c r="N185" s="31"/>
      <c r="O185" s="31"/>
      <c r="P185" s="35"/>
      <c r="Q185" s="35"/>
      <c r="R185" s="35"/>
      <c r="S185" s="36" t="str">
        <f t="shared" ca="1" si="10"/>
        <v/>
      </c>
      <c r="T185" s="29" t="str">
        <f t="shared" ca="1" si="11"/>
        <v/>
      </c>
      <c r="U185" s="30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7" t="str">
        <f>IFERROR(VLOOKUP(N185,Liste!$D$4:$E$10,2,FALSE),"")</f>
        <v/>
      </c>
    </row>
    <row r="186" spans="1:34" x14ac:dyDescent="0.35">
      <c r="A186" s="29" t="str">
        <f>Istruzioni!$B$4</f>
        <v>Catania</v>
      </c>
      <c r="B186" s="29" t="str">
        <f>Istruzioni!$B$5</f>
        <v>Sud</v>
      </c>
      <c r="C186" s="30"/>
      <c r="D186" s="30"/>
      <c r="E186" s="30"/>
      <c r="F186" s="31"/>
      <c r="G186" s="31"/>
      <c r="H186" s="31"/>
      <c r="I186" s="32"/>
      <c r="J186" s="33"/>
      <c r="K186" s="34"/>
      <c r="L186" s="34"/>
      <c r="M186" s="31"/>
      <c r="N186" s="31"/>
      <c r="O186" s="31"/>
      <c r="P186" s="35"/>
      <c r="Q186" s="35"/>
      <c r="R186" s="35"/>
      <c r="S186" s="36" t="str">
        <f t="shared" ca="1" si="10"/>
        <v/>
      </c>
      <c r="T186" s="29" t="str">
        <f t="shared" ca="1" si="11"/>
        <v/>
      </c>
      <c r="U186" s="30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7" t="str">
        <f>IFERROR(VLOOKUP(N186,Liste!$D$4:$E$10,2,FALSE),"")</f>
        <v/>
      </c>
    </row>
    <row r="187" spans="1:34" x14ac:dyDescent="0.35">
      <c r="A187" s="29" t="str">
        <f>Istruzioni!$B$4</f>
        <v>Catania</v>
      </c>
      <c r="B187" s="29" t="str">
        <f>Istruzioni!$B$5</f>
        <v>Sud</v>
      </c>
      <c r="C187" s="30"/>
      <c r="D187" s="30"/>
      <c r="E187" s="30"/>
      <c r="F187" s="31"/>
      <c r="G187" s="31"/>
      <c r="H187" s="31"/>
      <c r="I187" s="32"/>
      <c r="J187" s="33"/>
      <c r="K187" s="34"/>
      <c r="L187" s="34"/>
      <c r="M187" s="31"/>
      <c r="N187" s="31"/>
      <c r="O187" s="31"/>
      <c r="P187" s="35"/>
      <c r="Q187" s="35"/>
      <c r="R187" s="35"/>
      <c r="S187" s="36" t="str">
        <f t="shared" ca="1" si="10"/>
        <v/>
      </c>
      <c r="T187" s="29" t="str">
        <f t="shared" ca="1" si="11"/>
        <v/>
      </c>
      <c r="U187" s="30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7" t="str">
        <f>IFERROR(VLOOKUP(N187,Liste!$D$4:$E$10,2,FALSE),"")</f>
        <v/>
      </c>
    </row>
    <row r="188" spans="1:34" x14ac:dyDescent="0.35">
      <c r="A188" s="29" t="str">
        <f>Istruzioni!$B$4</f>
        <v>Catania</v>
      </c>
      <c r="B188" s="29" t="str">
        <f>Istruzioni!$B$5</f>
        <v>Sud</v>
      </c>
      <c r="C188" s="30"/>
      <c r="D188" s="30"/>
      <c r="E188" s="30"/>
      <c r="F188" s="31"/>
      <c r="G188" s="31"/>
      <c r="H188" s="31"/>
      <c r="I188" s="32"/>
      <c r="J188" s="33"/>
      <c r="K188" s="34"/>
      <c r="L188" s="34"/>
      <c r="M188" s="31"/>
      <c r="N188" s="31"/>
      <c r="O188" s="31"/>
      <c r="P188" s="35"/>
      <c r="Q188" s="35"/>
      <c r="R188" s="35"/>
      <c r="S188" s="36" t="str">
        <f t="shared" ca="1" si="10"/>
        <v/>
      </c>
      <c r="T188" s="29" t="str">
        <f t="shared" ca="1" si="11"/>
        <v/>
      </c>
      <c r="U188" s="30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7" t="str">
        <f>IFERROR(VLOOKUP(N188,Liste!$D$4:$E$10,2,FALSE),"")</f>
        <v/>
      </c>
    </row>
    <row r="189" spans="1:34" x14ac:dyDescent="0.35">
      <c r="A189" s="29" t="str">
        <f>Istruzioni!$B$4</f>
        <v>Catania</v>
      </c>
      <c r="B189" s="29" t="str">
        <f>Istruzioni!$B$5</f>
        <v>Sud</v>
      </c>
      <c r="C189" s="30"/>
      <c r="D189" s="30"/>
      <c r="E189" s="30"/>
      <c r="F189" s="31"/>
      <c r="G189" s="31"/>
      <c r="H189" s="31"/>
      <c r="I189" s="32"/>
      <c r="J189" s="33"/>
      <c r="K189" s="34"/>
      <c r="L189" s="34"/>
      <c r="M189" s="31"/>
      <c r="N189" s="31"/>
      <c r="O189" s="31"/>
      <c r="P189" s="35"/>
      <c r="Q189" s="35"/>
      <c r="R189" s="35"/>
      <c r="S189" s="36" t="str">
        <f t="shared" ca="1" si="10"/>
        <v/>
      </c>
      <c r="T189" s="29" t="str">
        <f t="shared" ca="1" si="11"/>
        <v/>
      </c>
      <c r="U189" s="30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7" t="str">
        <f>IFERROR(VLOOKUP(N189,Liste!$D$4:$E$10,2,FALSE),"")</f>
        <v/>
      </c>
    </row>
    <row r="190" spans="1:34" x14ac:dyDescent="0.35">
      <c r="A190" s="29" t="str">
        <f>Istruzioni!$B$4</f>
        <v>Catania</v>
      </c>
      <c r="B190" s="29" t="str">
        <f>Istruzioni!$B$5</f>
        <v>Sud</v>
      </c>
      <c r="C190" s="30"/>
      <c r="D190" s="30"/>
      <c r="E190" s="30"/>
      <c r="F190" s="31"/>
      <c r="G190" s="31"/>
      <c r="H190" s="31"/>
      <c r="I190" s="32"/>
      <c r="J190" s="33"/>
      <c r="K190" s="34"/>
      <c r="L190" s="34"/>
      <c r="M190" s="31"/>
      <c r="N190" s="31"/>
      <c r="O190" s="31"/>
      <c r="P190" s="35"/>
      <c r="Q190" s="35"/>
      <c r="R190" s="35"/>
      <c r="S190" s="36" t="str">
        <f t="shared" ca="1" si="10"/>
        <v/>
      </c>
      <c r="T190" s="29" t="str">
        <f t="shared" ca="1" si="11"/>
        <v/>
      </c>
      <c r="U190" s="30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7" t="str">
        <f>IFERROR(VLOOKUP(N190,Liste!$D$4:$E$10,2,FALSE),"")</f>
        <v/>
      </c>
    </row>
    <row r="191" spans="1:34" x14ac:dyDescent="0.35">
      <c r="A191" s="29" t="str">
        <f>Istruzioni!$B$4</f>
        <v>Catania</v>
      </c>
      <c r="B191" s="29" t="str">
        <f>Istruzioni!$B$5</f>
        <v>Sud</v>
      </c>
      <c r="C191" s="30"/>
      <c r="D191" s="30"/>
      <c r="E191" s="30"/>
      <c r="F191" s="31"/>
      <c r="G191" s="31"/>
      <c r="H191" s="31"/>
      <c r="I191" s="32"/>
      <c r="J191" s="33"/>
      <c r="K191" s="34"/>
      <c r="L191" s="34"/>
      <c r="M191" s="31"/>
      <c r="N191" s="31"/>
      <c r="O191" s="31"/>
      <c r="P191" s="35"/>
      <c r="Q191" s="35"/>
      <c r="R191" s="35"/>
      <c r="S191" s="36" t="str">
        <f t="shared" ca="1" si="10"/>
        <v/>
      </c>
      <c r="T191" s="29" t="str">
        <f t="shared" ca="1" si="11"/>
        <v/>
      </c>
      <c r="U191" s="30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7" t="str">
        <f>IFERROR(VLOOKUP(N191,Liste!$D$4:$E$10,2,FALSE),"")</f>
        <v/>
      </c>
    </row>
    <row r="192" spans="1:34" x14ac:dyDescent="0.35">
      <c r="A192" s="29" t="str">
        <f>Istruzioni!$B$4</f>
        <v>Catania</v>
      </c>
      <c r="B192" s="29" t="str">
        <f>Istruzioni!$B$5</f>
        <v>Sud</v>
      </c>
      <c r="C192" s="30"/>
      <c r="D192" s="30"/>
      <c r="E192" s="30"/>
      <c r="F192" s="31"/>
      <c r="G192" s="31"/>
      <c r="H192" s="31"/>
      <c r="I192" s="32"/>
      <c r="J192" s="33"/>
      <c r="K192" s="34"/>
      <c r="L192" s="34"/>
      <c r="M192" s="31"/>
      <c r="N192" s="31"/>
      <c r="O192" s="31"/>
      <c r="P192" s="35"/>
      <c r="Q192" s="35"/>
      <c r="R192" s="35"/>
      <c r="S192" s="36" t="str">
        <f t="shared" ca="1" si="10"/>
        <v/>
      </c>
      <c r="T192" s="29" t="str">
        <f t="shared" ca="1" si="11"/>
        <v/>
      </c>
      <c r="U192" s="30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7" t="str">
        <f>IFERROR(VLOOKUP(N192,Liste!$D$4:$E$10,2,FALSE),"")</f>
        <v/>
      </c>
    </row>
    <row r="193" spans="1:34" x14ac:dyDescent="0.35">
      <c r="A193" s="29" t="str">
        <f>Istruzioni!$B$4</f>
        <v>Catania</v>
      </c>
      <c r="B193" s="29" t="str">
        <f>Istruzioni!$B$5</f>
        <v>Sud</v>
      </c>
      <c r="C193" s="30"/>
      <c r="D193" s="30"/>
      <c r="E193" s="30"/>
      <c r="F193" s="31"/>
      <c r="G193" s="31"/>
      <c r="H193" s="31"/>
      <c r="I193" s="32"/>
      <c r="J193" s="33"/>
      <c r="K193" s="34"/>
      <c r="L193" s="34"/>
      <c r="M193" s="31"/>
      <c r="N193" s="31"/>
      <c r="O193" s="31"/>
      <c r="P193" s="35"/>
      <c r="Q193" s="35"/>
      <c r="R193" s="35"/>
      <c r="S193" s="36" t="str">
        <f t="shared" ca="1" si="10"/>
        <v/>
      </c>
      <c r="T193" s="29" t="str">
        <f t="shared" ca="1" si="11"/>
        <v/>
      </c>
      <c r="U193" s="30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7" t="str">
        <f>IFERROR(VLOOKUP(N193,Liste!$D$4:$E$10,2,FALSE),"")</f>
        <v/>
      </c>
    </row>
    <row r="194" spans="1:34" x14ac:dyDescent="0.35">
      <c r="A194" s="29" t="str">
        <f>Istruzioni!$B$4</f>
        <v>Catania</v>
      </c>
      <c r="B194" s="29" t="str">
        <f>Istruzioni!$B$5</f>
        <v>Sud</v>
      </c>
      <c r="C194" s="30"/>
      <c r="D194" s="30"/>
      <c r="E194" s="30"/>
      <c r="F194" s="31"/>
      <c r="G194" s="31"/>
      <c r="H194" s="31"/>
      <c r="I194" s="32"/>
      <c r="J194" s="33"/>
      <c r="K194" s="34"/>
      <c r="L194" s="34"/>
      <c r="M194" s="31"/>
      <c r="N194" s="31"/>
      <c r="O194" s="31"/>
      <c r="P194" s="35"/>
      <c r="Q194" s="35"/>
      <c r="R194" s="35"/>
      <c r="S194" s="36" t="str">
        <f t="shared" ca="1" si="10"/>
        <v/>
      </c>
      <c r="T194" s="29" t="str">
        <f t="shared" ca="1" si="11"/>
        <v/>
      </c>
      <c r="U194" s="30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7" t="str">
        <f>IFERROR(VLOOKUP(N194,Liste!$D$4:$E$10,2,FALSE),"")</f>
        <v/>
      </c>
    </row>
    <row r="195" spans="1:34" x14ac:dyDescent="0.35">
      <c r="A195" s="29" t="str">
        <f>Istruzioni!$B$4</f>
        <v>Catania</v>
      </c>
      <c r="B195" s="29" t="str">
        <f>Istruzioni!$B$5</f>
        <v>Sud</v>
      </c>
      <c r="C195" s="30"/>
      <c r="D195" s="30"/>
      <c r="E195" s="30"/>
      <c r="F195" s="31"/>
      <c r="G195" s="31"/>
      <c r="H195" s="31"/>
      <c r="I195" s="32"/>
      <c r="J195" s="33"/>
      <c r="K195" s="34"/>
      <c r="L195" s="34"/>
      <c r="M195" s="31"/>
      <c r="N195" s="31"/>
      <c r="O195" s="31"/>
      <c r="P195" s="35"/>
      <c r="Q195" s="35"/>
      <c r="R195" s="35"/>
      <c r="S195" s="36" t="str">
        <f t="shared" ca="1" si="10"/>
        <v/>
      </c>
      <c r="T195" s="29" t="str">
        <f t="shared" ca="1" si="11"/>
        <v/>
      </c>
      <c r="U195" s="30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7" t="str">
        <f>IFERROR(VLOOKUP(N195,Liste!$D$4:$E$10,2,FALSE),"")</f>
        <v/>
      </c>
    </row>
    <row r="196" spans="1:34" x14ac:dyDescent="0.35">
      <c r="A196" s="29" t="str">
        <f>Istruzioni!$B$4</f>
        <v>Catania</v>
      </c>
      <c r="B196" s="29" t="str">
        <f>Istruzioni!$B$5</f>
        <v>Sud</v>
      </c>
      <c r="C196" s="30"/>
      <c r="D196" s="30"/>
      <c r="E196" s="30"/>
      <c r="F196" s="31"/>
      <c r="G196" s="31"/>
      <c r="H196" s="31"/>
      <c r="I196" s="32"/>
      <c r="J196" s="33"/>
      <c r="K196" s="34"/>
      <c r="L196" s="34"/>
      <c r="M196" s="31"/>
      <c r="N196" s="31"/>
      <c r="O196" s="31"/>
      <c r="P196" s="35"/>
      <c r="Q196" s="35"/>
      <c r="R196" s="35"/>
      <c r="S196" s="36" t="str">
        <f t="shared" ca="1" si="10"/>
        <v/>
      </c>
      <c r="T196" s="29" t="str">
        <f t="shared" ca="1" si="11"/>
        <v/>
      </c>
      <c r="U196" s="30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7" t="str">
        <f>IFERROR(VLOOKUP(N196,Liste!$D$4:$E$10,2,FALSE),"")</f>
        <v/>
      </c>
    </row>
    <row r="197" spans="1:34" x14ac:dyDescent="0.35">
      <c r="A197" s="29" t="str">
        <f>Istruzioni!$B$4</f>
        <v>Catania</v>
      </c>
      <c r="B197" s="29" t="str">
        <f>Istruzioni!$B$5</f>
        <v>Sud</v>
      </c>
      <c r="C197" s="30"/>
      <c r="D197" s="30"/>
      <c r="E197" s="30"/>
      <c r="F197" s="31"/>
      <c r="G197" s="31"/>
      <c r="H197" s="31"/>
      <c r="I197" s="32"/>
      <c r="J197" s="33"/>
      <c r="K197" s="34"/>
      <c r="L197" s="34"/>
      <c r="M197" s="31"/>
      <c r="N197" s="31"/>
      <c r="O197" s="31"/>
      <c r="P197" s="35"/>
      <c r="Q197" s="35"/>
      <c r="R197" s="35"/>
      <c r="S197" s="36" t="str">
        <f t="shared" ref="S197:S204" ca="1" si="12">IF(OR(Q197="",M197="Completato",M197="Perso"),"",MAX(TODAY()-Q197,0))</f>
        <v/>
      </c>
      <c r="T197" s="29" t="str">
        <f t="shared" ref="T197:T204" ca="1" si="13">IF(OR(Q197="",M197="Completato",M197="Perso"),"",IF(Q197&lt;TODAY(),"In ritardo",IF(Q197&lt;=TODAY()+30,"In scadenza","On track")))</f>
        <v/>
      </c>
      <c r="U197" s="30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7" t="str">
        <f>IFERROR(VLOOKUP(N197,Liste!$D$4:$E$10,2,FALSE),"")</f>
        <v/>
      </c>
    </row>
    <row r="198" spans="1:34" x14ac:dyDescent="0.35">
      <c r="A198" s="29" t="str">
        <f>Istruzioni!$B$4</f>
        <v>Catania</v>
      </c>
      <c r="B198" s="29" t="str">
        <f>Istruzioni!$B$5</f>
        <v>Sud</v>
      </c>
      <c r="C198" s="30"/>
      <c r="D198" s="30"/>
      <c r="E198" s="30"/>
      <c r="F198" s="31"/>
      <c r="G198" s="31"/>
      <c r="H198" s="31"/>
      <c r="I198" s="32"/>
      <c r="J198" s="33"/>
      <c r="K198" s="34"/>
      <c r="L198" s="34"/>
      <c r="M198" s="31"/>
      <c r="N198" s="31"/>
      <c r="O198" s="31"/>
      <c r="P198" s="35"/>
      <c r="Q198" s="35"/>
      <c r="R198" s="35"/>
      <c r="S198" s="36" t="str">
        <f t="shared" ca="1" si="12"/>
        <v/>
      </c>
      <c r="T198" s="29" t="str">
        <f t="shared" ca="1" si="13"/>
        <v/>
      </c>
      <c r="U198" s="30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7" t="str">
        <f>IFERROR(VLOOKUP(N198,Liste!$D$4:$E$10,2,FALSE),"")</f>
        <v/>
      </c>
    </row>
    <row r="199" spans="1:34" x14ac:dyDescent="0.35">
      <c r="A199" s="29" t="str">
        <f>Istruzioni!$B$4</f>
        <v>Catania</v>
      </c>
      <c r="B199" s="29" t="str">
        <f>Istruzioni!$B$5</f>
        <v>Sud</v>
      </c>
      <c r="C199" s="30"/>
      <c r="D199" s="30"/>
      <c r="E199" s="30"/>
      <c r="F199" s="31"/>
      <c r="G199" s="31"/>
      <c r="H199" s="31"/>
      <c r="I199" s="32"/>
      <c r="J199" s="33"/>
      <c r="K199" s="34"/>
      <c r="L199" s="34"/>
      <c r="M199" s="31"/>
      <c r="N199" s="31"/>
      <c r="O199" s="31"/>
      <c r="P199" s="35"/>
      <c r="Q199" s="35"/>
      <c r="R199" s="35"/>
      <c r="S199" s="36" t="str">
        <f t="shared" ca="1" si="12"/>
        <v/>
      </c>
      <c r="T199" s="29" t="str">
        <f t="shared" ca="1" si="13"/>
        <v/>
      </c>
      <c r="U199" s="30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7" t="str">
        <f>IFERROR(VLOOKUP(N199,Liste!$D$4:$E$10,2,FALSE),"")</f>
        <v/>
      </c>
    </row>
    <row r="200" spans="1:34" x14ac:dyDescent="0.35">
      <c r="A200" s="29" t="str">
        <f>Istruzioni!$B$4</f>
        <v>Catania</v>
      </c>
      <c r="B200" s="29" t="str">
        <f>Istruzioni!$B$5</f>
        <v>Sud</v>
      </c>
      <c r="C200" s="30"/>
      <c r="D200" s="30"/>
      <c r="E200" s="30"/>
      <c r="F200" s="31"/>
      <c r="G200" s="31"/>
      <c r="H200" s="31"/>
      <c r="I200" s="32"/>
      <c r="J200" s="33"/>
      <c r="K200" s="34"/>
      <c r="L200" s="34"/>
      <c r="M200" s="31"/>
      <c r="N200" s="31"/>
      <c r="O200" s="31"/>
      <c r="P200" s="35"/>
      <c r="Q200" s="35"/>
      <c r="R200" s="35"/>
      <c r="S200" s="36" t="str">
        <f t="shared" ca="1" si="12"/>
        <v/>
      </c>
      <c r="T200" s="29" t="str">
        <f t="shared" ca="1" si="13"/>
        <v/>
      </c>
      <c r="U200" s="30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7" t="str">
        <f>IFERROR(VLOOKUP(N200,Liste!$D$4:$E$10,2,FALSE),"")</f>
        <v/>
      </c>
    </row>
    <row r="201" spans="1:34" x14ac:dyDescent="0.35">
      <c r="A201" s="29" t="str">
        <f>Istruzioni!$B$4</f>
        <v>Catania</v>
      </c>
      <c r="B201" s="29" t="str">
        <f>Istruzioni!$B$5</f>
        <v>Sud</v>
      </c>
      <c r="C201" s="30"/>
      <c r="D201" s="30"/>
      <c r="E201" s="30"/>
      <c r="F201" s="31"/>
      <c r="G201" s="31"/>
      <c r="H201" s="31"/>
      <c r="I201" s="32"/>
      <c r="J201" s="33"/>
      <c r="K201" s="34"/>
      <c r="L201" s="34"/>
      <c r="M201" s="31"/>
      <c r="N201" s="31"/>
      <c r="O201" s="31"/>
      <c r="P201" s="35"/>
      <c r="Q201" s="35"/>
      <c r="R201" s="35"/>
      <c r="S201" s="36" t="str">
        <f t="shared" ca="1" si="12"/>
        <v/>
      </c>
      <c r="T201" s="29" t="str">
        <f t="shared" ca="1" si="13"/>
        <v/>
      </c>
      <c r="U201" s="30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7" t="str">
        <f>IFERROR(VLOOKUP(N201,Liste!$D$4:$E$10,2,FALSE),"")</f>
        <v/>
      </c>
    </row>
    <row r="202" spans="1:34" x14ac:dyDescent="0.35">
      <c r="A202" s="29" t="str">
        <f>Istruzioni!$B$4</f>
        <v>Catania</v>
      </c>
      <c r="B202" s="29" t="str">
        <f>Istruzioni!$B$5</f>
        <v>Sud</v>
      </c>
      <c r="C202" s="30"/>
      <c r="D202" s="30"/>
      <c r="E202" s="30"/>
      <c r="F202" s="31"/>
      <c r="G202" s="31"/>
      <c r="H202" s="31"/>
      <c r="I202" s="32"/>
      <c r="J202" s="33"/>
      <c r="K202" s="34"/>
      <c r="L202" s="34"/>
      <c r="M202" s="31"/>
      <c r="N202" s="31"/>
      <c r="O202" s="31"/>
      <c r="P202" s="35"/>
      <c r="Q202" s="35"/>
      <c r="R202" s="35"/>
      <c r="S202" s="36" t="str">
        <f t="shared" ca="1" si="12"/>
        <v/>
      </c>
      <c r="T202" s="29" t="str">
        <f t="shared" ca="1" si="13"/>
        <v/>
      </c>
      <c r="U202" s="30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7" t="str">
        <f>IFERROR(VLOOKUP(N202,Liste!$D$4:$E$10,2,FALSE),"")</f>
        <v/>
      </c>
    </row>
    <row r="203" spans="1:34" x14ac:dyDescent="0.35">
      <c r="A203" s="29" t="str">
        <f>Istruzioni!$B$4</f>
        <v>Catania</v>
      </c>
      <c r="B203" s="29" t="str">
        <f>Istruzioni!$B$5</f>
        <v>Sud</v>
      </c>
      <c r="C203" s="30"/>
      <c r="D203" s="30"/>
      <c r="E203" s="30"/>
      <c r="F203" s="31"/>
      <c r="G203" s="31"/>
      <c r="H203" s="31"/>
      <c r="I203" s="32"/>
      <c r="J203" s="33"/>
      <c r="K203" s="34"/>
      <c r="L203" s="34"/>
      <c r="M203" s="31"/>
      <c r="N203" s="31"/>
      <c r="O203" s="31"/>
      <c r="P203" s="35"/>
      <c r="Q203" s="35"/>
      <c r="R203" s="35"/>
      <c r="S203" s="36" t="str">
        <f t="shared" ca="1" si="12"/>
        <v/>
      </c>
      <c r="T203" s="29" t="str">
        <f t="shared" ca="1" si="13"/>
        <v/>
      </c>
      <c r="U203" s="30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7" t="str">
        <f>IFERROR(VLOOKUP(N203,Liste!$D$4:$E$10,2,FALSE),"")</f>
        <v/>
      </c>
    </row>
    <row r="204" spans="1:34" x14ac:dyDescent="0.35">
      <c r="A204" s="29" t="str">
        <f>Istruzioni!$B$4</f>
        <v>Catania</v>
      </c>
      <c r="B204" s="29" t="str">
        <f>Istruzioni!$B$5</f>
        <v>Sud</v>
      </c>
      <c r="C204" s="30"/>
      <c r="D204" s="30"/>
      <c r="E204" s="30"/>
      <c r="F204" s="31"/>
      <c r="G204" s="31"/>
      <c r="H204" s="31"/>
      <c r="I204" s="32"/>
      <c r="J204" s="33"/>
      <c r="K204" s="34"/>
      <c r="L204" s="34"/>
      <c r="M204" s="31"/>
      <c r="N204" s="31"/>
      <c r="O204" s="31"/>
      <c r="P204" s="35"/>
      <c r="Q204" s="35"/>
      <c r="R204" s="35"/>
      <c r="S204" s="36" t="str">
        <f t="shared" ca="1" si="12"/>
        <v/>
      </c>
      <c r="T204" s="29" t="str">
        <f t="shared" ca="1" si="13"/>
        <v/>
      </c>
      <c r="U204" s="30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7" t="str">
        <f>IFERROR(VLOOKUP(N204,Liste!$D$4:$E$10,2,FALSE),"")</f>
        <v/>
      </c>
    </row>
  </sheetData>
  <autoFilter ref="A4:AH204" xr:uid="{00000000-0009-0000-0000-000002000000}"/>
  <conditionalFormatting sqref="S5:S204">
    <cfRule type="cellIs" dxfId="10" priority="4" operator="greaterThan">
      <formula>0</formula>
    </cfRule>
  </conditionalFormatting>
  <conditionalFormatting sqref="T5:T204">
    <cfRule type="expression" dxfId="9" priority="1">
      <formula>$T5="On track"</formula>
    </cfRule>
    <cfRule type="expression" dxfId="8" priority="2">
      <formula>$T5="In scadenza"</formula>
    </cfRule>
    <cfRule type="expression" dxfId="7" priority="3">
      <formula>$T5="In ritardo"</formula>
    </cfRule>
  </conditionalFormatting>
  <dataValidations count="2">
    <dataValidation type="decimal" allowBlank="1" sqref="J5:L204" xr:uid="{00000000-0002-0000-0200-000000000000}">
      <formula1>0</formula1>
      <formula2>1</formula2>
    </dataValidation>
    <dataValidation type="list" allowBlank="1" error="Seleziona una regione dalla lista." prompt="Scegli la regione." sqref="F5:F1000" xr:uid="{00000000-0002-0000-02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2000000}">
          <x14:formula1>
            <xm:f>IF($F5="","",INDIRECT(VLOOKUP($F5,GeoMappe!$A$2:$B$21,2,FALSE)))</xm:f>
          </x14:formula1>
          <xm:sqref>G5:G1000</xm:sqref>
        </x14:dataValidation>
        <x14:dataValidation type="list" allowBlank="1" error="Prima scegli una provincia in colonna F." prompt="Scegli il comune." xr:uid="{00000000-0002-0000-0200-000003000000}">
          <x14:formula1>
            <xm:f>IF($G5="","",INDIRECT(VLOOKUP($G5,GeoMappe!$D$2:$E$108,2,FALSE)))</xm:f>
          </x14:formula1>
          <xm:sqref>H5:H1000</xm:sqref>
        </x14:dataValidation>
        <x14:dataValidation type="list" allowBlank="1" showInputMessage="1" showErrorMessage="1" xr:uid="{33ECFAA0-3FA3-4C87-82AC-9770F6B00539}">
          <x14:formula1>
            <xm:f>Liste!$A$4:$A$8</xm:f>
          </x14:formula1>
          <xm:sqref>M5:M204</xm:sqref>
        </x14:dataValidation>
        <x14:dataValidation type="list" allowBlank="1" showInputMessage="1" showErrorMessage="1" xr:uid="{6B89576D-66F7-4CF1-B7E0-96E495557F2C}">
          <x14:formula1>
            <xm:f>Liste!$D$4:$D$10</xm:f>
          </x14:formula1>
          <xm:sqref>N5:N204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selection activeCell="E9" sqref="E9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22</v>
      </c>
    </row>
    <row r="3" spans="1:11" x14ac:dyDescent="0.35">
      <c r="A3" t="s">
        <v>23</v>
      </c>
      <c r="B3" t="s">
        <v>24</v>
      </c>
      <c r="D3" t="s">
        <v>25</v>
      </c>
      <c r="E3" t="s">
        <v>26</v>
      </c>
      <c r="G3" t="s">
        <v>27</v>
      </c>
      <c r="J3" t="s">
        <v>28</v>
      </c>
    </row>
    <row r="4" spans="1:11" x14ac:dyDescent="0.35">
      <c r="A4" t="s">
        <v>29</v>
      </c>
      <c r="B4" t="s">
        <v>30</v>
      </c>
      <c r="D4" t="s">
        <v>31</v>
      </c>
      <c r="E4" s="10">
        <v>0.1</v>
      </c>
      <c r="G4" t="s">
        <v>32</v>
      </c>
      <c r="J4" t="s">
        <v>31</v>
      </c>
      <c r="K4" s="16" t="s">
        <v>33</v>
      </c>
    </row>
    <row r="5" spans="1:11" x14ac:dyDescent="0.35">
      <c r="A5" t="s">
        <v>34</v>
      </c>
      <c r="B5" t="s">
        <v>35</v>
      </c>
      <c r="D5" t="s">
        <v>36</v>
      </c>
      <c r="E5" s="10">
        <v>0.25</v>
      </c>
      <c r="G5" t="s">
        <v>37</v>
      </c>
      <c r="J5" t="s">
        <v>36</v>
      </c>
      <c r="K5" s="17" t="s">
        <v>33</v>
      </c>
    </row>
    <row r="6" spans="1:11" x14ac:dyDescent="0.35">
      <c r="A6" t="s">
        <v>38</v>
      </c>
      <c r="B6" t="s">
        <v>39</v>
      </c>
      <c r="D6" t="s">
        <v>40</v>
      </c>
      <c r="E6" s="10">
        <v>0.45</v>
      </c>
      <c r="G6" t="s">
        <v>41</v>
      </c>
      <c r="J6" t="s">
        <v>40</v>
      </c>
      <c r="K6" s="18" t="s">
        <v>33</v>
      </c>
    </row>
    <row r="7" spans="1:11" x14ac:dyDescent="0.35">
      <c r="A7" t="s">
        <v>42</v>
      </c>
      <c r="B7" t="s">
        <v>43</v>
      </c>
      <c r="D7" t="s">
        <v>44</v>
      </c>
      <c r="E7" s="10">
        <v>0.6</v>
      </c>
      <c r="J7" t="s">
        <v>44</v>
      </c>
      <c r="K7" s="19" t="s">
        <v>33</v>
      </c>
    </row>
    <row r="8" spans="1:11" x14ac:dyDescent="0.35">
      <c r="A8" t="s">
        <v>45</v>
      </c>
      <c r="B8" t="s">
        <v>46</v>
      </c>
      <c r="D8" t="s">
        <v>47</v>
      </c>
      <c r="E8" s="10">
        <v>0.85</v>
      </c>
      <c r="J8" t="s">
        <v>47</v>
      </c>
      <c r="K8" s="20" t="s">
        <v>33</v>
      </c>
    </row>
    <row r="9" spans="1:11" x14ac:dyDescent="0.35">
      <c r="B9" t="s">
        <v>48</v>
      </c>
      <c r="D9" t="s">
        <v>49</v>
      </c>
      <c r="E9" s="10">
        <v>0.95</v>
      </c>
      <c r="J9" t="s">
        <v>49</v>
      </c>
      <c r="K9" s="21" t="s">
        <v>33</v>
      </c>
    </row>
    <row r="10" spans="1:11" x14ac:dyDescent="0.35">
      <c r="B10" t="s">
        <v>50</v>
      </c>
      <c r="D10" t="s">
        <v>51</v>
      </c>
      <c r="E10" s="10">
        <v>1</v>
      </c>
    </row>
    <row r="11" spans="1:11" x14ac:dyDescent="0.35">
      <c r="B11" t="s">
        <v>3</v>
      </c>
    </row>
    <row r="12" spans="1:11" x14ac:dyDescent="0.35">
      <c r="B12" t="s">
        <v>52</v>
      </c>
    </row>
    <row r="13" spans="1:11" x14ac:dyDescent="0.35">
      <c r="B13" t="s">
        <v>53</v>
      </c>
    </row>
    <row r="14" spans="1:11" x14ac:dyDescent="0.35">
      <c r="B14" t="s">
        <v>54</v>
      </c>
    </row>
    <row r="15" spans="1:11" x14ac:dyDescent="0.35">
      <c r="B15" t="s">
        <v>55</v>
      </c>
    </row>
    <row r="16" spans="1:11" x14ac:dyDescent="0.35">
      <c r="B16" t="s">
        <v>56</v>
      </c>
    </row>
    <row r="17" spans="2:2" x14ac:dyDescent="0.35">
      <c r="B17" t="s">
        <v>57</v>
      </c>
    </row>
    <row r="18" spans="2:2" x14ac:dyDescent="0.35">
      <c r="B18" t="s">
        <v>58</v>
      </c>
    </row>
    <row r="19" spans="2:2" x14ac:dyDescent="0.35">
      <c r="B19" t="s">
        <v>59</v>
      </c>
    </row>
    <row r="20" spans="2:2" x14ac:dyDescent="0.35">
      <c r="B20" t="s">
        <v>60</v>
      </c>
    </row>
    <row r="21" spans="2:2" x14ac:dyDescent="0.35">
      <c r="B21" t="s">
        <v>61</v>
      </c>
    </row>
    <row r="22" spans="2:2" x14ac:dyDescent="0.35">
      <c r="B22" t="s">
        <v>62</v>
      </c>
    </row>
    <row r="23" spans="2:2" x14ac:dyDescent="0.35">
      <c r="B23" t="s">
        <v>63</v>
      </c>
    </row>
    <row r="24" spans="2:2" x14ac:dyDescent="0.35">
      <c r="B24" t="s">
        <v>64</v>
      </c>
    </row>
    <row r="25" spans="2:2" x14ac:dyDescent="0.35">
      <c r="B25" t="s">
        <v>65</v>
      </c>
    </row>
    <row r="26" spans="2:2" x14ac:dyDescent="0.35">
      <c r="B26" t="s">
        <v>66</v>
      </c>
    </row>
    <row r="27" spans="2:2" x14ac:dyDescent="0.35">
      <c r="B27" t="s">
        <v>67</v>
      </c>
    </row>
    <row r="28" spans="2:2" x14ac:dyDescent="0.35">
      <c r="B28" t="s">
        <v>68</v>
      </c>
    </row>
    <row r="29" spans="2:2" x14ac:dyDescent="0.35">
      <c r="B29" t="s">
        <v>69</v>
      </c>
    </row>
    <row r="30" spans="2:2" x14ac:dyDescent="0.35">
      <c r="B30" t="s">
        <v>70</v>
      </c>
    </row>
    <row r="31" spans="2:2" x14ac:dyDescent="0.35">
      <c r="B31" t="s">
        <v>71</v>
      </c>
    </row>
    <row r="32" spans="2:2" x14ac:dyDescent="0.35">
      <c r="B32" t="s">
        <v>72</v>
      </c>
    </row>
    <row r="33" spans="2:2" x14ac:dyDescent="0.35">
      <c r="B33" t="s">
        <v>73</v>
      </c>
    </row>
    <row r="34" spans="2:2" x14ac:dyDescent="0.35">
      <c r="B34" t="s">
        <v>74</v>
      </c>
    </row>
    <row r="35" spans="2:2" x14ac:dyDescent="0.35">
      <c r="B35" t="s">
        <v>75</v>
      </c>
    </row>
    <row r="36" spans="2:2" x14ac:dyDescent="0.35">
      <c r="B36" t="s">
        <v>76</v>
      </c>
    </row>
    <row r="37" spans="2:2" x14ac:dyDescent="0.35">
      <c r="B37" t="s">
        <v>77</v>
      </c>
    </row>
    <row r="38" spans="2:2" x14ac:dyDescent="0.35">
      <c r="B38" t="s">
        <v>78</v>
      </c>
    </row>
    <row r="39" spans="2:2" x14ac:dyDescent="0.35">
      <c r="B39" t="s">
        <v>79</v>
      </c>
    </row>
    <row r="40" spans="2:2" x14ac:dyDescent="0.35">
      <c r="B40" t="s">
        <v>80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06"/>
  <sheetViews>
    <sheetView showGridLines="0" zoomScale="80" zoomScaleNormal="80" workbookViewId="0">
      <selection activeCell="C10" sqref="C10"/>
    </sheetView>
  </sheetViews>
  <sheetFormatPr defaultRowHeight="14.5" x14ac:dyDescent="0.35"/>
  <cols>
    <col min="1" max="2" width="14" customWidth="1"/>
    <col min="3" max="3" width="31.54296875" bestFit="1" customWidth="1"/>
    <col min="4" max="4" width="20" customWidth="1"/>
    <col min="5" max="5" width="19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84" width="9" customWidth="1"/>
  </cols>
  <sheetData>
    <row r="1" spans="1:84" ht="42" customHeight="1" x14ac:dyDescent="0.35">
      <c r="A1" s="42" t="s">
        <v>185</v>
      </c>
      <c r="B1" s="42"/>
    </row>
    <row r="2" spans="1:84" x14ac:dyDescent="0.35">
      <c r="A2" s="2" t="s">
        <v>186</v>
      </c>
      <c r="B2" s="2"/>
    </row>
    <row r="3" spans="1:84" x14ac:dyDescent="0.35">
      <c r="A3" t="s">
        <v>2</v>
      </c>
      <c r="C3" s="12" t="str">
        <f>Istruzioni!$B$4</f>
        <v>Catania</v>
      </c>
      <c r="D3" t="s">
        <v>187</v>
      </c>
      <c r="E3" s="41">
        <f>Istruzioni!$B$6</f>
        <v>2026</v>
      </c>
    </row>
    <row r="4" spans="1:84" x14ac:dyDescent="0.35">
      <c r="C4" s="12"/>
      <c r="E4" s="41"/>
    </row>
    <row r="6" spans="1:84" ht="22" customHeight="1" x14ac:dyDescent="0.35">
      <c r="A6" s="11" t="s">
        <v>83</v>
      </c>
      <c r="B6" s="11" t="s">
        <v>84</v>
      </c>
      <c r="C6" s="11" t="s">
        <v>85</v>
      </c>
      <c r="D6" s="11" t="s">
        <v>86</v>
      </c>
      <c r="E6" s="11" t="s">
        <v>87</v>
      </c>
      <c r="F6" s="11" t="s">
        <v>93</v>
      </c>
      <c r="G6" s="11" t="s">
        <v>188</v>
      </c>
      <c r="H6" s="11" t="s">
        <v>95</v>
      </c>
      <c r="I6" s="11" t="s">
        <v>189</v>
      </c>
      <c r="J6" s="11" t="s">
        <v>190</v>
      </c>
      <c r="K6" s="11" t="s">
        <v>191</v>
      </c>
      <c r="L6" s="11" t="s">
        <v>99</v>
      </c>
      <c r="M6" s="11" t="s">
        <v>192</v>
      </c>
      <c r="N6" s="11" t="s">
        <v>193</v>
      </c>
      <c r="O6" s="11" t="s">
        <v>194</v>
      </c>
      <c r="P6" s="11" t="s">
        <v>195</v>
      </c>
      <c r="Q6" s="11" t="s">
        <v>196</v>
      </c>
      <c r="R6" s="11" t="s">
        <v>197</v>
      </c>
      <c r="S6" s="11" t="s">
        <v>198</v>
      </c>
      <c r="T6" s="11" t="s">
        <v>199</v>
      </c>
      <c r="U6" s="11" t="s">
        <v>200</v>
      </c>
      <c r="V6" s="11" t="s">
        <v>201</v>
      </c>
      <c r="W6" s="11" t="s">
        <v>202</v>
      </c>
      <c r="X6" s="11" t="s">
        <v>203</v>
      </c>
      <c r="Y6" s="13">
        <f>DATE($E$3,1,1)</f>
        <v>46023</v>
      </c>
      <c r="Z6" s="13">
        <f>DATE($E$3,2,1)</f>
        <v>46054</v>
      </c>
      <c r="AA6" s="13">
        <f>DATE($E$3,3,1)</f>
        <v>46082</v>
      </c>
      <c r="AB6" s="13">
        <f>DATE($E$3,4,1)</f>
        <v>46113</v>
      </c>
      <c r="AC6" s="13">
        <f>DATE($E$3,5,1)</f>
        <v>46143</v>
      </c>
      <c r="AD6" s="13">
        <f>DATE($E$3,6,1)</f>
        <v>46174</v>
      </c>
      <c r="AE6" s="13">
        <f>DATE($E$3,7,1)</f>
        <v>46204</v>
      </c>
      <c r="AF6" s="13">
        <f>DATE($E$3,8,1)</f>
        <v>46235</v>
      </c>
      <c r="AG6" s="13">
        <f>DATE($E$3,9,1)</f>
        <v>46266</v>
      </c>
      <c r="AH6" s="13">
        <f>DATE($E$3,10,1)</f>
        <v>46296</v>
      </c>
      <c r="AI6" s="13">
        <f>DATE($E$3,11,1)</f>
        <v>46327</v>
      </c>
      <c r="AJ6" s="13">
        <f>DATE($E$3,12,1)</f>
        <v>46357</v>
      </c>
      <c r="AK6" s="13">
        <f>DATE($E$3,13,1)</f>
        <v>46388</v>
      </c>
      <c r="AL6" s="13">
        <f>DATE($E$3,14,1)</f>
        <v>46419</v>
      </c>
      <c r="AM6" s="13">
        <f>DATE($E$3,15,1)</f>
        <v>46447</v>
      </c>
      <c r="AN6" s="13">
        <f>DATE($E$3,16,1)</f>
        <v>46478</v>
      </c>
      <c r="AO6" s="13">
        <f>DATE($E$3,17,1)</f>
        <v>46508</v>
      </c>
      <c r="AP6" s="13">
        <f>DATE($E$3,18,1)</f>
        <v>46539</v>
      </c>
      <c r="AQ6" s="13">
        <f>DATE($E$3,19,1)</f>
        <v>46569</v>
      </c>
      <c r="AR6" s="13">
        <f>DATE($E$3,20,1)</f>
        <v>46600</v>
      </c>
      <c r="AS6" s="13">
        <f>DATE($E$3,21,1)</f>
        <v>46631</v>
      </c>
      <c r="AT6" s="13">
        <f>DATE($E$3,22,1)</f>
        <v>46661</v>
      </c>
      <c r="AU6" s="13">
        <f>DATE($E$3,23,1)</f>
        <v>46692</v>
      </c>
      <c r="AV6" s="13">
        <f>DATE($E$3,24,1)</f>
        <v>46722</v>
      </c>
      <c r="AW6" s="13">
        <f>DATE($E$3,25,1)</f>
        <v>46753</v>
      </c>
      <c r="AX6" s="13">
        <f>DATE($E$3,26,1)</f>
        <v>46784</v>
      </c>
      <c r="AY6" s="13">
        <f>DATE($E$3,27,1)</f>
        <v>46813</v>
      </c>
      <c r="AZ6" s="13">
        <f>DATE($E$3,28,1)</f>
        <v>46844</v>
      </c>
      <c r="BA6" s="13">
        <f>DATE($E$3,29,1)</f>
        <v>46874</v>
      </c>
      <c r="BB6" s="13">
        <f>DATE($E$3,30,1)</f>
        <v>46905</v>
      </c>
      <c r="BC6" s="13">
        <f>DATE($E$3,31,1)</f>
        <v>46935</v>
      </c>
      <c r="BD6" s="13">
        <f>DATE($E$3,32,1)</f>
        <v>46966</v>
      </c>
      <c r="BE6" s="13">
        <f>DATE($E$3,33,1)</f>
        <v>46997</v>
      </c>
      <c r="BF6" s="13">
        <f>DATE($E$3,34,1)</f>
        <v>47027</v>
      </c>
      <c r="BG6" s="13">
        <f>DATE($E$3,35,1)</f>
        <v>47058</v>
      </c>
      <c r="BH6" s="13">
        <f>DATE($E$3,36,1)</f>
        <v>47088</v>
      </c>
      <c r="BI6" s="13">
        <f>DATE($E$3,37,1)</f>
        <v>47119</v>
      </c>
      <c r="BJ6" s="13">
        <f>DATE($E$3,38,1)</f>
        <v>47150</v>
      </c>
      <c r="BK6" s="13">
        <f>DATE($E$3,39,1)</f>
        <v>47178</v>
      </c>
      <c r="BL6" s="13">
        <f>DATE($E$3,40,1)</f>
        <v>47209</v>
      </c>
      <c r="BM6" s="13">
        <f>DATE($E$3,41,1)</f>
        <v>47239</v>
      </c>
      <c r="BN6" s="13">
        <f>DATE($E$3,42,1)</f>
        <v>47270</v>
      </c>
      <c r="BO6" s="13">
        <f>DATE($E$3,43,1)</f>
        <v>47300</v>
      </c>
      <c r="BP6" s="13">
        <f>DATE($E$3,44,1)</f>
        <v>47331</v>
      </c>
      <c r="BQ6" s="13">
        <f>DATE($E$3,45,1)</f>
        <v>47362</v>
      </c>
      <c r="BR6" s="13">
        <f>DATE($E$3,46,1)</f>
        <v>47392</v>
      </c>
      <c r="BS6" s="13">
        <f>DATE($E$3,47,1)</f>
        <v>47423</v>
      </c>
      <c r="BT6" s="13">
        <f>DATE($E$3,48,1)</f>
        <v>47453</v>
      </c>
      <c r="BU6" s="13">
        <f>DATE($E$3,49,1)</f>
        <v>47484</v>
      </c>
      <c r="BV6" s="13">
        <f>DATE($E$3,50,1)</f>
        <v>47515</v>
      </c>
      <c r="BW6" s="13">
        <f>DATE($E$3,51,1)</f>
        <v>47543</v>
      </c>
      <c r="BX6" s="13">
        <f>DATE($E$3,52,1)</f>
        <v>47574</v>
      </c>
      <c r="BY6" s="13">
        <f>DATE($E$3,53,1)</f>
        <v>47604</v>
      </c>
      <c r="BZ6" s="13">
        <f>DATE($E$3,54,1)</f>
        <v>47635</v>
      </c>
      <c r="CA6" s="13">
        <f>DATE($E$3,55,1)</f>
        <v>47665</v>
      </c>
      <c r="CB6" s="13">
        <f>DATE($E$3,56,1)</f>
        <v>47696</v>
      </c>
      <c r="CC6" s="13">
        <f>DATE($E$3,57,1)</f>
        <v>47727</v>
      </c>
      <c r="CD6" s="13">
        <f>DATE($E$3,58,1)</f>
        <v>47757</v>
      </c>
      <c r="CE6" s="13">
        <f>DATE($E$3,59,1)</f>
        <v>47788</v>
      </c>
      <c r="CF6" s="13">
        <f>DATE($E$3,60,1)</f>
        <v>47818</v>
      </c>
    </row>
    <row r="7" spans="1:84" x14ac:dyDescent="0.35">
      <c r="A7" s="29" t="str">
        <f>IF(Progetti!E5="","",Progetti!A5)</f>
        <v>Catania</v>
      </c>
      <c r="B7" s="29" t="str">
        <f>IF(Progetti!F5="","",Progetti!B5)</f>
        <v>Sud</v>
      </c>
      <c r="C7" s="29" t="str">
        <f>IF(Progetti!E5="","",Progetti!C5)</f>
        <v>ALTOBRANDO SRL</v>
      </c>
      <c r="D7" s="29">
        <f>IF(Progetti!F5="","",Progetti!D5)</f>
        <v>0</v>
      </c>
      <c r="E7" s="29" t="str">
        <f>IF(Progetti!E5="","",Progetti!E5)</f>
        <v>Altobrando</v>
      </c>
      <c r="F7" s="40" t="str">
        <f>IF(Progetti!K5="","",Progetti!K5)</f>
        <v/>
      </c>
      <c r="G7" s="40" t="str">
        <f>IF(Progetti!L5="","",Progetti!L5)</f>
        <v/>
      </c>
      <c r="H7" s="29" t="str">
        <f>IF(Progetti!E5="","",Progetti!N5)</f>
        <v>Autorizzazioni</v>
      </c>
      <c r="I7" s="29" t="str">
        <f>IF(Progetti!E5="","",Progetti!M5)</f>
        <v>In pipeline</v>
      </c>
      <c r="J7" s="38">
        <f>IF(Progetti!E5="","",Progetti!I5)</f>
        <v>45</v>
      </c>
      <c r="K7" s="39" t="str">
        <f>IF(OR(Progetti!E5="",Progetti!Q5=""),"",Progetti!Q5)</f>
        <v/>
      </c>
      <c r="L7" s="39">
        <f>IF(OR(Progetti!E5="",Progetti!R5=""),"",Progetti!R5)</f>
        <v>46110</v>
      </c>
      <c r="M7" s="14" t="str">
        <f>IF(OR(Progetti!E5="",Progetti!V5=""),"",Progetti!V5)</f>
        <v/>
      </c>
      <c r="N7" s="14" t="str">
        <f>IF(OR(Progetti!E5="",Progetti!W5=""),"",Progetti!W5)</f>
        <v/>
      </c>
      <c r="O7" s="14" t="str">
        <f>IF(OR(Progetti!E5="",Progetti!X5=""),"",Progetti!X5)</f>
        <v/>
      </c>
      <c r="P7" s="14" t="str">
        <f>IF(OR(Progetti!E5="",Progetti!Y5=""),"",Progetti!Y5)</f>
        <v/>
      </c>
      <c r="Q7" s="14">
        <f>IF(OR(Progetti!E5="",Progetti!Z5=""),"",Progetti!Z5)</f>
        <v>46108</v>
      </c>
      <c r="R7" s="14">
        <f>IF(OR(Progetti!E5="",Progetti!AA5=""),"",Progetti!AA5)</f>
        <v>46265</v>
      </c>
      <c r="S7" s="14" t="str">
        <f>IF(OR(Progetti!E5="",Progetti!AB5=""),"",Progetti!AB5)</f>
        <v/>
      </c>
      <c r="T7" s="14" t="str">
        <f>IF(OR(Progetti!E5="",Progetti!AC5=""),"",Progetti!AC5)</f>
        <v/>
      </c>
      <c r="U7" s="14" t="str">
        <f>IF(OR(Progetti!E5="",Progetti!AD5=""),"",Progetti!AD5)</f>
        <v/>
      </c>
      <c r="V7" s="14" t="str">
        <f>IF(OR(Progetti!E5="",Progetti!AE5=""),"",Progetti!AE5)</f>
        <v/>
      </c>
      <c r="W7" s="14" t="str">
        <f>IF(OR(Progetti!E5="",Progetti!AF5=""),"",Progetti!AF5)</f>
        <v/>
      </c>
      <c r="X7" s="14" t="str">
        <f>IF(OR(Progetti!E5="",Progetti!AG5=""),"",Progetti!AG5)</f>
        <v/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</row>
    <row r="8" spans="1:84" x14ac:dyDescent="0.35">
      <c r="A8" s="29" t="str">
        <f>IF(Progetti!E6="","",Progetti!A6)</f>
        <v>Catania</v>
      </c>
      <c r="B8" s="29" t="str">
        <f>IF(Progetti!F6="","",Progetti!B6)</f>
        <v>Sud</v>
      </c>
      <c r="C8" s="29" t="str">
        <f>IF(Progetti!E6="","",Progetti!C6)</f>
        <v>IBERDROLA RENOVABLES ITALIA SPA</v>
      </c>
      <c r="D8" s="29">
        <f>IF(Progetti!F6="","",Progetti!D6)</f>
        <v>0</v>
      </c>
      <c r="E8" s="29" t="str">
        <f>IF(Progetti!E6="","",Progetti!E6)</f>
        <v>Lentini1</v>
      </c>
      <c r="F8" s="40" t="str">
        <f>IF(Progetti!K6="","",Progetti!K6)</f>
        <v/>
      </c>
      <c r="G8" s="40" t="str">
        <f>IF(Progetti!L6="","",Progetti!L6)</f>
        <v/>
      </c>
      <c r="H8" s="29" t="str">
        <f>IF(Progetti!E6="","",Progetti!N6)</f>
        <v>Autorizzazioni</v>
      </c>
      <c r="I8" s="29" t="str">
        <f>IF(Progetti!E6="","",Progetti!M6)</f>
        <v>In pipeline</v>
      </c>
      <c r="J8" s="38">
        <f>IF(Progetti!E6="","",Progetti!I6)</f>
        <v>60</v>
      </c>
      <c r="K8" s="39" t="str">
        <f>IF(OR(Progetti!E6="",Progetti!Q6=""),"",Progetti!Q6)</f>
        <v/>
      </c>
      <c r="L8" s="39">
        <f>IF(OR(Progetti!E6="",Progetti!R6=""),"",Progetti!R6)</f>
        <v>46110</v>
      </c>
      <c r="M8" s="14" t="str">
        <f>IF(OR(Progetti!E6="",Progetti!V6=""),"",Progetti!V6)</f>
        <v/>
      </c>
      <c r="N8" s="14" t="str">
        <f>IF(OR(Progetti!E6="",Progetti!W6=""),"",Progetti!W6)</f>
        <v/>
      </c>
      <c r="O8" s="14" t="str">
        <f>IF(OR(Progetti!E6="",Progetti!X6=""),"",Progetti!X6)</f>
        <v/>
      </c>
      <c r="P8" s="14" t="str">
        <f>IF(OR(Progetti!E6="",Progetti!Y6=""),"",Progetti!Y6)</f>
        <v/>
      </c>
      <c r="Q8" s="14">
        <f>IF(OR(Progetti!E6="",Progetti!Z6=""),"",Progetti!Z6)</f>
        <v>46108</v>
      </c>
      <c r="R8" s="14">
        <f>IF(OR(Progetti!E6="",Progetti!AA6=""),"",Progetti!AA6)</f>
        <v>46265</v>
      </c>
      <c r="S8" s="14" t="str">
        <f>IF(OR(Progetti!E6="",Progetti!AB6=""),"",Progetti!AB6)</f>
        <v/>
      </c>
      <c r="T8" s="14" t="str">
        <f>IF(OR(Progetti!E6="",Progetti!AC6=""),"",Progetti!AC6)</f>
        <v/>
      </c>
      <c r="U8" s="14" t="str">
        <f>IF(OR(Progetti!E6="",Progetti!AD6=""),"",Progetti!AD6)</f>
        <v/>
      </c>
      <c r="V8" s="14" t="str">
        <f>IF(OR(Progetti!E6="",Progetti!AE6=""),"",Progetti!AE6)</f>
        <v/>
      </c>
      <c r="W8" s="14" t="str">
        <f>IF(OR(Progetti!E6="",Progetti!AF6=""),"",Progetti!AF6)</f>
        <v/>
      </c>
      <c r="X8" s="14" t="str">
        <f>IF(OR(Progetti!E6="",Progetti!AG6=""),"",Progetti!AG6)</f>
        <v/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</row>
    <row r="9" spans="1:84" x14ac:dyDescent="0.35">
      <c r="A9" s="29" t="str">
        <f>IF(Progetti!E7="","",Progetti!A7)</f>
        <v>Catania</v>
      </c>
      <c r="B9" s="29" t="str">
        <f>IF(Progetti!F7="","",Progetti!B7)</f>
        <v>Sud</v>
      </c>
      <c r="C9" s="29" t="str">
        <f>IF(Progetti!E7="","",Progetti!C7)</f>
        <v>VARNA SOLAR SRL</v>
      </c>
      <c r="D9" s="29">
        <f>IF(Progetti!F7="","",Progetti!D7)</f>
        <v>0</v>
      </c>
      <c r="E9" s="29" t="str">
        <f>IF(Progetti!E7="","",Progetti!E7)</f>
        <v>Varna Solar</v>
      </c>
      <c r="F9" s="40" t="str">
        <f>IF(Progetti!K7="","",Progetti!K7)</f>
        <v/>
      </c>
      <c r="G9" s="40" t="str">
        <f>IF(Progetti!L7="","",Progetti!L7)</f>
        <v/>
      </c>
      <c r="H9" s="29" t="str">
        <f>IF(Progetti!E7="","",Progetti!N7)</f>
        <v>Autorizzazioni</v>
      </c>
      <c r="I9" s="29" t="str">
        <f>IF(Progetti!E7="","",Progetti!M7)</f>
        <v>In pipeline</v>
      </c>
      <c r="J9" s="38">
        <f>IF(Progetti!E7="","",Progetti!I7)</f>
        <v>45</v>
      </c>
      <c r="K9" s="39" t="str">
        <f>IF(OR(Progetti!E7="",Progetti!Q7=""),"",Progetti!Q7)</f>
        <v/>
      </c>
      <c r="L9" s="39">
        <f>IF(OR(Progetti!E7="",Progetti!R7=""),"",Progetti!R7)</f>
        <v>46110</v>
      </c>
      <c r="M9" s="14" t="str">
        <f>IF(OR(Progetti!E7="",Progetti!V7=""),"",Progetti!V7)</f>
        <v/>
      </c>
      <c r="N9" s="14" t="str">
        <f>IF(OR(Progetti!E7="",Progetti!W7=""),"",Progetti!W7)</f>
        <v/>
      </c>
      <c r="O9" s="14" t="str">
        <f>IF(OR(Progetti!E7="",Progetti!X7=""),"",Progetti!X7)</f>
        <v/>
      </c>
      <c r="P9" s="14" t="str">
        <f>IF(OR(Progetti!E7="",Progetti!Y7=""),"",Progetti!Y7)</f>
        <v/>
      </c>
      <c r="Q9" s="14">
        <f>IF(OR(Progetti!E7="",Progetti!Z7=""),"",Progetti!Z7)</f>
        <v>46108</v>
      </c>
      <c r="R9" s="14">
        <f>IF(OR(Progetti!E7="",Progetti!AA7=""),"",Progetti!AA7)</f>
        <v>46265</v>
      </c>
      <c r="S9" s="14" t="str">
        <f>IF(OR(Progetti!E7="",Progetti!AB7=""),"",Progetti!AB7)</f>
        <v/>
      </c>
      <c r="T9" s="14" t="str">
        <f>IF(OR(Progetti!E7="",Progetti!AC7=""),"",Progetti!AC7)</f>
        <v/>
      </c>
      <c r="U9" s="14" t="str">
        <f>IF(OR(Progetti!E7="",Progetti!AD7=""),"",Progetti!AD7)</f>
        <v/>
      </c>
      <c r="V9" s="14" t="str">
        <f>IF(OR(Progetti!E7="",Progetti!AE7=""),"",Progetti!AE7)</f>
        <v/>
      </c>
      <c r="W9" s="14" t="str">
        <f>IF(OR(Progetti!E7="",Progetti!AF7=""),"",Progetti!AF7)</f>
        <v/>
      </c>
      <c r="X9" s="14" t="str">
        <f>IF(OR(Progetti!E7="",Progetti!AG7=""),"",Progetti!AG7)</f>
        <v/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</row>
    <row r="10" spans="1:84" x14ac:dyDescent="0.35">
      <c r="A10" s="29" t="str">
        <f>IF(Progetti!E8="","",Progetti!A8)</f>
        <v>Catania</v>
      </c>
      <c r="B10" s="29" t="str">
        <f>IF(Progetti!F8="","",Progetti!B8)</f>
        <v>Sud</v>
      </c>
      <c r="C10" s="29" t="str">
        <f>IF(Progetti!E8="","",Progetti!C8)</f>
        <v>INE ELIOSMENTA SRL</v>
      </c>
      <c r="D10" s="29">
        <f>IF(Progetti!F8="","",Progetti!D8)</f>
        <v>0</v>
      </c>
      <c r="E10" s="29" t="str">
        <f>IF(Progetti!E8="","",Progetti!E8)</f>
        <v>FV Agrivoltaico Buseto</v>
      </c>
      <c r="F10" s="40" t="str">
        <f>IF(Progetti!K8="","",Progetti!K8)</f>
        <v/>
      </c>
      <c r="G10" s="40" t="str">
        <f>IF(Progetti!L8="","",Progetti!L8)</f>
        <v/>
      </c>
      <c r="H10" s="29" t="str">
        <f>IF(Progetti!E8="","",Progetti!N8)</f>
        <v>Autorizzazioni</v>
      </c>
      <c r="I10" s="29" t="str">
        <f>IF(Progetti!E8="","",Progetti!M8)</f>
        <v>In pipeline</v>
      </c>
      <c r="J10" s="38">
        <f>IF(Progetti!E8="","",Progetti!I8)</f>
        <v>27.65</v>
      </c>
      <c r="K10" s="39" t="str">
        <f>IF(OR(Progetti!E8="",Progetti!Q8=""),"",Progetti!Q8)</f>
        <v/>
      </c>
      <c r="L10" s="39">
        <f>IF(OR(Progetti!E8="",Progetti!R8=""),"",Progetti!R8)</f>
        <v>46110</v>
      </c>
      <c r="M10" s="14" t="str">
        <f>IF(OR(Progetti!E8="",Progetti!V8=""),"",Progetti!V8)</f>
        <v/>
      </c>
      <c r="N10" s="14" t="str">
        <f>IF(OR(Progetti!E8="",Progetti!W8=""),"",Progetti!W8)</f>
        <v/>
      </c>
      <c r="O10" s="14" t="str">
        <f>IF(OR(Progetti!E8="",Progetti!X8=""),"",Progetti!X8)</f>
        <v/>
      </c>
      <c r="P10" s="14" t="str">
        <f>IF(OR(Progetti!E8="",Progetti!Y8=""),"",Progetti!Y8)</f>
        <v/>
      </c>
      <c r="Q10" s="14">
        <f>IF(OR(Progetti!E8="",Progetti!Z8=""),"",Progetti!Z8)</f>
        <v>46108</v>
      </c>
      <c r="R10" s="14">
        <f>IF(OR(Progetti!E8="",Progetti!AA8=""),"",Progetti!AA8)</f>
        <v>46265</v>
      </c>
      <c r="S10" s="14" t="str">
        <f>IF(OR(Progetti!E8="",Progetti!AB8=""),"",Progetti!AB8)</f>
        <v/>
      </c>
      <c r="T10" s="14" t="str">
        <f>IF(OR(Progetti!E8="",Progetti!AC8=""),"",Progetti!AC8)</f>
        <v/>
      </c>
      <c r="U10" s="14" t="str">
        <f>IF(OR(Progetti!E8="",Progetti!AD8=""),"",Progetti!AD8)</f>
        <v/>
      </c>
      <c r="V10" s="14" t="str">
        <f>IF(OR(Progetti!E8="",Progetti!AE8=""),"",Progetti!AE8)</f>
        <v/>
      </c>
      <c r="W10" s="14" t="str">
        <f>IF(OR(Progetti!E8="",Progetti!AF8=""),"",Progetti!AF8)</f>
        <v/>
      </c>
      <c r="X10" s="14" t="str">
        <f>IF(OR(Progetti!E8="",Progetti!AG8=""),"",Progetti!AG8)</f>
        <v/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</row>
    <row r="11" spans="1:84" x14ac:dyDescent="0.35">
      <c r="A11" s="29" t="str">
        <f>IF(Progetti!E9="","",Progetti!A9)</f>
        <v>Catania</v>
      </c>
      <c r="B11" s="29" t="str">
        <f>IF(Progetti!F9="","",Progetti!B9)</f>
        <v>Sud</v>
      </c>
      <c r="C11" s="29" t="str">
        <f>IF(Progetti!E9="","",Progetti!C9)</f>
        <v>ENGIE GRILLO SRL</v>
      </c>
      <c r="D11" s="29">
        <f>IF(Progetti!F9="","",Progetti!D9)</f>
        <v>0</v>
      </c>
      <c r="E11" s="29" t="str">
        <f>IF(Progetti!E9="","",Progetti!E9)</f>
        <v>Grillo</v>
      </c>
      <c r="F11" s="40" t="str">
        <f>IF(Progetti!K9="","",Progetti!K9)</f>
        <v/>
      </c>
      <c r="G11" s="40" t="str">
        <f>IF(Progetti!L9="","",Progetti!L9)</f>
        <v/>
      </c>
      <c r="H11" s="29" t="str">
        <f>IF(Progetti!E9="","",Progetti!N9)</f>
        <v>Autorizzazioni</v>
      </c>
      <c r="I11" s="29" t="str">
        <f>IF(Progetti!E9="","",Progetti!M9)</f>
        <v>In pipeline</v>
      </c>
      <c r="J11" s="38">
        <f>IF(Progetti!E9="","",Progetti!I9)</f>
        <v>54</v>
      </c>
      <c r="K11" s="39" t="str">
        <f>IF(OR(Progetti!E9="",Progetti!Q9=""),"",Progetti!Q9)</f>
        <v/>
      </c>
      <c r="L11" s="39">
        <f>IF(OR(Progetti!E9="",Progetti!R9=""),"",Progetti!R9)</f>
        <v>46110</v>
      </c>
      <c r="M11" s="14" t="str">
        <f>IF(OR(Progetti!E9="",Progetti!V9=""),"",Progetti!V9)</f>
        <v/>
      </c>
      <c r="N11" s="14" t="str">
        <f>IF(OR(Progetti!E9="",Progetti!W9=""),"",Progetti!W9)</f>
        <v/>
      </c>
      <c r="O11" s="14" t="str">
        <f>IF(OR(Progetti!E9="",Progetti!X9=""),"",Progetti!X9)</f>
        <v/>
      </c>
      <c r="P11" s="14" t="str">
        <f>IF(OR(Progetti!E9="",Progetti!Y9=""),"",Progetti!Y9)</f>
        <v/>
      </c>
      <c r="Q11" s="14">
        <f>IF(OR(Progetti!E9="",Progetti!Z9=""),"",Progetti!Z9)</f>
        <v>46108</v>
      </c>
      <c r="R11" s="14">
        <f>IF(OR(Progetti!E9="",Progetti!AA9=""),"",Progetti!AA9)</f>
        <v>46265</v>
      </c>
      <c r="S11" s="14" t="str">
        <f>IF(OR(Progetti!E9="",Progetti!AB9=""),"",Progetti!AB9)</f>
        <v/>
      </c>
      <c r="T11" s="14" t="str">
        <f>IF(OR(Progetti!E9="",Progetti!AC9=""),"",Progetti!AC9)</f>
        <v/>
      </c>
      <c r="U11" s="14" t="str">
        <f>IF(OR(Progetti!E9="",Progetti!AD9=""),"",Progetti!AD9)</f>
        <v/>
      </c>
      <c r="V11" s="14" t="str">
        <f>IF(OR(Progetti!E9="",Progetti!AE9=""),"",Progetti!AE9)</f>
        <v/>
      </c>
      <c r="W11" s="14" t="str">
        <f>IF(OR(Progetti!E9="",Progetti!AF9=""),"",Progetti!AF9)</f>
        <v/>
      </c>
      <c r="X11" s="14" t="str">
        <f>IF(OR(Progetti!E9="",Progetti!AG9=""),"",Progetti!AG9)</f>
        <v/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</row>
    <row r="12" spans="1:84" x14ac:dyDescent="0.35">
      <c r="A12" s="29" t="str">
        <f>IF(Progetti!E10="","",Progetti!A10)</f>
        <v>Catania</v>
      </c>
      <c r="B12" s="29" t="str">
        <f>IF(Progetti!F10="","",Progetti!B10)</f>
        <v>Sud</v>
      </c>
      <c r="C12" s="29" t="str">
        <f>IF(Progetti!E10="","",Progetti!C10)</f>
        <v>ARYA SOLAR SRL</v>
      </c>
      <c r="D12" s="29">
        <f>IF(Progetti!F10="","",Progetti!D10)</f>
        <v>0</v>
      </c>
      <c r="E12" s="29" t="str">
        <f>IF(Progetti!E10="","",Progetti!E10)</f>
        <v>Arya Mazara</v>
      </c>
      <c r="F12" s="40" t="str">
        <f>IF(Progetti!K10="","",Progetti!K10)</f>
        <v/>
      </c>
      <c r="G12" s="40" t="str">
        <f>IF(Progetti!L10="","",Progetti!L10)</f>
        <v/>
      </c>
      <c r="H12" s="29" t="str">
        <f>IF(Progetti!E10="","",Progetti!N10)</f>
        <v>Autorizzazioni</v>
      </c>
      <c r="I12" s="29" t="str">
        <f>IF(Progetti!E10="","",Progetti!M10)</f>
        <v>In pipeline</v>
      </c>
      <c r="J12" s="38">
        <f>IF(Progetti!E10="","",Progetti!I10)</f>
        <v>42.3</v>
      </c>
      <c r="K12" s="39" t="str">
        <f>IF(OR(Progetti!E10="",Progetti!Q10=""),"",Progetti!Q10)</f>
        <v/>
      </c>
      <c r="L12" s="39">
        <f>IF(OR(Progetti!E10="",Progetti!R10=""),"",Progetti!R10)</f>
        <v>46030</v>
      </c>
      <c r="M12" s="14" t="str">
        <f>IF(OR(Progetti!E10="",Progetti!V10=""),"",Progetti!V10)</f>
        <v/>
      </c>
      <c r="N12" s="14" t="str">
        <f>IF(OR(Progetti!E10="",Progetti!W10=""),"",Progetti!W10)</f>
        <v/>
      </c>
      <c r="O12" s="14" t="str">
        <f>IF(OR(Progetti!E10="",Progetti!X10=""),"",Progetti!X10)</f>
        <v/>
      </c>
      <c r="P12" s="14" t="str">
        <f>IF(OR(Progetti!E10="",Progetti!Y10=""),"",Progetti!Y10)</f>
        <v/>
      </c>
      <c r="Q12" s="14">
        <f>IF(OR(Progetti!E10="",Progetti!Z10=""),"",Progetti!Z10)</f>
        <v>46030</v>
      </c>
      <c r="R12" s="14">
        <f>IF(OR(Progetti!E10="",Progetti!AA10=""),"",Progetti!AA10)</f>
        <v>46203</v>
      </c>
      <c r="S12" s="14" t="str">
        <f>IF(OR(Progetti!E10="",Progetti!AB10=""),"",Progetti!AB10)</f>
        <v/>
      </c>
      <c r="T12" s="14" t="str">
        <f>IF(OR(Progetti!E10="",Progetti!AC10=""),"",Progetti!AC10)</f>
        <v/>
      </c>
      <c r="U12" s="14" t="str">
        <f>IF(OR(Progetti!E10="",Progetti!AD10=""),"",Progetti!AD10)</f>
        <v/>
      </c>
      <c r="V12" s="14" t="str">
        <f>IF(OR(Progetti!E10="",Progetti!AE10=""),"",Progetti!AE10)</f>
        <v/>
      </c>
      <c r="W12" s="14" t="str">
        <f>IF(OR(Progetti!E10="",Progetti!AF10=""),"",Progetti!AF10)</f>
        <v/>
      </c>
      <c r="X12" s="14" t="str">
        <f>IF(OR(Progetti!E10="",Progetti!AG10=""),"",Progetti!AG10)</f>
        <v/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</row>
    <row r="13" spans="1:84" x14ac:dyDescent="0.35">
      <c r="A13" s="29" t="str">
        <f>IF(Progetti!E11="","",Progetti!A11)</f>
        <v>Catania</v>
      </c>
      <c r="B13" s="29" t="str">
        <f>IF(Progetti!F11="","",Progetti!B11)</f>
        <v>Sud</v>
      </c>
      <c r="C13" s="29" t="str">
        <f>IF(Progetti!E11="","",Progetti!C11)</f>
        <v>PIROIDE SRL</v>
      </c>
      <c r="D13" s="29">
        <f>IF(Progetti!F11="","",Progetti!D11)</f>
        <v>0</v>
      </c>
      <c r="E13" s="29" t="str">
        <f>IF(Progetti!E11="","",Progetti!E11)</f>
        <v>Progetto Piana degli Albanesi</v>
      </c>
      <c r="F13" s="40" t="str">
        <f>IF(Progetti!K11="","",Progetti!K11)</f>
        <v/>
      </c>
      <c r="G13" s="40" t="str">
        <f>IF(Progetti!L11="","",Progetti!L11)</f>
        <v/>
      </c>
      <c r="H13" s="29" t="str">
        <f>IF(Progetti!E11="","",Progetti!N11)</f>
        <v>Autorizzazioni</v>
      </c>
      <c r="I13" s="29" t="str">
        <f>IF(Progetti!E11="","",Progetti!M11)</f>
        <v>In pipeline</v>
      </c>
      <c r="J13" s="38">
        <f>IF(Progetti!E11="","",Progetti!I11)</f>
        <v>85.1</v>
      </c>
      <c r="K13" s="39" t="str">
        <f>IF(OR(Progetti!E11="",Progetti!Q11=""),"",Progetti!Q11)</f>
        <v/>
      </c>
      <c r="L13" s="39">
        <f>IF(OR(Progetti!E11="",Progetti!R11=""),"",Progetti!R11)</f>
        <v>46038</v>
      </c>
      <c r="M13" s="14" t="str">
        <f>IF(OR(Progetti!E11="",Progetti!V11=""),"",Progetti!V11)</f>
        <v/>
      </c>
      <c r="N13" s="14" t="str">
        <f>IF(OR(Progetti!E11="",Progetti!W11=""),"",Progetti!W11)</f>
        <v/>
      </c>
      <c r="O13" s="14" t="str">
        <f>IF(OR(Progetti!E11="",Progetti!X11=""),"",Progetti!X11)</f>
        <v/>
      </c>
      <c r="P13" s="14" t="str">
        <f>IF(OR(Progetti!E11="",Progetti!Y11=""),"",Progetti!Y11)</f>
        <v/>
      </c>
      <c r="Q13" s="14">
        <f>IF(OR(Progetti!E11="",Progetti!Z11=""),"",Progetti!Z11)</f>
        <v>46038</v>
      </c>
      <c r="R13" s="14">
        <f>IF(OR(Progetti!E11="",Progetti!AA11=""),"",Progetti!AA11)</f>
        <v>46203</v>
      </c>
      <c r="S13" s="14" t="str">
        <f>IF(OR(Progetti!E11="",Progetti!AB11=""),"",Progetti!AB11)</f>
        <v/>
      </c>
      <c r="T13" s="14" t="str">
        <f>IF(OR(Progetti!E11="",Progetti!AC11=""),"",Progetti!AC11)</f>
        <v/>
      </c>
      <c r="U13" s="14" t="str">
        <f>IF(OR(Progetti!E11="",Progetti!AD11=""),"",Progetti!AD11)</f>
        <v/>
      </c>
      <c r="V13" s="14" t="str">
        <f>IF(OR(Progetti!E11="",Progetti!AE11=""),"",Progetti!AE11)</f>
        <v/>
      </c>
      <c r="W13" s="14" t="str">
        <f>IF(OR(Progetti!E11="",Progetti!AF11=""),"",Progetti!AF11)</f>
        <v/>
      </c>
      <c r="X13" s="14" t="str">
        <f>IF(OR(Progetti!E11="",Progetti!AG11=""),"",Progetti!AG11)</f>
        <v/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</row>
    <row r="14" spans="1:84" x14ac:dyDescent="0.35">
      <c r="A14" s="29" t="str">
        <f>IF(Progetti!E12="","",Progetti!A12)</f>
        <v>Catania</v>
      </c>
      <c r="B14" s="29" t="str">
        <f>IF(Progetti!F12="","",Progetti!B12)</f>
        <v>Sud</v>
      </c>
      <c r="C14" s="29" t="str">
        <f>IF(Progetti!E12="","",Progetti!C12)</f>
        <v>11PIU' ENERGIA SRL</v>
      </c>
      <c r="D14" s="29">
        <f>IF(Progetti!F12="","",Progetti!D12)</f>
        <v>0</v>
      </c>
      <c r="E14" s="29" t="str">
        <f>IF(Progetti!E12="","",Progetti!E12)</f>
        <v>Favara 2</v>
      </c>
      <c r="F14" s="40" t="str">
        <f>IF(Progetti!K12="","",Progetti!K12)</f>
        <v/>
      </c>
      <c r="G14" s="40" t="str">
        <f>IF(Progetti!L12="","",Progetti!L12)</f>
        <v/>
      </c>
      <c r="H14" s="29" t="str">
        <f>IF(Progetti!E12="","",Progetti!N12)</f>
        <v>Autorizzazioni</v>
      </c>
      <c r="I14" s="29" t="str">
        <f>IF(Progetti!E12="","",Progetti!M12)</f>
        <v>In pipeline</v>
      </c>
      <c r="J14" s="38">
        <f>IF(Progetti!E12="","",Progetti!I12)</f>
        <v>65.099999999999994</v>
      </c>
      <c r="K14" s="39" t="str">
        <f>IF(OR(Progetti!E12="",Progetti!Q12=""),"",Progetti!Q12)</f>
        <v/>
      </c>
      <c r="L14" s="39">
        <f>IF(OR(Progetti!E12="",Progetti!R12=""),"",Progetti!R12)</f>
        <v>46055</v>
      </c>
      <c r="M14" s="14" t="str">
        <f>IF(OR(Progetti!E12="",Progetti!V12=""),"",Progetti!V12)</f>
        <v/>
      </c>
      <c r="N14" s="14" t="str">
        <f>IF(OR(Progetti!E12="",Progetti!W12=""),"",Progetti!W12)</f>
        <v/>
      </c>
      <c r="O14" s="14" t="str">
        <f>IF(OR(Progetti!E12="",Progetti!X12=""),"",Progetti!X12)</f>
        <v/>
      </c>
      <c r="P14" s="14" t="str">
        <f>IF(OR(Progetti!E12="",Progetti!Y12=""),"",Progetti!Y12)</f>
        <v/>
      </c>
      <c r="Q14" s="14">
        <f>IF(OR(Progetti!E12="",Progetti!Z12=""),"",Progetti!Z12)</f>
        <v>46055</v>
      </c>
      <c r="R14" s="14">
        <f>IF(OR(Progetti!E12="",Progetti!AA12=""),"",Progetti!AA12)</f>
        <v>46234</v>
      </c>
      <c r="S14" s="14" t="str">
        <f>IF(OR(Progetti!E12="",Progetti!AB12=""),"",Progetti!AB12)</f>
        <v/>
      </c>
      <c r="T14" s="14" t="str">
        <f>IF(OR(Progetti!E12="",Progetti!AC12=""),"",Progetti!AC12)</f>
        <v/>
      </c>
      <c r="U14" s="14" t="str">
        <f>IF(OR(Progetti!E12="",Progetti!AD12=""),"",Progetti!AD12)</f>
        <v/>
      </c>
      <c r="V14" s="14" t="str">
        <f>IF(OR(Progetti!E12="",Progetti!AE12=""),"",Progetti!AE12)</f>
        <v/>
      </c>
      <c r="W14" s="14" t="str">
        <f>IF(OR(Progetti!E12="",Progetti!AF12=""),"",Progetti!AF12)</f>
        <v/>
      </c>
      <c r="X14" s="14" t="str">
        <f>IF(OR(Progetti!E12="",Progetti!AG12=""),"",Progetti!AG12)</f>
        <v/>
      </c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</row>
    <row r="15" spans="1:84" x14ac:dyDescent="0.35">
      <c r="A15" s="29" t="str">
        <f>IF(Progetti!E13="","",Progetti!A13)</f>
        <v>Catania</v>
      </c>
      <c r="B15" s="29" t="str">
        <f>IF(Progetti!F13="","",Progetti!B13)</f>
        <v>Sud</v>
      </c>
      <c r="C15" s="29" t="str">
        <f>IF(Progetti!E13="","",Progetti!C13)</f>
        <v>NDTHREE SRL</v>
      </c>
      <c r="D15" s="29">
        <f>IF(Progetti!F13="","",Progetti!D13)</f>
        <v>0</v>
      </c>
      <c r="E15" s="29" t="str">
        <f>IF(Progetti!E13="","",Progetti!E13)</f>
        <v>Pecciapertosa</v>
      </c>
      <c r="F15" s="40" t="str">
        <f>IF(Progetti!K13="","",Progetti!K13)</f>
        <v/>
      </c>
      <c r="G15" s="40" t="str">
        <f>IF(Progetti!L13="","",Progetti!L13)</f>
        <v/>
      </c>
      <c r="H15" s="29" t="str">
        <f>IF(Progetti!E13="","",Progetti!N13)</f>
        <v>Autorizzazioni</v>
      </c>
      <c r="I15" s="29" t="str">
        <f>IF(Progetti!E13="","",Progetti!M13)</f>
        <v>In pipeline</v>
      </c>
      <c r="J15" s="38">
        <f>IF(Progetti!E13="","",Progetti!I13)</f>
        <v>22.57</v>
      </c>
      <c r="K15" s="39" t="str">
        <f>IF(OR(Progetti!E13="",Progetti!Q13=""),"",Progetti!Q13)</f>
        <v/>
      </c>
      <c r="L15" s="39">
        <f>IF(OR(Progetti!E13="",Progetti!R13=""),"",Progetti!R13)</f>
        <v>46078</v>
      </c>
      <c r="M15" s="14" t="str">
        <f>IF(OR(Progetti!E13="",Progetti!V13=""),"",Progetti!V13)</f>
        <v/>
      </c>
      <c r="N15" s="14" t="str">
        <f>IF(OR(Progetti!E13="",Progetti!W13=""),"",Progetti!W13)</f>
        <v/>
      </c>
      <c r="O15" s="14" t="str">
        <f>IF(OR(Progetti!E13="",Progetti!X13=""),"",Progetti!X13)</f>
        <v/>
      </c>
      <c r="P15" s="14" t="str">
        <f>IF(OR(Progetti!E13="",Progetti!Y13=""),"",Progetti!Y13)</f>
        <v/>
      </c>
      <c r="Q15" s="14">
        <f>IF(OR(Progetti!E13="",Progetti!Z13=""),"",Progetti!Z13)</f>
        <v>46078</v>
      </c>
      <c r="R15" s="14">
        <f>IF(OR(Progetti!E13="",Progetti!AA13=""),"",Progetti!AA13)</f>
        <v>46234</v>
      </c>
      <c r="S15" s="14" t="str">
        <f>IF(OR(Progetti!E13="",Progetti!AB13=""),"",Progetti!AB13)</f>
        <v/>
      </c>
      <c r="T15" s="14" t="str">
        <f>IF(OR(Progetti!E13="",Progetti!AC13=""),"",Progetti!AC13)</f>
        <v/>
      </c>
      <c r="U15" s="14" t="str">
        <f>IF(OR(Progetti!E13="",Progetti!AD13=""),"",Progetti!AD13)</f>
        <v/>
      </c>
      <c r="V15" s="14" t="str">
        <f>IF(OR(Progetti!E13="",Progetti!AE13=""),"",Progetti!AE13)</f>
        <v/>
      </c>
      <c r="W15" s="14" t="str">
        <f>IF(OR(Progetti!E13="",Progetti!AF13=""),"",Progetti!AF13)</f>
        <v/>
      </c>
      <c r="X15" s="14" t="str">
        <f>IF(OR(Progetti!E13="",Progetti!AG13=""),"",Progetti!AG13)</f>
        <v/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</row>
    <row r="16" spans="1:84" x14ac:dyDescent="0.35">
      <c r="A16" s="29" t="str">
        <f>IF(Progetti!E14="","",Progetti!A14)</f>
        <v>Catania</v>
      </c>
      <c r="B16" s="29" t="str">
        <f>IF(Progetti!F14="","",Progetti!B14)</f>
        <v>Sud</v>
      </c>
      <c r="C16" s="29" t="str">
        <f>IF(Progetti!E14="","",Progetti!C14)</f>
        <v>IBVI 5 SRL</v>
      </c>
      <c r="D16" s="29">
        <f>IF(Progetti!F14="","",Progetti!D14)</f>
        <v>0</v>
      </c>
      <c r="E16" s="29" t="str">
        <f>IF(Progetti!E14="","",Progetti!E14)</f>
        <v>Castel di Iudica II</v>
      </c>
      <c r="F16" s="40" t="str">
        <f>IF(Progetti!K14="","",Progetti!K14)</f>
        <v/>
      </c>
      <c r="G16" s="40" t="str">
        <f>IF(Progetti!L14="","",Progetti!L14)</f>
        <v/>
      </c>
      <c r="H16" s="29" t="str">
        <f>IF(Progetti!E14="","",Progetti!N14)</f>
        <v>Autorizzazioni</v>
      </c>
      <c r="I16" s="29" t="str">
        <f>IF(Progetti!E14="","",Progetti!M14)</f>
        <v>In pipeline</v>
      </c>
      <c r="J16" s="38">
        <f>IF(Progetti!E14="","",Progetti!I14)</f>
        <v>231.6</v>
      </c>
      <c r="K16" s="39" t="str">
        <f>IF(OR(Progetti!E14="",Progetti!Q14=""),"",Progetti!Q14)</f>
        <v/>
      </c>
      <c r="L16" s="39">
        <f>IF(OR(Progetti!E14="",Progetti!R14=""),"",Progetti!R14)</f>
        <v>45923</v>
      </c>
      <c r="M16" s="14" t="str">
        <f>IF(OR(Progetti!E14="",Progetti!V14=""),"",Progetti!V14)</f>
        <v/>
      </c>
      <c r="N16" s="14" t="str">
        <f>IF(OR(Progetti!E14="",Progetti!W14=""),"",Progetti!W14)</f>
        <v/>
      </c>
      <c r="O16" s="14" t="str">
        <f>IF(OR(Progetti!E14="",Progetti!X14=""),"",Progetti!X14)</f>
        <v/>
      </c>
      <c r="P16" s="14" t="str">
        <f>IF(OR(Progetti!E14="",Progetti!Y14=""),"",Progetti!Y14)</f>
        <v/>
      </c>
      <c r="Q16" s="14">
        <f>IF(OR(Progetti!E14="",Progetti!Z14=""),"",Progetti!Z14)</f>
        <v>45923</v>
      </c>
      <c r="R16" s="14">
        <f>IF(OR(Progetti!E14="",Progetti!AA14=""),"",Progetti!AA14)</f>
        <v>46142</v>
      </c>
      <c r="S16" s="14" t="str">
        <f>IF(OR(Progetti!E14="",Progetti!AB14=""),"",Progetti!AB14)</f>
        <v/>
      </c>
      <c r="T16" s="14" t="str">
        <f>IF(OR(Progetti!E14="",Progetti!AC14=""),"",Progetti!AC14)</f>
        <v/>
      </c>
      <c r="U16" s="14" t="str">
        <f>IF(OR(Progetti!E14="",Progetti!AD14=""),"",Progetti!AD14)</f>
        <v/>
      </c>
      <c r="V16" s="14" t="str">
        <f>IF(OR(Progetti!E14="",Progetti!AE14=""),"",Progetti!AE14)</f>
        <v/>
      </c>
      <c r="W16" s="14" t="str">
        <f>IF(OR(Progetti!E14="",Progetti!AF14=""),"",Progetti!AF14)</f>
        <v/>
      </c>
      <c r="X16" s="14" t="str">
        <f>IF(OR(Progetti!E14="",Progetti!AG14=""),"",Progetti!AG14)</f>
        <v/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</row>
    <row r="17" spans="1:84" x14ac:dyDescent="0.35">
      <c r="A17" s="29" t="str">
        <f>IF(Progetti!E15="","",Progetti!A15)</f>
        <v>Catania</v>
      </c>
      <c r="B17" s="29" t="str">
        <f>IF(Progetti!F15="","",Progetti!B15)</f>
        <v>Sud</v>
      </c>
      <c r="C17" s="29" t="str">
        <f>IF(Progetti!E15="","",Progetti!C15)</f>
        <v>IBVI 22 SRL</v>
      </c>
      <c r="D17" s="29">
        <f>IF(Progetti!F15="","",Progetti!D15)</f>
        <v>0</v>
      </c>
      <c r="E17" s="29" t="str">
        <f>IF(Progetti!E15="","",Progetti!E15)</f>
        <v>Mineo</v>
      </c>
      <c r="F17" s="40" t="str">
        <f>IF(Progetti!K15="","",Progetti!K15)</f>
        <v/>
      </c>
      <c r="G17" s="40" t="str">
        <f>IF(Progetti!L15="","",Progetti!L15)</f>
        <v/>
      </c>
      <c r="H17" s="29" t="str">
        <f>IF(Progetti!E15="","",Progetti!N15)</f>
        <v>Autorizzazioni</v>
      </c>
      <c r="I17" s="29" t="str">
        <f>IF(Progetti!E15="","",Progetti!M15)</f>
        <v>In pipeline</v>
      </c>
      <c r="J17" s="38">
        <f>IF(Progetti!E15="","",Progetti!I15)</f>
        <v>263</v>
      </c>
      <c r="K17" s="39" t="str">
        <f>IF(OR(Progetti!E15="",Progetti!Q15=""),"",Progetti!Q15)</f>
        <v/>
      </c>
      <c r="L17" s="39">
        <f>IF(OR(Progetti!E15="",Progetti!R15=""),"",Progetti!R15)</f>
        <v>46092</v>
      </c>
      <c r="M17" s="14" t="str">
        <f>IF(OR(Progetti!E15="",Progetti!V15=""),"",Progetti!V15)</f>
        <v/>
      </c>
      <c r="N17" s="14" t="str">
        <f>IF(OR(Progetti!E15="",Progetti!W15=""),"",Progetti!W15)</f>
        <v/>
      </c>
      <c r="O17" s="14" t="str">
        <f>IF(OR(Progetti!E15="",Progetti!X15=""),"",Progetti!X15)</f>
        <v/>
      </c>
      <c r="P17" s="14" t="str">
        <f>IF(OR(Progetti!E15="",Progetti!Y15=""),"",Progetti!Y15)</f>
        <v/>
      </c>
      <c r="Q17" s="14">
        <f>IF(OR(Progetti!E15="",Progetti!Z15=""),"",Progetti!Z15)</f>
        <v>46092</v>
      </c>
      <c r="R17" s="14">
        <f>IF(OR(Progetti!E15="",Progetti!AA15=""),"",Progetti!AA15)</f>
        <v>46265</v>
      </c>
      <c r="S17" s="14" t="str">
        <f>IF(OR(Progetti!E15="",Progetti!AB15=""),"",Progetti!AB15)</f>
        <v/>
      </c>
      <c r="T17" s="14" t="str">
        <f>IF(OR(Progetti!E15="",Progetti!AC15=""),"",Progetti!AC15)</f>
        <v/>
      </c>
      <c r="U17" s="14" t="str">
        <f>IF(OR(Progetti!E15="",Progetti!AD15=""),"",Progetti!AD15)</f>
        <v/>
      </c>
      <c r="V17" s="14" t="str">
        <f>IF(OR(Progetti!E15="",Progetti!AE15=""),"",Progetti!AE15)</f>
        <v/>
      </c>
      <c r="W17" s="14" t="str">
        <f>IF(OR(Progetti!E15="",Progetti!AF15=""),"",Progetti!AF15)</f>
        <v/>
      </c>
      <c r="X17" s="14" t="str">
        <f>IF(OR(Progetti!E15="",Progetti!AG15=""),"",Progetti!AG15)</f>
        <v/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</row>
    <row r="18" spans="1:84" x14ac:dyDescent="0.35">
      <c r="A18" s="29" t="str">
        <f>IF(Progetti!E16="","",Progetti!A16)</f>
        <v>Catania</v>
      </c>
      <c r="B18" s="29" t="str">
        <f>IF(Progetti!F16="","",Progetti!B16)</f>
        <v>Sud</v>
      </c>
      <c r="C18" s="29" t="str">
        <f>IF(Progetti!E16="","",Progetti!C16)</f>
        <v>ENNA 1 PV SRL</v>
      </c>
      <c r="D18" s="29">
        <f>IF(Progetti!F16="","",Progetti!D16)</f>
        <v>0</v>
      </c>
      <c r="E18" s="29" t="str">
        <f>IF(Progetti!E16="","",Progetti!E16)</f>
        <v>Enna 1</v>
      </c>
      <c r="F18" s="40" t="str">
        <f>IF(Progetti!K16="","",Progetti!K16)</f>
        <v/>
      </c>
      <c r="G18" s="40" t="str">
        <f>IF(Progetti!L16="","",Progetti!L16)</f>
        <v/>
      </c>
      <c r="H18" s="29" t="str">
        <f>IF(Progetti!E16="","",Progetti!N16)</f>
        <v>Autorizzazioni</v>
      </c>
      <c r="I18" s="29" t="str">
        <f>IF(Progetti!E16="","",Progetti!M16)</f>
        <v>In pipeline</v>
      </c>
      <c r="J18" s="38">
        <f>IF(Progetti!E16="","",Progetti!I16)</f>
        <v>45</v>
      </c>
      <c r="K18" s="39" t="str">
        <f>IF(OR(Progetti!E16="",Progetti!Q16=""),"",Progetti!Q16)</f>
        <v/>
      </c>
      <c r="L18" s="39">
        <f>IF(OR(Progetti!E16="",Progetti!R16=""),"",Progetti!R16)</f>
        <v>46086</v>
      </c>
      <c r="M18" s="14" t="str">
        <f>IF(OR(Progetti!E16="",Progetti!V16=""),"",Progetti!V16)</f>
        <v/>
      </c>
      <c r="N18" s="14" t="str">
        <f>IF(OR(Progetti!E16="",Progetti!W16=""),"",Progetti!W16)</f>
        <v/>
      </c>
      <c r="O18" s="14" t="str">
        <f>IF(OR(Progetti!E16="",Progetti!X16=""),"",Progetti!X16)</f>
        <v/>
      </c>
      <c r="P18" s="14" t="str">
        <f>IF(OR(Progetti!E16="",Progetti!Y16=""),"",Progetti!Y16)</f>
        <v/>
      </c>
      <c r="Q18" s="14">
        <f>IF(OR(Progetti!E16="",Progetti!Z16=""),"",Progetti!Z16)</f>
        <v>46086</v>
      </c>
      <c r="R18" s="14">
        <f>IF(OR(Progetti!E16="",Progetti!AA16=""),"",Progetti!AA16)</f>
        <v>46265</v>
      </c>
      <c r="S18" s="14" t="str">
        <f>IF(OR(Progetti!E16="",Progetti!AB16=""),"",Progetti!AB16)</f>
        <v/>
      </c>
      <c r="T18" s="14" t="str">
        <f>IF(OR(Progetti!E16="",Progetti!AC16=""),"",Progetti!AC16)</f>
        <v/>
      </c>
      <c r="U18" s="14" t="str">
        <f>IF(OR(Progetti!E16="",Progetti!AD16=""),"",Progetti!AD16)</f>
        <v/>
      </c>
      <c r="V18" s="14" t="str">
        <f>IF(OR(Progetti!E16="",Progetti!AE16=""),"",Progetti!AE16)</f>
        <v/>
      </c>
      <c r="W18" s="14" t="str">
        <f>IF(OR(Progetti!E16="",Progetti!AF16=""),"",Progetti!AF16)</f>
        <v/>
      </c>
      <c r="X18" s="14" t="str">
        <f>IF(OR(Progetti!E16="",Progetti!AG16=""),"",Progetti!AG16)</f>
        <v/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</row>
    <row r="19" spans="1:84" x14ac:dyDescent="0.35">
      <c r="A19" s="29" t="str">
        <f>IF(Progetti!E17="","",Progetti!A17)</f>
        <v>Catania</v>
      </c>
      <c r="B19" s="29" t="str">
        <f>IF(Progetti!F17="","",Progetti!B17)</f>
        <v>Sud</v>
      </c>
      <c r="C19" s="29" t="str">
        <f>IF(Progetti!E17="","",Progetti!C17)</f>
        <v>ENNA 2 PV SRL</v>
      </c>
      <c r="D19" s="29">
        <f>IF(Progetti!F17="","",Progetti!D17)</f>
        <v>0</v>
      </c>
      <c r="E19" s="29" t="str">
        <f>IF(Progetti!E17="","",Progetti!E17)</f>
        <v>Enna 2</v>
      </c>
      <c r="F19" s="40" t="str">
        <f>IF(Progetti!K17="","",Progetti!K17)</f>
        <v/>
      </c>
      <c r="G19" s="40" t="str">
        <f>IF(Progetti!L17="","",Progetti!L17)</f>
        <v/>
      </c>
      <c r="H19" s="29" t="str">
        <f>IF(Progetti!E17="","",Progetti!N17)</f>
        <v>Autorizzazioni</v>
      </c>
      <c r="I19" s="29" t="str">
        <f>IF(Progetti!E17="","",Progetti!M17)</f>
        <v>In pipeline</v>
      </c>
      <c r="J19" s="38">
        <f>IF(Progetti!E17="","",Progetti!I17)</f>
        <v>42.8</v>
      </c>
      <c r="K19" s="39" t="str">
        <f>IF(OR(Progetti!E17="",Progetti!Q17=""),"",Progetti!Q17)</f>
        <v/>
      </c>
      <c r="L19" s="39">
        <f>IF(OR(Progetti!E17="",Progetti!R17=""),"",Progetti!R17)</f>
        <v>46087</v>
      </c>
      <c r="M19" s="14" t="str">
        <f>IF(OR(Progetti!E17="",Progetti!V17=""),"",Progetti!V17)</f>
        <v/>
      </c>
      <c r="N19" s="14" t="str">
        <f>IF(OR(Progetti!E17="",Progetti!W17=""),"",Progetti!W17)</f>
        <v/>
      </c>
      <c r="O19" s="14" t="str">
        <f>IF(OR(Progetti!E17="",Progetti!X17=""),"",Progetti!X17)</f>
        <v/>
      </c>
      <c r="P19" s="14" t="str">
        <f>IF(OR(Progetti!E17="",Progetti!Y17=""),"",Progetti!Y17)</f>
        <v/>
      </c>
      <c r="Q19" s="14">
        <f>IF(OR(Progetti!E17="",Progetti!Z17=""),"",Progetti!Z17)</f>
        <v>46087</v>
      </c>
      <c r="R19" s="14">
        <f>IF(OR(Progetti!E17="",Progetti!AA17=""),"",Progetti!AA17)</f>
        <v>46265</v>
      </c>
      <c r="S19" s="14" t="str">
        <f>IF(OR(Progetti!E17="",Progetti!AB17=""),"",Progetti!AB17)</f>
        <v/>
      </c>
      <c r="T19" s="14" t="str">
        <f>IF(OR(Progetti!E17="",Progetti!AC17=""),"",Progetti!AC17)</f>
        <v/>
      </c>
      <c r="U19" s="14" t="str">
        <f>IF(OR(Progetti!E17="",Progetti!AD17=""),"",Progetti!AD17)</f>
        <v/>
      </c>
      <c r="V19" s="14" t="str">
        <f>IF(OR(Progetti!E17="",Progetti!AE17=""),"",Progetti!AE17)</f>
        <v/>
      </c>
      <c r="W19" s="14" t="str">
        <f>IF(OR(Progetti!E17="",Progetti!AF17=""),"",Progetti!AF17)</f>
        <v/>
      </c>
      <c r="X19" s="14" t="str">
        <f>IF(OR(Progetti!E17="",Progetti!AG17=""),"",Progetti!AG17)</f>
        <v/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</row>
    <row r="20" spans="1:84" x14ac:dyDescent="0.35">
      <c r="A20" s="29" t="str">
        <f>IF(Progetti!E18="","",Progetti!A18)</f>
        <v>Catania</v>
      </c>
      <c r="B20" s="29" t="str">
        <f>IF(Progetti!F18="","",Progetti!B18)</f>
        <v>Sud</v>
      </c>
      <c r="C20" s="29" t="str">
        <f>IF(Progetti!E18="","",Progetti!C18)</f>
        <v>ENNA 3 PV SRL</v>
      </c>
      <c r="D20" s="29">
        <f>IF(Progetti!F18="","",Progetti!D18)</f>
        <v>0</v>
      </c>
      <c r="E20" s="29" t="str">
        <f>IF(Progetti!E18="","",Progetti!E18)</f>
        <v>Enna 3</v>
      </c>
      <c r="F20" s="40" t="str">
        <f>IF(Progetti!K18="","",Progetti!K18)</f>
        <v/>
      </c>
      <c r="G20" s="40" t="str">
        <f>IF(Progetti!L18="","",Progetti!L18)</f>
        <v/>
      </c>
      <c r="H20" s="29" t="str">
        <f>IF(Progetti!E18="","",Progetti!N18)</f>
        <v>Autorizzazioni</v>
      </c>
      <c r="I20" s="29" t="str">
        <f>IF(Progetti!E18="","",Progetti!M18)</f>
        <v>In pipeline</v>
      </c>
      <c r="J20" s="38">
        <f>IF(Progetti!E18="","",Progetti!I18)</f>
        <v>36.770000000000003</v>
      </c>
      <c r="K20" s="39" t="str">
        <f>IF(OR(Progetti!E18="",Progetti!Q18=""),"",Progetti!Q18)</f>
        <v/>
      </c>
      <c r="L20" s="39">
        <f>IF(OR(Progetti!E18="",Progetti!R18=""),"",Progetti!R18)</f>
        <v>46090</v>
      </c>
      <c r="M20" s="14" t="str">
        <f>IF(OR(Progetti!E18="",Progetti!V18=""),"",Progetti!V18)</f>
        <v/>
      </c>
      <c r="N20" s="14" t="str">
        <f>IF(OR(Progetti!E18="",Progetti!W18=""),"",Progetti!W18)</f>
        <v/>
      </c>
      <c r="O20" s="14" t="str">
        <f>IF(OR(Progetti!E18="",Progetti!X18=""),"",Progetti!X18)</f>
        <v/>
      </c>
      <c r="P20" s="14" t="str">
        <f>IF(OR(Progetti!E18="",Progetti!Y18=""),"",Progetti!Y18)</f>
        <v/>
      </c>
      <c r="Q20" s="14">
        <f>IF(OR(Progetti!E18="",Progetti!Z18=""),"",Progetti!Z18)</f>
        <v>46090</v>
      </c>
      <c r="R20" s="14">
        <f>IF(OR(Progetti!E18="",Progetti!AA18=""),"",Progetti!AA18)</f>
        <v>46265</v>
      </c>
      <c r="S20" s="14" t="str">
        <f>IF(OR(Progetti!E18="",Progetti!AB18=""),"",Progetti!AB18)</f>
        <v/>
      </c>
      <c r="T20" s="14" t="str">
        <f>IF(OR(Progetti!E18="",Progetti!AC18=""),"",Progetti!AC18)</f>
        <v/>
      </c>
      <c r="U20" s="14" t="str">
        <f>IF(OR(Progetti!E18="",Progetti!AD18=""),"",Progetti!AD18)</f>
        <v/>
      </c>
      <c r="V20" s="14" t="str">
        <f>IF(OR(Progetti!E18="",Progetti!AE18=""),"",Progetti!AE18)</f>
        <v/>
      </c>
      <c r="W20" s="14" t="str">
        <f>IF(OR(Progetti!E18="",Progetti!AF18=""),"",Progetti!AF18)</f>
        <v/>
      </c>
      <c r="X20" s="14" t="str">
        <f>IF(OR(Progetti!E18="",Progetti!AG18=""),"",Progetti!AG18)</f>
        <v/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</row>
    <row r="21" spans="1:84" x14ac:dyDescent="0.35">
      <c r="A21" s="29" t="str">
        <f>IF(Progetti!E19="","",Progetti!A19)</f>
        <v>Catania</v>
      </c>
      <c r="B21" s="29" t="str">
        <f>IF(Progetti!F19="","",Progetti!B19)</f>
        <v>Sud</v>
      </c>
      <c r="C21" s="29" t="str">
        <f>IF(Progetti!E19="","",Progetti!C19)</f>
        <v>FRI-EL SOLAR SRL</v>
      </c>
      <c r="D21" s="29">
        <f>IF(Progetti!F19="","",Progetti!D19)</f>
        <v>0</v>
      </c>
      <c r="E21" s="29" t="str">
        <f>IF(Progetti!E19="","",Progetti!E19)</f>
        <v>Raddusa</v>
      </c>
      <c r="F21" s="40" t="str">
        <f>IF(Progetti!K19="","",Progetti!K19)</f>
        <v/>
      </c>
      <c r="G21" s="40" t="str">
        <f>IF(Progetti!L19="","",Progetti!L19)</f>
        <v/>
      </c>
      <c r="H21" s="29" t="str">
        <f>IF(Progetti!E19="","",Progetti!N19)</f>
        <v>Autorizzazioni</v>
      </c>
      <c r="I21" s="29" t="str">
        <f>IF(Progetti!E19="","",Progetti!M19)</f>
        <v>In pipeline</v>
      </c>
      <c r="J21" s="38">
        <f>IF(Progetti!E19="","",Progetti!I19)</f>
        <v>58.95</v>
      </c>
      <c r="K21" s="39" t="str">
        <f>IF(OR(Progetti!E19="",Progetti!Q19=""),"",Progetti!Q19)</f>
        <v/>
      </c>
      <c r="L21" s="39">
        <f>IF(OR(Progetti!E19="",Progetti!R19=""),"",Progetti!R19)</f>
        <v>46091</v>
      </c>
      <c r="M21" s="14" t="str">
        <f>IF(OR(Progetti!E19="",Progetti!V19=""),"",Progetti!V19)</f>
        <v/>
      </c>
      <c r="N21" s="14" t="str">
        <f>IF(OR(Progetti!E19="",Progetti!W19=""),"",Progetti!W19)</f>
        <v/>
      </c>
      <c r="O21" s="14" t="str">
        <f>IF(OR(Progetti!E19="",Progetti!X19=""),"",Progetti!X19)</f>
        <v/>
      </c>
      <c r="P21" s="14" t="str">
        <f>IF(OR(Progetti!E19="",Progetti!Y19=""),"",Progetti!Y19)</f>
        <v/>
      </c>
      <c r="Q21" s="14">
        <f>IF(OR(Progetti!E19="",Progetti!Z19=""),"",Progetti!Z19)</f>
        <v>46091</v>
      </c>
      <c r="R21" s="14">
        <f>IF(OR(Progetti!E19="",Progetti!AA19=""),"",Progetti!AA19)</f>
        <v>46265</v>
      </c>
      <c r="S21" s="14" t="str">
        <f>IF(OR(Progetti!E19="",Progetti!AB19=""),"",Progetti!AB19)</f>
        <v/>
      </c>
      <c r="T21" s="14" t="str">
        <f>IF(OR(Progetti!E19="",Progetti!AC19=""),"",Progetti!AC19)</f>
        <v/>
      </c>
      <c r="U21" s="14" t="str">
        <f>IF(OR(Progetti!E19="",Progetti!AD19=""),"",Progetti!AD19)</f>
        <v/>
      </c>
      <c r="V21" s="14" t="str">
        <f>IF(OR(Progetti!E19="",Progetti!AE19=""),"",Progetti!AE19)</f>
        <v/>
      </c>
      <c r="W21" s="14" t="str">
        <f>IF(OR(Progetti!E19="",Progetti!AF19=""),"",Progetti!AF19)</f>
        <v/>
      </c>
      <c r="X21" s="14" t="str">
        <f>IF(OR(Progetti!E19="",Progetti!AG19=""),"",Progetti!AG19)</f>
        <v/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</row>
    <row r="22" spans="1:84" x14ac:dyDescent="0.35">
      <c r="A22" s="29" t="str">
        <f>IF(Progetti!E20="","",Progetti!A20)</f>
        <v>Catania</v>
      </c>
      <c r="B22" s="29" t="str">
        <f>IF(Progetti!F20="","",Progetti!B20)</f>
        <v>Sud</v>
      </c>
      <c r="C22" s="29" t="str">
        <f>IF(Progetti!E20="","",Progetti!C20)</f>
        <v>RB SOLAR ENERGY SRL</v>
      </c>
      <c r="D22" s="29">
        <f>IF(Progetti!F20="","",Progetti!D20)</f>
        <v>0</v>
      </c>
      <c r="E22" s="29" t="str">
        <f>IF(Progetti!E20="","",Progetti!E20)</f>
        <v>Licata</v>
      </c>
      <c r="F22" s="40" t="str">
        <f>IF(Progetti!K20="","",Progetti!K20)</f>
        <v/>
      </c>
      <c r="G22" s="40" t="str">
        <f>IF(Progetti!L20="","",Progetti!L20)</f>
        <v/>
      </c>
      <c r="H22" s="29" t="str">
        <f>IF(Progetti!E20="","",Progetti!N20)</f>
        <v>Autorizzazioni</v>
      </c>
      <c r="I22" s="29" t="str">
        <f>IF(Progetti!E20="","",Progetti!M20)</f>
        <v>In pipeline</v>
      </c>
      <c r="J22" s="38">
        <f>IF(Progetti!E20="","",Progetti!I20)</f>
        <v>68</v>
      </c>
      <c r="K22" s="39" t="str">
        <f>IF(OR(Progetti!E20="",Progetti!Q20=""),"",Progetti!Q20)</f>
        <v/>
      </c>
      <c r="L22" s="39">
        <f>IF(OR(Progetti!E20="",Progetti!R20=""),"",Progetti!R20)</f>
        <v>46092</v>
      </c>
      <c r="M22" s="14" t="str">
        <f>IF(OR(Progetti!E20="",Progetti!V20=""),"",Progetti!V20)</f>
        <v/>
      </c>
      <c r="N22" s="14" t="str">
        <f>IF(OR(Progetti!E20="",Progetti!W20=""),"",Progetti!W20)</f>
        <v/>
      </c>
      <c r="O22" s="14" t="str">
        <f>IF(OR(Progetti!E20="",Progetti!X20=""),"",Progetti!X20)</f>
        <v/>
      </c>
      <c r="P22" s="14" t="str">
        <f>IF(OR(Progetti!E20="",Progetti!Y20=""),"",Progetti!Y20)</f>
        <v/>
      </c>
      <c r="Q22" s="14">
        <f>IF(OR(Progetti!E20="",Progetti!Z20=""),"",Progetti!Z20)</f>
        <v>46092</v>
      </c>
      <c r="R22" s="14">
        <f>IF(OR(Progetti!E20="",Progetti!AA20=""),"",Progetti!AA20)</f>
        <v>46265</v>
      </c>
      <c r="S22" s="14" t="str">
        <f>IF(OR(Progetti!E20="",Progetti!AB20=""),"",Progetti!AB20)</f>
        <v/>
      </c>
      <c r="T22" s="14" t="str">
        <f>IF(OR(Progetti!E20="",Progetti!AC20=""),"",Progetti!AC20)</f>
        <v/>
      </c>
      <c r="U22" s="14" t="str">
        <f>IF(OR(Progetti!E20="",Progetti!AD20=""),"",Progetti!AD20)</f>
        <v/>
      </c>
      <c r="V22" s="14" t="str">
        <f>IF(OR(Progetti!E20="",Progetti!AE20=""),"",Progetti!AE20)</f>
        <v/>
      </c>
      <c r="W22" s="14" t="str">
        <f>IF(OR(Progetti!E20="",Progetti!AF20=""),"",Progetti!AF20)</f>
        <v/>
      </c>
      <c r="X22" s="14" t="str">
        <f>IF(OR(Progetti!E20="",Progetti!AG20=""),"",Progetti!AG20)</f>
        <v/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</row>
    <row r="23" spans="1:84" x14ac:dyDescent="0.35">
      <c r="A23" s="29" t="str">
        <f>IF(Progetti!E21="","",Progetti!A21)</f>
        <v>Catania</v>
      </c>
      <c r="B23" s="29" t="str">
        <f>IF(Progetti!F21="","",Progetti!B21)</f>
        <v>Sud</v>
      </c>
      <c r="C23" s="29" t="str">
        <f>IF(Progetti!E21="","",Progetti!C21)</f>
        <v>D2M GREEN ENERGY - CONCHE DELL'ORO SRL</v>
      </c>
      <c r="D23" s="29">
        <f>IF(Progetti!F21="","",Progetti!D21)</f>
        <v>0</v>
      </c>
      <c r="E23" s="29" t="str">
        <f>IF(Progetti!E21="","",Progetti!E21)</f>
        <v>Conche dell’Oro</v>
      </c>
      <c r="F23" s="40" t="str">
        <f>IF(Progetti!K21="","",Progetti!K21)</f>
        <v/>
      </c>
      <c r="G23" s="40" t="str">
        <f>IF(Progetti!L21="","",Progetti!L21)</f>
        <v/>
      </c>
      <c r="H23" s="29" t="str">
        <f>IF(Progetti!E21="","",Progetti!N21)</f>
        <v>Autorizzazioni</v>
      </c>
      <c r="I23" s="29" t="str">
        <f>IF(Progetti!E21="","",Progetti!M21)</f>
        <v>In pipeline</v>
      </c>
      <c r="J23" s="38">
        <f>IF(Progetti!E21="","",Progetti!I21)</f>
        <v>80</v>
      </c>
      <c r="K23" s="39" t="str">
        <f>IF(OR(Progetti!E21="",Progetti!Q21=""),"",Progetti!Q21)</f>
        <v/>
      </c>
      <c r="L23" s="39">
        <f>IF(OR(Progetti!E21="",Progetti!R21=""),"",Progetti!R21)</f>
        <v>46093</v>
      </c>
      <c r="M23" s="14" t="str">
        <f>IF(OR(Progetti!E21="",Progetti!V21=""),"",Progetti!V21)</f>
        <v/>
      </c>
      <c r="N23" s="14" t="str">
        <f>IF(OR(Progetti!E21="",Progetti!W21=""),"",Progetti!W21)</f>
        <v/>
      </c>
      <c r="O23" s="14" t="str">
        <f>IF(OR(Progetti!E21="",Progetti!X21=""),"",Progetti!X21)</f>
        <v/>
      </c>
      <c r="P23" s="14" t="str">
        <f>IF(OR(Progetti!E21="",Progetti!Y21=""),"",Progetti!Y21)</f>
        <v/>
      </c>
      <c r="Q23" s="14">
        <f>IF(OR(Progetti!E21="",Progetti!Z21=""),"",Progetti!Z21)</f>
        <v>46093</v>
      </c>
      <c r="R23" s="14">
        <f>IF(OR(Progetti!E21="",Progetti!AA21=""),"",Progetti!AA21)</f>
        <v>46265</v>
      </c>
      <c r="S23" s="14" t="str">
        <f>IF(OR(Progetti!E21="",Progetti!AB21=""),"",Progetti!AB21)</f>
        <v/>
      </c>
      <c r="T23" s="14" t="str">
        <f>IF(OR(Progetti!E21="",Progetti!AC21=""),"",Progetti!AC21)</f>
        <v/>
      </c>
      <c r="U23" s="14" t="str">
        <f>IF(OR(Progetti!E21="",Progetti!AD21=""),"",Progetti!AD21)</f>
        <v/>
      </c>
      <c r="V23" s="14" t="str">
        <f>IF(OR(Progetti!E21="",Progetti!AE21=""),"",Progetti!AE21)</f>
        <v/>
      </c>
      <c r="W23" s="14" t="str">
        <f>IF(OR(Progetti!E21="",Progetti!AF21=""),"",Progetti!AF21)</f>
        <v/>
      </c>
      <c r="X23" s="14" t="str">
        <f>IF(OR(Progetti!E21="",Progetti!AG21=""),"",Progetti!AG21)</f>
        <v/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</row>
    <row r="24" spans="1:84" x14ac:dyDescent="0.35">
      <c r="A24" s="29" t="str">
        <f>IF(Progetti!E22="","",Progetti!A22)</f>
        <v>Catania</v>
      </c>
      <c r="B24" s="29" t="str">
        <f>IF(Progetti!F22="","",Progetti!B22)</f>
        <v>Sud</v>
      </c>
      <c r="C24" s="29" t="str">
        <f>IF(Progetti!E22="","",Progetti!C22)</f>
        <v>CVA EOS SRL</v>
      </c>
      <c r="D24" s="29">
        <f>IF(Progetti!F22="","",Progetti!D22)</f>
        <v>0</v>
      </c>
      <c r="E24" s="29" t="str">
        <f>IF(Progetti!E22="","",Progetti!E22)</f>
        <v>AGV Gatto Corvino</v>
      </c>
      <c r="F24" s="40" t="str">
        <f>IF(Progetti!K22="","",Progetti!K22)</f>
        <v/>
      </c>
      <c r="G24" s="40" t="str">
        <f>IF(Progetti!L22="","",Progetti!L22)</f>
        <v/>
      </c>
      <c r="H24" s="29" t="str">
        <f>IF(Progetti!E22="","",Progetti!N22)</f>
        <v>Autorizzazioni</v>
      </c>
      <c r="I24" s="29" t="str">
        <f>IF(Progetti!E22="","",Progetti!M22)</f>
        <v>In pipeline</v>
      </c>
      <c r="J24" s="38">
        <f>IF(Progetti!E22="","",Progetti!I22)</f>
        <v>90.6</v>
      </c>
      <c r="K24" s="39" t="str">
        <f>IF(OR(Progetti!E22="",Progetti!Q22=""),"",Progetti!Q22)</f>
        <v/>
      </c>
      <c r="L24" s="39">
        <f>IF(OR(Progetti!E22="",Progetti!R22=""),"",Progetti!R22)</f>
        <v>46114</v>
      </c>
      <c r="M24" s="14" t="str">
        <f>IF(OR(Progetti!E22="",Progetti!V22=""),"",Progetti!V22)</f>
        <v/>
      </c>
      <c r="N24" s="14" t="str">
        <f>IF(OR(Progetti!E22="",Progetti!W22=""),"",Progetti!W22)</f>
        <v/>
      </c>
      <c r="O24" s="14" t="str">
        <f>IF(OR(Progetti!E22="",Progetti!X22=""),"",Progetti!X22)</f>
        <v/>
      </c>
      <c r="P24" s="14" t="str">
        <f>IF(OR(Progetti!E22="",Progetti!Y22=""),"",Progetti!Y22)</f>
        <v/>
      </c>
      <c r="Q24" s="14">
        <f>IF(OR(Progetti!E22="",Progetti!Z22=""),"",Progetti!Z22)</f>
        <v>46114</v>
      </c>
      <c r="R24" s="14">
        <f>IF(OR(Progetti!E22="",Progetti!AA22=""),"",Progetti!AA22)</f>
        <v>46295</v>
      </c>
      <c r="S24" s="14" t="str">
        <f>IF(OR(Progetti!E22="",Progetti!AB22=""),"",Progetti!AB22)</f>
        <v/>
      </c>
      <c r="T24" s="14" t="str">
        <f>IF(OR(Progetti!E22="",Progetti!AC22=""),"",Progetti!AC22)</f>
        <v/>
      </c>
      <c r="U24" s="14" t="str">
        <f>IF(OR(Progetti!E22="",Progetti!AD22=""),"",Progetti!AD22)</f>
        <v/>
      </c>
      <c r="V24" s="14" t="str">
        <f>IF(OR(Progetti!E22="",Progetti!AE22=""),"",Progetti!AE22)</f>
        <v/>
      </c>
      <c r="W24" s="14" t="str">
        <f>IF(OR(Progetti!E22="",Progetti!AF22=""),"",Progetti!AF22)</f>
        <v/>
      </c>
      <c r="X24" s="14" t="str">
        <f>IF(OR(Progetti!E22="",Progetti!AG22=""),"",Progetti!AG22)</f>
        <v/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</row>
    <row r="25" spans="1:84" x14ac:dyDescent="0.35">
      <c r="A25" s="29" t="str">
        <f>IF(Progetti!E23="","",Progetti!A23)</f>
        <v>Catania</v>
      </c>
      <c r="B25" s="29" t="str">
        <f>IF(Progetti!F23="","",Progetti!B23)</f>
        <v>Sud</v>
      </c>
      <c r="C25" s="29" t="str">
        <f>IF(Progetti!E23="","",Progetti!C23)</f>
        <v>PERIDOT SOLAR (ITALY) SRL</v>
      </c>
      <c r="D25" s="29">
        <f>IF(Progetti!F23="","",Progetti!D23)</f>
        <v>0</v>
      </c>
      <c r="E25" s="29" t="str">
        <f>IF(Progetti!E23="","",Progetti!E23)</f>
        <v>PV Monreale e Gibellina</v>
      </c>
      <c r="F25" s="40" t="str">
        <f>IF(Progetti!K23="","",Progetti!K23)</f>
        <v/>
      </c>
      <c r="G25" s="40" t="str">
        <f>IF(Progetti!L23="","",Progetti!L23)</f>
        <v/>
      </c>
      <c r="H25" s="29" t="str">
        <f>IF(Progetti!E23="","",Progetti!N23)</f>
        <v>Procurement</v>
      </c>
      <c r="I25" s="29" t="str">
        <f>IF(Progetti!E23="","",Progetti!M23)</f>
        <v>In pipeline</v>
      </c>
      <c r="J25" s="38">
        <f>IF(Progetti!E23="","",Progetti!I23)</f>
        <v>137</v>
      </c>
      <c r="K25" s="39" t="str">
        <f>IF(OR(Progetti!E23="",Progetti!Q23=""),"",Progetti!Q23)</f>
        <v/>
      </c>
      <c r="L25" s="39">
        <f>IF(OR(Progetti!E23="",Progetti!R23=""),"",Progetti!R23)</f>
        <v>46120</v>
      </c>
      <c r="M25" s="14" t="str">
        <f>IF(OR(Progetti!E23="",Progetti!V23=""),"",Progetti!V23)</f>
        <v/>
      </c>
      <c r="N25" s="14" t="str">
        <f>IF(OR(Progetti!E23="",Progetti!W23=""),"",Progetti!W23)</f>
        <v/>
      </c>
      <c r="O25" s="14" t="str">
        <f>IF(OR(Progetti!E23="",Progetti!X23=""),"",Progetti!X23)</f>
        <v/>
      </c>
      <c r="P25" s="14" t="str">
        <f>IF(OR(Progetti!E23="",Progetti!Y23=""),"",Progetti!Y23)</f>
        <v/>
      </c>
      <c r="Q25" s="14" t="str">
        <f>IF(OR(Progetti!E23="",Progetti!Z23=""),"",Progetti!Z23)</f>
        <v/>
      </c>
      <c r="R25" s="14" t="str">
        <f>IF(OR(Progetti!E23="",Progetti!AA23=""),"",Progetti!AA23)</f>
        <v/>
      </c>
      <c r="S25" s="14">
        <f>IF(OR(Progetti!E23="",Progetti!AB23=""),"",Progetti!AB23)</f>
        <v>46113</v>
      </c>
      <c r="T25" s="14">
        <f>IF(OR(Progetti!E23="",Progetti!AC23=""),"",Progetti!AC23)</f>
        <v>46142</v>
      </c>
      <c r="U25" s="14" t="str">
        <f>IF(OR(Progetti!E23="",Progetti!AD23=""),"",Progetti!AD23)</f>
        <v/>
      </c>
      <c r="V25" s="14" t="str">
        <f>IF(OR(Progetti!E23="",Progetti!AE23=""),"",Progetti!AE23)</f>
        <v/>
      </c>
      <c r="W25" s="14" t="str">
        <f>IF(OR(Progetti!E23="",Progetti!AF23=""),"",Progetti!AF23)</f>
        <v/>
      </c>
      <c r="X25" s="14" t="str">
        <f>IF(OR(Progetti!E23="",Progetti!AG23=""),"",Progetti!AG23)</f>
        <v/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</row>
    <row r="26" spans="1:84" x14ac:dyDescent="0.35">
      <c r="A26" s="29" t="str">
        <f>IF(Progetti!E24="","",Progetti!A24)</f>
        <v>Catania</v>
      </c>
      <c r="B26" s="29" t="str">
        <f>IF(Progetti!F24="","",Progetti!B24)</f>
        <v>Sud</v>
      </c>
      <c r="C26" s="29" t="str">
        <f>IF(Progetti!E24="","",Progetti!C24)</f>
        <v>CCE ITALIA</v>
      </c>
      <c r="D26" s="29">
        <f>IF(Progetti!F24="","",Progetti!D24)</f>
        <v>0</v>
      </c>
      <c r="E26" s="29" t="str">
        <f>IF(Progetti!E24="","",Progetti!E24)</f>
        <v>Smart Island Pantelleria</v>
      </c>
      <c r="F26" s="40" t="str">
        <f>IF(Progetti!K24="","",Progetti!K24)</f>
        <v/>
      </c>
      <c r="G26" s="40" t="str">
        <f>IF(Progetti!L24="","",Progetti!L24)</f>
        <v/>
      </c>
      <c r="H26" s="29" t="str">
        <f>IF(Progetti!E24="","",Progetti!N24)</f>
        <v>Costruzione</v>
      </c>
      <c r="I26" s="29" t="str">
        <f>IF(Progetti!E24="","",Progetti!M24)</f>
        <v>Attivo</v>
      </c>
      <c r="J26" s="38">
        <f>IF(Progetti!E24="","",Progetti!I24)</f>
        <v>0.93</v>
      </c>
      <c r="K26" s="39" t="str">
        <f>IF(OR(Progetti!E24="",Progetti!Q24=""),"",Progetti!Q24)</f>
        <v/>
      </c>
      <c r="L26" s="39">
        <f>IF(OR(Progetti!E24="",Progetti!R24=""),"",Progetti!R24)</f>
        <v>46125</v>
      </c>
      <c r="M26" s="14" t="str">
        <f>IF(OR(Progetti!E24="",Progetti!V24=""),"",Progetti!V24)</f>
        <v/>
      </c>
      <c r="N26" s="14" t="str">
        <f>IF(OR(Progetti!E24="",Progetti!W24=""),"",Progetti!W24)</f>
        <v/>
      </c>
      <c r="O26" s="14" t="str">
        <f>IF(OR(Progetti!E24="",Progetti!X24=""),"",Progetti!X24)</f>
        <v/>
      </c>
      <c r="P26" s="14" t="str">
        <f>IF(OR(Progetti!E24="",Progetti!Y24=""),"",Progetti!Y24)</f>
        <v/>
      </c>
      <c r="Q26" s="14" t="str">
        <f>IF(OR(Progetti!E24="",Progetti!Z24=""),"",Progetti!Z24)</f>
        <v/>
      </c>
      <c r="R26" s="14" t="str">
        <f>IF(OR(Progetti!E24="",Progetti!AA24=""),"",Progetti!AA24)</f>
        <v/>
      </c>
      <c r="S26" s="14" t="str">
        <f>IF(OR(Progetti!E24="",Progetti!AB24=""),"",Progetti!AB24)</f>
        <v/>
      </c>
      <c r="T26" s="14" t="str">
        <f>IF(OR(Progetti!E24="",Progetti!AC24=""),"",Progetti!AC24)</f>
        <v/>
      </c>
      <c r="U26" s="14">
        <f>IF(OR(Progetti!E24="",Progetti!AD24=""),"",Progetti!AD24)</f>
        <v>46118</v>
      </c>
      <c r="V26" s="14">
        <f>IF(OR(Progetti!E24="",Progetti!AE24=""),"",Progetti!AE24)</f>
        <v>46203</v>
      </c>
      <c r="W26" s="14" t="str">
        <f>IF(OR(Progetti!E24="",Progetti!AF24=""),"",Progetti!AF24)</f>
        <v/>
      </c>
      <c r="X26" s="14" t="str">
        <f>IF(OR(Progetti!E24="",Progetti!AG24=""),"",Progetti!AG24)</f>
        <v/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</row>
    <row r="27" spans="1:84" x14ac:dyDescent="0.35">
      <c r="A27" s="29" t="str">
        <f>IF(Progetti!E25="","",Progetti!A25)</f>
        <v>Catania</v>
      </c>
      <c r="B27" s="29" t="str">
        <f>IF(Progetti!F25="","",Progetti!B25)</f>
        <v>Sud</v>
      </c>
      <c r="C27" s="29" t="str">
        <f>IF(Progetti!E25="","",Progetti!C25)</f>
        <v>CAPOBIANCO SRL</v>
      </c>
      <c r="D27" s="29">
        <f>IF(Progetti!F25="","",Progetti!D25)</f>
        <v>0</v>
      </c>
      <c r="E27" s="29" t="str">
        <f>IF(Progetti!E25="","",Progetti!E25)</f>
        <v>Capobianco</v>
      </c>
      <c r="F27" s="40" t="str">
        <f>IF(Progetti!K25="","",Progetti!K25)</f>
        <v/>
      </c>
      <c r="G27" s="40" t="str">
        <f>IF(Progetti!L25="","",Progetti!L25)</f>
        <v/>
      </c>
      <c r="H27" s="29" t="str">
        <f>IF(Progetti!E25="","",Progetti!N25)</f>
        <v>Autorizzazioni</v>
      </c>
      <c r="I27" s="29" t="str">
        <f>IF(Progetti!E25="","",Progetti!M25)</f>
        <v>In pipeline</v>
      </c>
      <c r="J27" s="38">
        <f>IF(Progetti!E25="","",Progetti!I25)</f>
        <v>250</v>
      </c>
      <c r="K27" s="39" t="str">
        <f>IF(OR(Progetti!E25="",Progetti!Q25=""),"",Progetti!Q25)</f>
        <v/>
      </c>
      <c r="L27" s="39">
        <f>IF(OR(Progetti!E25="",Progetti!R25=""),"",Progetti!R25)</f>
        <v>46125</v>
      </c>
      <c r="M27" s="14" t="str">
        <f>IF(OR(Progetti!E25="",Progetti!V25=""),"",Progetti!V25)</f>
        <v/>
      </c>
      <c r="N27" s="14" t="str">
        <f>IF(OR(Progetti!E25="",Progetti!W25=""),"",Progetti!W25)</f>
        <v/>
      </c>
      <c r="O27" s="14" t="str">
        <f>IF(OR(Progetti!E25="",Progetti!X25=""),"",Progetti!X25)</f>
        <v/>
      </c>
      <c r="P27" s="14" t="str">
        <f>IF(OR(Progetti!E25="",Progetti!Y25=""),"",Progetti!Y25)</f>
        <v/>
      </c>
      <c r="Q27" s="14">
        <f>IF(OR(Progetti!E25="",Progetti!Z25=""),"",Progetti!Z25)</f>
        <v>46125</v>
      </c>
      <c r="R27" s="14">
        <f>IF(OR(Progetti!E25="",Progetti!AA25=""),"",Progetti!AA25)</f>
        <v>46295</v>
      </c>
      <c r="S27" s="14" t="str">
        <f>IF(OR(Progetti!E25="",Progetti!AB25=""),"",Progetti!AB25)</f>
        <v/>
      </c>
      <c r="T27" s="14" t="str">
        <f>IF(OR(Progetti!E25="",Progetti!AC25=""),"",Progetti!AC25)</f>
        <v/>
      </c>
      <c r="U27" s="14" t="str">
        <f>IF(OR(Progetti!E25="",Progetti!AD25=""),"",Progetti!AD25)</f>
        <v/>
      </c>
      <c r="V27" s="14" t="str">
        <f>IF(OR(Progetti!E25="",Progetti!AE25=""),"",Progetti!AE25)</f>
        <v/>
      </c>
      <c r="W27" s="14" t="str">
        <f>IF(OR(Progetti!E25="",Progetti!AF25=""),"",Progetti!AF25)</f>
        <v/>
      </c>
      <c r="X27" s="14" t="str">
        <f>IF(OR(Progetti!E25="",Progetti!AG25=""),"",Progetti!AG25)</f>
        <v/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</row>
    <row r="28" spans="1:84" x14ac:dyDescent="0.35">
      <c r="A28" s="29" t="str">
        <f>IF(Progetti!E26="","",Progetti!A26)</f>
        <v>Catania</v>
      </c>
      <c r="B28" s="29" t="str">
        <f>IF(Progetti!F26="","",Progetti!B26)</f>
        <v>Sud</v>
      </c>
      <c r="C28" s="29" t="str">
        <f>IF(Progetti!E26="","",Progetti!C26)</f>
        <v>EDPR SICILIA PV SRL</v>
      </c>
      <c r="D28" s="29">
        <f>IF(Progetti!F26="","",Progetti!D26)</f>
        <v>0</v>
      </c>
      <c r="E28" s="29" t="str">
        <f>IF(Progetti!E26="","",Progetti!E26)</f>
        <v>Zaffarana 38</v>
      </c>
      <c r="F28" s="40" t="str">
        <f>IF(Progetti!K26="","",Progetti!K26)</f>
        <v/>
      </c>
      <c r="G28" s="40" t="str">
        <f>IF(Progetti!L26="","",Progetti!L26)</f>
        <v/>
      </c>
      <c r="H28" s="29" t="str">
        <f>IF(Progetti!E26="","",Progetti!N26)</f>
        <v>Autorizzazioni</v>
      </c>
      <c r="I28" s="29" t="str">
        <f>IF(Progetti!E26="","",Progetti!M26)</f>
        <v>In pipeline</v>
      </c>
      <c r="J28" s="38">
        <f>IF(Progetti!E26="","",Progetti!I26)</f>
        <v>38.299999999999997</v>
      </c>
      <c r="K28" s="39" t="str">
        <f>IF(OR(Progetti!E26="",Progetti!Q26=""),"",Progetti!Q26)</f>
        <v/>
      </c>
      <c r="L28" s="39">
        <f>IF(OR(Progetti!E26="",Progetti!R26=""),"",Progetti!R26)</f>
        <v>46125</v>
      </c>
      <c r="M28" s="14" t="str">
        <f>IF(OR(Progetti!E26="",Progetti!V26=""),"",Progetti!V26)</f>
        <v/>
      </c>
      <c r="N28" s="14" t="str">
        <f>IF(OR(Progetti!E26="",Progetti!W26=""),"",Progetti!W26)</f>
        <v/>
      </c>
      <c r="O28" s="14" t="str">
        <f>IF(OR(Progetti!E26="",Progetti!X26=""),"",Progetti!X26)</f>
        <v/>
      </c>
      <c r="P28" s="14" t="str">
        <f>IF(OR(Progetti!E26="",Progetti!Y26=""),"",Progetti!Y26)</f>
        <v/>
      </c>
      <c r="Q28" s="14">
        <f>IF(OR(Progetti!E26="",Progetti!Z26=""),"",Progetti!Z26)</f>
        <v>46125</v>
      </c>
      <c r="R28" s="14">
        <f>IF(OR(Progetti!E26="",Progetti!AA26=""),"",Progetti!AA26)</f>
        <v>46295</v>
      </c>
      <c r="S28" s="14" t="str">
        <f>IF(OR(Progetti!E26="",Progetti!AB26=""),"",Progetti!AB26)</f>
        <v/>
      </c>
      <c r="T28" s="14" t="str">
        <f>IF(OR(Progetti!E26="",Progetti!AC26=""),"",Progetti!AC26)</f>
        <v/>
      </c>
      <c r="U28" s="14" t="str">
        <f>IF(OR(Progetti!E26="",Progetti!AD26=""),"",Progetti!AD26)</f>
        <v/>
      </c>
      <c r="V28" s="14" t="str">
        <f>IF(OR(Progetti!E26="",Progetti!AE26=""),"",Progetti!AE26)</f>
        <v/>
      </c>
      <c r="W28" s="14" t="str">
        <f>IF(OR(Progetti!E26="",Progetti!AF26=""),"",Progetti!AF26)</f>
        <v/>
      </c>
      <c r="X28" s="14" t="str">
        <f>IF(OR(Progetti!E26="",Progetti!AG26=""),"",Progetti!AG26)</f>
        <v/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</row>
    <row r="29" spans="1:84" x14ac:dyDescent="0.35">
      <c r="A29" s="29" t="str">
        <f>IF(Progetti!E27="","",Progetti!A27)</f>
        <v>Catania</v>
      </c>
      <c r="B29" s="29" t="str">
        <f>IF(Progetti!F27="","",Progetti!B27)</f>
        <v>Sud</v>
      </c>
      <c r="C29" s="29" t="str">
        <f>IF(Progetti!E27="","",Progetti!C27)</f>
        <v>RENANTIS ITALIA SRL</v>
      </c>
      <c r="D29" s="29">
        <f>IF(Progetti!F27="","",Progetti!D27)</f>
        <v>0</v>
      </c>
      <c r="E29" s="29" t="str">
        <f>IF(Progetti!E27="","",Progetti!E27)</f>
        <v>Biddine</v>
      </c>
      <c r="F29" s="40" t="str">
        <f>IF(Progetti!K27="","",Progetti!K27)</f>
        <v/>
      </c>
      <c r="G29" s="40" t="str">
        <f>IF(Progetti!L27="","",Progetti!L27)</f>
        <v/>
      </c>
      <c r="H29" s="29" t="str">
        <f>IF(Progetti!E27="","",Progetti!N27)</f>
        <v>Autorizzazioni</v>
      </c>
      <c r="I29" s="29" t="str">
        <f>IF(Progetti!E27="","",Progetti!M27)</f>
        <v>In pipeline</v>
      </c>
      <c r="J29" s="38">
        <f>IF(Progetti!E27="","",Progetti!I27)</f>
        <v>35</v>
      </c>
      <c r="K29" s="39" t="str">
        <f>IF(OR(Progetti!E27="",Progetti!Q27=""),"",Progetti!Q27)</f>
        <v/>
      </c>
      <c r="L29" s="39">
        <f>IF(OR(Progetti!E27="",Progetti!R27=""),"",Progetti!R27)</f>
        <v>46129</v>
      </c>
      <c r="M29" s="14" t="str">
        <f>IF(OR(Progetti!E27="",Progetti!V27=""),"",Progetti!V27)</f>
        <v/>
      </c>
      <c r="N29" s="14" t="str">
        <f>IF(OR(Progetti!E27="",Progetti!W27=""),"",Progetti!W27)</f>
        <v/>
      </c>
      <c r="O29" s="14" t="str">
        <f>IF(OR(Progetti!E27="",Progetti!X27=""),"",Progetti!X27)</f>
        <v/>
      </c>
      <c r="P29" s="14" t="str">
        <f>IF(OR(Progetti!E27="",Progetti!Y27=""),"",Progetti!Y27)</f>
        <v/>
      </c>
      <c r="Q29" s="14">
        <f>IF(OR(Progetti!E27="",Progetti!Z27=""),"",Progetti!Z27)</f>
        <v>46129</v>
      </c>
      <c r="R29" s="14">
        <f>IF(OR(Progetti!E27="",Progetti!AA27=""),"",Progetti!AA27)</f>
        <v>46325</v>
      </c>
      <c r="S29" s="14" t="str">
        <f>IF(OR(Progetti!E27="",Progetti!AB27=""),"",Progetti!AB27)</f>
        <v/>
      </c>
      <c r="T29" s="14" t="str">
        <f>IF(OR(Progetti!E27="",Progetti!AC27=""),"",Progetti!AC27)</f>
        <v/>
      </c>
      <c r="U29" s="14" t="str">
        <f>IF(OR(Progetti!E27="",Progetti!AD27=""),"",Progetti!AD27)</f>
        <v/>
      </c>
      <c r="V29" s="14" t="str">
        <f>IF(OR(Progetti!E27="",Progetti!AE27=""),"",Progetti!AE27)</f>
        <v/>
      </c>
      <c r="W29" s="14" t="str">
        <f>IF(OR(Progetti!E27="",Progetti!AF27=""),"",Progetti!AF27)</f>
        <v/>
      </c>
      <c r="X29" s="14" t="str">
        <f>IF(OR(Progetti!E27="",Progetti!AG27=""),"",Progetti!AG27)</f>
        <v/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</row>
    <row r="30" spans="1:84" x14ac:dyDescent="0.35">
      <c r="A30" s="29" t="str">
        <f>IF(Progetti!E28="","",Progetti!A28)</f>
        <v/>
      </c>
      <c r="B30" s="29" t="str">
        <f>IF(Progetti!F28="","",Progetti!B28)</f>
        <v/>
      </c>
      <c r="C30" s="29" t="str">
        <f>IF(Progetti!E28="","",Progetti!C28)</f>
        <v/>
      </c>
      <c r="D30" s="29" t="str">
        <f>IF(Progetti!F28="","",Progetti!D28)</f>
        <v/>
      </c>
      <c r="E30" s="29" t="str">
        <f>IF(Progetti!E28="","",Progetti!E28)</f>
        <v/>
      </c>
      <c r="F30" s="40" t="str">
        <f>IF(Progetti!K28="","",Progetti!K28)</f>
        <v/>
      </c>
      <c r="G30" s="40" t="str">
        <f>IF(Progetti!L28="","",Progetti!L28)</f>
        <v/>
      </c>
      <c r="H30" s="29" t="str">
        <f>IF(Progetti!E28="","",Progetti!N28)</f>
        <v/>
      </c>
      <c r="I30" s="29" t="str">
        <f>IF(Progetti!E28="","",Progetti!M28)</f>
        <v/>
      </c>
      <c r="J30" s="38" t="str">
        <f>IF(Progetti!E28="","",Progetti!I28)</f>
        <v/>
      </c>
      <c r="K30" s="39" t="str">
        <f>IF(OR(Progetti!E28="",Progetti!Q28=""),"",Progetti!Q28)</f>
        <v/>
      </c>
      <c r="L30" s="39" t="str">
        <f>IF(OR(Progetti!E28="",Progetti!R28=""),"",Progetti!R28)</f>
        <v/>
      </c>
      <c r="M30" s="14" t="str">
        <f>IF(OR(Progetti!E28="",Progetti!V28=""),"",Progetti!V28)</f>
        <v/>
      </c>
      <c r="N30" s="14" t="str">
        <f>IF(OR(Progetti!E28="",Progetti!W28=""),"",Progetti!W28)</f>
        <v/>
      </c>
      <c r="O30" s="14" t="str">
        <f>IF(OR(Progetti!E28="",Progetti!X28=""),"",Progetti!X28)</f>
        <v/>
      </c>
      <c r="P30" s="14" t="str">
        <f>IF(OR(Progetti!E28="",Progetti!Y28=""),"",Progetti!Y28)</f>
        <v/>
      </c>
      <c r="Q30" s="14" t="str">
        <f>IF(OR(Progetti!E28="",Progetti!Z28=""),"",Progetti!Z28)</f>
        <v/>
      </c>
      <c r="R30" s="14" t="str">
        <f>IF(OR(Progetti!E28="",Progetti!AA28=""),"",Progetti!AA28)</f>
        <v/>
      </c>
      <c r="S30" s="14" t="str">
        <f>IF(OR(Progetti!E28="",Progetti!AB28=""),"",Progetti!AB28)</f>
        <v/>
      </c>
      <c r="T30" s="14" t="str">
        <f>IF(OR(Progetti!E28="",Progetti!AC28=""),"",Progetti!AC28)</f>
        <v/>
      </c>
      <c r="U30" s="14" t="str">
        <f>IF(OR(Progetti!E28="",Progetti!AD28=""),"",Progetti!AD28)</f>
        <v/>
      </c>
      <c r="V30" s="14" t="str">
        <f>IF(OR(Progetti!E28="",Progetti!AE28=""),"",Progetti!AE28)</f>
        <v/>
      </c>
      <c r="W30" s="14" t="str">
        <f>IF(OR(Progetti!E28="",Progetti!AF28=""),"",Progetti!AF28)</f>
        <v/>
      </c>
      <c r="X30" s="14" t="str">
        <f>IF(OR(Progetti!E28="",Progetti!AG28=""),"",Progetti!AG28)</f>
        <v/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</row>
    <row r="31" spans="1:84" x14ac:dyDescent="0.35">
      <c r="A31" s="29" t="str">
        <f>IF(Progetti!E29="","",Progetti!A29)</f>
        <v/>
      </c>
      <c r="B31" s="29" t="str">
        <f>IF(Progetti!F29="","",Progetti!B29)</f>
        <v/>
      </c>
      <c r="C31" s="29" t="str">
        <f>IF(Progetti!E29="","",Progetti!C29)</f>
        <v/>
      </c>
      <c r="D31" s="29" t="str">
        <f>IF(Progetti!F29="","",Progetti!D29)</f>
        <v/>
      </c>
      <c r="E31" s="29" t="str">
        <f>IF(Progetti!E29="","",Progetti!E29)</f>
        <v/>
      </c>
      <c r="F31" s="40" t="str">
        <f>IF(Progetti!K29="","",Progetti!K29)</f>
        <v/>
      </c>
      <c r="G31" s="40" t="str">
        <f>IF(Progetti!L29="","",Progetti!L29)</f>
        <v/>
      </c>
      <c r="H31" s="29" t="str">
        <f>IF(Progetti!E29="","",Progetti!N29)</f>
        <v/>
      </c>
      <c r="I31" s="29" t="str">
        <f>IF(Progetti!E29="","",Progetti!M29)</f>
        <v/>
      </c>
      <c r="J31" s="38" t="str">
        <f>IF(Progetti!E29="","",Progetti!I29)</f>
        <v/>
      </c>
      <c r="K31" s="39" t="str">
        <f>IF(OR(Progetti!E29="",Progetti!Q29=""),"",Progetti!Q29)</f>
        <v/>
      </c>
      <c r="L31" s="39" t="str">
        <f>IF(OR(Progetti!E29="",Progetti!R29=""),"",Progetti!R29)</f>
        <v/>
      </c>
      <c r="M31" s="14" t="str">
        <f>IF(OR(Progetti!E29="",Progetti!V29=""),"",Progetti!V29)</f>
        <v/>
      </c>
      <c r="N31" s="14" t="str">
        <f>IF(OR(Progetti!E29="",Progetti!W29=""),"",Progetti!W29)</f>
        <v/>
      </c>
      <c r="O31" s="14" t="str">
        <f>IF(OR(Progetti!E29="",Progetti!X29=""),"",Progetti!X29)</f>
        <v/>
      </c>
      <c r="P31" s="14" t="str">
        <f>IF(OR(Progetti!E29="",Progetti!Y29=""),"",Progetti!Y29)</f>
        <v/>
      </c>
      <c r="Q31" s="14" t="str">
        <f>IF(OR(Progetti!E29="",Progetti!Z29=""),"",Progetti!Z29)</f>
        <v/>
      </c>
      <c r="R31" s="14" t="str">
        <f>IF(OR(Progetti!E29="",Progetti!AA29=""),"",Progetti!AA29)</f>
        <v/>
      </c>
      <c r="S31" s="14" t="str">
        <f>IF(OR(Progetti!E29="",Progetti!AB29=""),"",Progetti!AB29)</f>
        <v/>
      </c>
      <c r="T31" s="14" t="str">
        <f>IF(OR(Progetti!E29="",Progetti!AC29=""),"",Progetti!AC29)</f>
        <v/>
      </c>
      <c r="U31" s="14" t="str">
        <f>IF(OR(Progetti!E29="",Progetti!AD29=""),"",Progetti!AD29)</f>
        <v/>
      </c>
      <c r="V31" s="14" t="str">
        <f>IF(OR(Progetti!E29="",Progetti!AE29=""),"",Progetti!AE29)</f>
        <v/>
      </c>
      <c r="W31" s="14" t="str">
        <f>IF(OR(Progetti!E29="",Progetti!AF29=""),"",Progetti!AF29)</f>
        <v/>
      </c>
      <c r="X31" s="14" t="str">
        <f>IF(OR(Progetti!E29="",Progetti!AG29=""),"",Progetti!AG29)</f>
        <v/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</row>
    <row r="32" spans="1:84" x14ac:dyDescent="0.35">
      <c r="A32" s="29" t="str">
        <f>IF(Progetti!E30="","",Progetti!A30)</f>
        <v/>
      </c>
      <c r="B32" s="29" t="str">
        <f>IF(Progetti!F30="","",Progetti!B30)</f>
        <v/>
      </c>
      <c r="C32" s="29" t="str">
        <f>IF(Progetti!E30="","",Progetti!C30)</f>
        <v/>
      </c>
      <c r="D32" s="29" t="str">
        <f>IF(Progetti!F30="","",Progetti!D30)</f>
        <v/>
      </c>
      <c r="E32" s="29" t="str">
        <f>IF(Progetti!E30="","",Progetti!E30)</f>
        <v/>
      </c>
      <c r="F32" s="40" t="str">
        <f>IF(Progetti!K30="","",Progetti!K30)</f>
        <v/>
      </c>
      <c r="G32" s="40" t="str">
        <f>IF(Progetti!L30="","",Progetti!L30)</f>
        <v/>
      </c>
      <c r="H32" s="29" t="str">
        <f>IF(Progetti!E30="","",Progetti!N30)</f>
        <v/>
      </c>
      <c r="I32" s="29" t="str">
        <f>IF(Progetti!E30="","",Progetti!M30)</f>
        <v/>
      </c>
      <c r="J32" s="38" t="str">
        <f>IF(Progetti!E30="","",Progetti!I30)</f>
        <v/>
      </c>
      <c r="K32" s="39" t="str">
        <f>IF(OR(Progetti!E30="",Progetti!Q30=""),"",Progetti!Q30)</f>
        <v/>
      </c>
      <c r="L32" s="39" t="str">
        <f>IF(OR(Progetti!E30="",Progetti!R30=""),"",Progetti!R30)</f>
        <v/>
      </c>
      <c r="M32" s="14" t="str">
        <f>IF(OR(Progetti!E30="",Progetti!V30=""),"",Progetti!V30)</f>
        <v/>
      </c>
      <c r="N32" s="14" t="str">
        <f>IF(OR(Progetti!E30="",Progetti!W30=""),"",Progetti!W30)</f>
        <v/>
      </c>
      <c r="O32" s="14" t="str">
        <f>IF(OR(Progetti!E30="",Progetti!X30=""),"",Progetti!X30)</f>
        <v/>
      </c>
      <c r="P32" s="14" t="str">
        <f>IF(OR(Progetti!E30="",Progetti!Y30=""),"",Progetti!Y30)</f>
        <v/>
      </c>
      <c r="Q32" s="14" t="str">
        <f>IF(OR(Progetti!E30="",Progetti!Z30=""),"",Progetti!Z30)</f>
        <v/>
      </c>
      <c r="R32" s="14" t="str">
        <f>IF(OR(Progetti!E30="",Progetti!AA30=""),"",Progetti!AA30)</f>
        <v/>
      </c>
      <c r="S32" s="14" t="str">
        <f>IF(OR(Progetti!E30="",Progetti!AB30=""),"",Progetti!AB30)</f>
        <v/>
      </c>
      <c r="T32" s="14" t="str">
        <f>IF(OR(Progetti!E30="",Progetti!AC30=""),"",Progetti!AC30)</f>
        <v/>
      </c>
      <c r="U32" s="14" t="str">
        <f>IF(OR(Progetti!E30="",Progetti!AD30=""),"",Progetti!AD30)</f>
        <v/>
      </c>
      <c r="V32" s="14" t="str">
        <f>IF(OR(Progetti!E30="",Progetti!AE30=""),"",Progetti!AE30)</f>
        <v/>
      </c>
      <c r="W32" s="14" t="str">
        <f>IF(OR(Progetti!E30="",Progetti!AF30=""),"",Progetti!AF30)</f>
        <v/>
      </c>
      <c r="X32" s="14" t="str">
        <f>IF(OR(Progetti!E30="",Progetti!AG30=""),"",Progetti!AG30)</f>
        <v/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</row>
    <row r="33" spans="1:84" x14ac:dyDescent="0.35">
      <c r="A33" s="29" t="str">
        <f>IF(Progetti!E31="","",Progetti!A31)</f>
        <v/>
      </c>
      <c r="B33" s="29" t="str">
        <f>IF(Progetti!F31="","",Progetti!B31)</f>
        <v/>
      </c>
      <c r="C33" s="29" t="str">
        <f>IF(Progetti!E31="","",Progetti!C31)</f>
        <v/>
      </c>
      <c r="D33" s="29" t="str">
        <f>IF(Progetti!F31="","",Progetti!D31)</f>
        <v/>
      </c>
      <c r="E33" s="29" t="str">
        <f>IF(Progetti!E31="","",Progetti!E31)</f>
        <v/>
      </c>
      <c r="F33" s="40" t="str">
        <f>IF(Progetti!K31="","",Progetti!K31)</f>
        <v/>
      </c>
      <c r="G33" s="40" t="str">
        <f>IF(Progetti!L31="","",Progetti!L31)</f>
        <v/>
      </c>
      <c r="H33" s="29" t="str">
        <f>IF(Progetti!E31="","",Progetti!N31)</f>
        <v/>
      </c>
      <c r="I33" s="29" t="str">
        <f>IF(Progetti!E31="","",Progetti!M31)</f>
        <v/>
      </c>
      <c r="J33" s="38" t="str">
        <f>IF(Progetti!E31="","",Progetti!I31)</f>
        <v/>
      </c>
      <c r="K33" s="39" t="str">
        <f>IF(OR(Progetti!E31="",Progetti!Q31=""),"",Progetti!Q31)</f>
        <v/>
      </c>
      <c r="L33" s="39" t="str">
        <f>IF(OR(Progetti!E31="",Progetti!R31=""),"",Progetti!R31)</f>
        <v/>
      </c>
      <c r="M33" s="14" t="str">
        <f>IF(OR(Progetti!E31="",Progetti!V31=""),"",Progetti!V31)</f>
        <v/>
      </c>
      <c r="N33" s="14" t="str">
        <f>IF(OR(Progetti!E31="",Progetti!W31=""),"",Progetti!W31)</f>
        <v/>
      </c>
      <c r="O33" s="14" t="str">
        <f>IF(OR(Progetti!E31="",Progetti!X31=""),"",Progetti!X31)</f>
        <v/>
      </c>
      <c r="P33" s="14" t="str">
        <f>IF(OR(Progetti!E31="",Progetti!Y31=""),"",Progetti!Y31)</f>
        <v/>
      </c>
      <c r="Q33" s="14" t="str">
        <f>IF(OR(Progetti!E31="",Progetti!Z31=""),"",Progetti!Z31)</f>
        <v/>
      </c>
      <c r="R33" s="14" t="str">
        <f>IF(OR(Progetti!E31="",Progetti!AA31=""),"",Progetti!AA31)</f>
        <v/>
      </c>
      <c r="S33" s="14" t="str">
        <f>IF(OR(Progetti!E31="",Progetti!AB31=""),"",Progetti!AB31)</f>
        <v/>
      </c>
      <c r="T33" s="14" t="str">
        <f>IF(OR(Progetti!E31="",Progetti!AC31=""),"",Progetti!AC31)</f>
        <v/>
      </c>
      <c r="U33" s="14" t="str">
        <f>IF(OR(Progetti!E31="",Progetti!AD31=""),"",Progetti!AD31)</f>
        <v/>
      </c>
      <c r="V33" s="14" t="str">
        <f>IF(OR(Progetti!E31="",Progetti!AE31=""),"",Progetti!AE31)</f>
        <v/>
      </c>
      <c r="W33" s="14" t="str">
        <f>IF(OR(Progetti!E31="",Progetti!AF31=""),"",Progetti!AF31)</f>
        <v/>
      </c>
      <c r="X33" s="14" t="str">
        <f>IF(OR(Progetti!E31="",Progetti!AG31=""),"",Progetti!AG31)</f>
        <v/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</row>
    <row r="34" spans="1:84" x14ac:dyDescent="0.35">
      <c r="A34" s="29" t="str">
        <f>IF(Progetti!E32="","",Progetti!A32)</f>
        <v/>
      </c>
      <c r="B34" s="29" t="str">
        <f>IF(Progetti!F32="","",Progetti!B32)</f>
        <v/>
      </c>
      <c r="C34" s="29" t="str">
        <f>IF(Progetti!E32="","",Progetti!C32)</f>
        <v/>
      </c>
      <c r="D34" s="29" t="str">
        <f>IF(Progetti!F32="","",Progetti!D32)</f>
        <v/>
      </c>
      <c r="E34" s="29" t="str">
        <f>IF(Progetti!E32="","",Progetti!E32)</f>
        <v/>
      </c>
      <c r="F34" s="40" t="str">
        <f>IF(Progetti!K32="","",Progetti!K32)</f>
        <v/>
      </c>
      <c r="G34" s="40" t="str">
        <f>IF(Progetti!L32="","",Progetti!L32)</f>
        <v/>
      </c>
      <c r="H34" s="29" t="str">
        <f>IF(Progetti!E32="","",Progetti!N32)</f>
        <v/>
      </c>
      <c r="I34" s="29" t="str">
        <f>IF(Progetti!E32="","",Progetti!M32)</f>
        <v/>
      </c>
      <c r="J34" s="38" t="str">
        <f>IF(Progetti!E32="","",Progetti!I32)</f>
        <v/>
      </c>
      <c r="K34" s="39" t="str">
        <f>IF(OR(Progetti!E32="",Progetti!Q32=""),"",Progetti!Q32)</f>
        <v/>
      </c>
      <c r="L34" s="39" t="str">
        <f>IF(OR(Progetti!E32="",Progetti!R32=""),"",Progetti!R32)</f>
        <v/>
      </c>
      <c r="M34" s="14" t="str">
        <f>IF(OR(Progetti!E32="",Progetti!V32=""),"",Progetti!V32)</f>
        <v/>
      </c>
      <c r="N34" s="14" t="str">
        <f>IF(OR(Progetti!E32="",Progetti!W32=""),"",Progetti!W32)</f>
        <v/>
      </c>
      <c r="O34" s="14" t="str">
        <f>IF(OR(Progetti!E32="",Progetti!X32=""),"",Progetti!X32)</f>
        <v/>
      </c>
      <c r="P34" s="14" t="str">
        <f>IF(OR(Progetti!E32="",Progetti!Y32=""),"",Progetti!Y32)</f>
        <v/>
      </c>
      <c r="Q34" s="14" t="str">
        <f>IF(OR(Progetti!E32="",Progetti!Z32=""),"",Progetti!Z32)</f>
        <v/>
      </c>
      <c r="R34" s="14" t="str">
        <f>IF(OR(Progetti!E32="",Progetti!AA32=""),"",Progetti!AA32)</f>
        <v/>
      </c>
      <c r="S34" s="14" t="str">
        <f>IF(OR(Progetti!E32="",Progetti!AB32=""),"",Progetti!AB32)</f>
        <v/>
      </c>
      <c r="T34" s="14" t="str">
        <f>IF(OR(Progetti!E32="",Progetti!AC32=""),"",Progetti!AC32)</f>
        <v/>
      </c>
      <c r="U34" s="14" t="str">
        <f>IF(OR(Progetti!E32="",Progetti!AD32=""),"",Progetti!AD32)</f>
        <v/>
      </c>
      <c r="V34" s="14" t="str">
        <f>IF(OR(Progetti!E32="",Progetti!AE32=""),"",Progetti!AE32)</f>
        <v/>
      </c>
      <c r="W34" s="14" t="str">
        <f>IF(OR(Progetti!E32="",Progetti!AF32=""),"",Progetti!AF32)</f>
        <v/>
      </c>
      <c r="X34" s="14" t="str">
        <f>IF(OR(Progetti!E32="",Progetti!AG32=""),"",Progetti!AG32)</f>
        <v/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</row>
    <row r="35" spans="1:84" x14ac:dyDescent="0.35">
      <c r="A35" s="29" t="str">
        <f>IF(Progetti!E33="","",Progetti!A33)</f>
        <v/>
      </c>
      <c r="B35" s="29" t="str">
        <f>IF(Progetti!F33="","",Progetti!B33)</f>
        <v/>
      </c>
      <c r="C35" s="29" t="str">
        <f>IF(Progetti!E33="","",Progetti!C33)</f>
        <v/>
      </c>
      <c r="D35" s="29" t="str">
        <f>IF(Progetti!F33="","",Progetti!D33)</f>
        <v/>
      </c>
      <c r="E35" s="29" t="str">
        <f>IF(Progetti!E33="","",Progetti!E33)</f>
        <v/>
      </c>
      <c r="F35" s="40" t="str">
        <f>IF(Progetti!K33="","",Progetti!K33)</f>
        <v/>
      </c>
      <c r="G35" s="40" t="str">
        <f>IF(Progetti!L33="","",Progetti!L33)</f>
        <v/>
      </c>
      <c r="H35" s="29" t="str">
        <f>IF(Progetti!E33="","",Progetti!N33)</f>
        <v/>
      </c>
      <c r="I35" s="29" t="str">
        <f>IF(Progetti!E33="","",Progetti!M33)</f>
        <v/>
      </c>
      <c r="J35" s="38" t="str">
        <f>IF(Progetti!E33="","",Progetti!I33)</f>
        <v/>
      </c>
      <c r="K35" s="39" t="str">
        <f>IF(OR(Progetti!E33="",Progetti!Q33=""),"",Progetti!Q33)</f>
        <v/>
      </c>
      <c r="L35" s="39" t="str">
        <f>IF(OR(Progetti!E33="",Progetti!R33=""),"",Progetti!R33)</f>
        <v/>
      </c>
      <c r="M35" s="14" t="str">
        <f>IF(OR(Progetti!E33="",Progetti!V33=""),"",Progetti!V33)</f>
        <v/>
      </c>
      <c r="N35" s="14" t="str">
        <f>IF(OR(Progetti!E33="",Progetti!W33=""),"",Progetti!W33)</f>
        <v/>
      </c>
      <c r="O35" s="14" t="str">
        <f>IF(OR(Progetti!E33="",Progetti!X33=""),"",Progetti!X33)</f>
        <v/>
      </c>
      <c r="P35" s="14" t="str">
        <f>IF(OR(Progetti!E33="",Progetti!Y33=""),"",Progetti!Y33)</f>
        <v/>
      </c>
      <c r="Q35" s="14" t="str">
        <f>IF(OR(Progetti!E33="",Progetti!Z33=""),"",Progetti!Z33)</f>
        <v/>
      </c>
      <c r="R35" s="14" t="str">
        <f>IF(OR(Progetti!E33="",Progetti!AA33=""),"",Progetti!AA33)</f>
        <v/>
      </c>
      <c r="S35" s="14" t="str">
        <f>IF(OR(Progetti!E33="",Progetti!AB33=""),"",Progetti!AB33)</f>
        <v/>
      </c>
      <c r="T35" s="14" t="str">
        <f>IF(OR(Progetti!E33="",Progetti!AC33=""),"",Progetti!AC33)</f>
        <v/>
      </c>
      <c r="U35" s="14" t="str">
        <f>IF(OR(Progetti!E33="",Progetti!AD33=""),"",Progetti!AD33)</f>
        <v/>
      </c>
      <c r="V35" s="14" t="str">
        <f>IF(OR(Progetti!E33="",Progetti!AE33=""),"",Progetti!AE33)</f>
        <v/>
      </c>
      <c r="W35" s="14" t="str">
        <f>IF(OR(Progetti!E33="",Progetti!AF33=""),"",Progetti!AF33)</f>
        <v/>
      </c>
      <c r="X35" s="14" t="str">
        <f>IF(OR(Progetti!E33="",Progetti!AG33=""),"",Progetti!AG33)</f>
        <v/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</row>
    <row r="36" spans="1:84" x14ac:dyDescent="0.35">
      <c r="A36" s="29" t="str">
        <f>IF(Progetti!E34="","",Progetti!A34)</f>
        <v/>
      </c>
      <c r="B36" s="29" t="str">
        <f>IF(Progetti!F34="","",Progetti!B34)</f>
        <v/>
      </c>
      <c r="C36" s="29" t="str">
        <f>IF(Progetti!E34="","",Progetti!C34)</f>
        <v/>
      </c>
      <c r="D36" s="29" t="str">
        <f>IF(Progetti!F34="","",Progetti!D34)</f>
        <v/>
      </c>
      <c r="E36" s="29" t="str">
        <f>IF(Progetti!E34="","",Progetti!E34)</f>
        <v/>
      </c>
      <c r="F36" s="40" t="str">
        <f>IF(Progetti!K34="","",Progetti!K34)</f>
        <v/>
      </c>
      <c r="G36" s="40" t="str">
        <f>IF(Progetti!L34="","",Progetti!L34)</f>
        <v/>
      </c>
      <c r="H36" s="29" t="str">
        <f>IF(Progetti!E34="","",Progetti!N34)</f>
        <v/>
      </c>
      <c r="I36" s="29" t="str">
        <f>IF(Progetti!E34="","",Progetti!M34)</f>
        <v/>
      </c>
      <c r="J36" s="38" t="str">
        <f>IF(Progetti!E34="","",Progetti!I34)</f>
        <v/>
      </c>
      <c r="K36" s="39" t="str">
        <f>IF(OR(Progetti!E34="",Progetti!Q34=""),"",Progetti!Q34)</f>
        <v/>
      </c>
      <c r="L36" s="39" t="str">
        <f>IF(OR(Progetti!E34="",Progetti!R34=""),"",Progetti!R34)</f>
        <v/>
      </c>
      <c r="M36" s="14" t="str">
        <f>IF(OR(Progetti!E34="",Progetti!V34=""),"",Progetti!V34)</f>
        <v/>
      </c>
      <c r="N36" s="14" t="str">
        <f>IF(OR(Progetti!E34="",Progetti!W34=""),"",Progetti!W34)</f>
        <v/>
      </c>
      <c r="O36" s="14" t="str">
        <f>IF(OR(Progetti!E34="",Progetti!X34=""),"",Progetti!X34)</f>
        <v/>
      </c>
      <c r="P36" s="14" t="str">
        <f>IF(OR(Progetti!E34="",Progetti!Y34=""),"",Progetti!Y34)</f>
        <v/>
      </c>
      <c r="Q36" s="14" t="str">
        <f>IF(OR(Progetti!E34="",Progetti!Z34=""),"",Progetti!Z34)</f>
        <v/>
      </c>
      <c r="R36" s="14" t="str">
        <f>IF(OR(Progetti!E34="",Progetti!AA34=""),"",Progetti!AA34)</f>
        <v/>
      </c>
      <c r="S36" s="14" t="str">
        <f>IF(OR(Progetti!E34="",Progetti!AB34=""),"",Progetti!AB34)</f>
        <v/>
      </c>
      <c r="T36" s="14" t="str">
        <f>IF(OR(Progetti!E34="",Progetti!AC34=""),"",Progetti!AC34)</f>
        <v/>
      </c>
      <c r="U36" s="14" t="str">
        <f>IF(OR(Progetti!E34="",Progetti!AD34=""),"",Progetti!AD34)</f>
        <v/>
      </c>
      <c r="V36" s="14" t="str">
        <f>IF(OR(Progetti!E34="",Progetti!AE34=""),"",Progetti!AE34)</f>
        <v/>
      </c>
      <c r="W36" s="14" t="str">
        <f>IF(OR(Progetti!E34="",Progetti!AF34=""),"",Progetti!AF34)</f>
        <v/>
      </c>
      <c r="X36" s="14" t="str">
        <f>IF(OR(Progetti!E34="",Progetti!AG34=""),"",Progetti!AG34)</f>
        <v/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</row>
    <row r="37" spans="1:84" x14ac:dyDescent="0.35">
      <c r="A37" s="29" t="str">
        <f>IF(Progetti!E35="","",Progetti!A35)</f>
        <v/>
      </c>
      <c r="B37" s="29" t="str">
        <f>IF(Progetti!F35="","",Progetti!B35)</f>
        <v/>
      </c>
      <c r="C37" s="29" t="str">
        <f>IF(Progetti!E35="","",Progetti!C35)</f>
        <v/>
      </c>
      <c r="D37" s="29" t="str">
        <f>IF(Progetti!F35="","",Progetti!D35)</f>
        <v/>
      </c>
      <c r="E37" s="29" t="str">
        <f>IF(Progetti!E35="","",Progetti!E35)</f>
        <v/>
      </c>
      <c r="F37" s="40" t="str">
        <f>IF(Progetti!K35="","",Progetti!K35)</f>
        <v/>
      </c>
      <c r="G37" s="40" t="str">
        <f>IF(Progetti!L35="","",Progetti!L35)</f>
        <v/>
      </c>
      <c r="H37" s="29" t="str">
        <f>IF(Progetti!E35="","",Progetti!N35)</f>
        <v/>
      </c>
      <c r="I37" s="29" t="str">
        <f>IF(Progetti!E35="","",Progetti!M35)</f>
        <v/>
      </c>
      <c r="J37" s="38" t="str">
        <f>IF(Progetti!E35="","",Progetti!I35)</f>
        <v/>
      </c>
      <c r="K37" s="39" t="str">
        <f>IF(OR(Progetti!E35="",Progetti!Q35=""),"",Progetti!Q35)</f>
        <v/>
      </c>
      <c r="L37" s="39" t="str">
        <f>IF(OR(Progetti!E35="",Progetti!R35=""),"",Progetti!R35)</f>
        <v/>
      </c>
      <c r="M37" s="14" t="str">
        <f>IF(OR(Progetti!E35="",Progetti!V35=""),"",Progetti!V35)</f>
        <v/>
      </c>
      <c r="N37" s="14" t="str">
        <f>IF(OR(Progetti!E35="",Progetti!W35=""),"",Progetti!W35)</f>
        <v/>
      </c>
      <c r="O37" s="14" t="str">
        <f>IF(OR(Progetti!E35="",Progetti!X35=""),"",Progetti!X35)</f>
        <v/>
      </c>
      <c r="P37" s="14" t="str">
        <f>IF(OR(Progetti!E35="",Progetti!Y35=""),"",Progetti!Y35)</f>
        <v/>
      </c>
      <c r="Q37" s="14" t="str">
        <f>IF(OR(Progetti!E35="",Progetti!Z35=""),"",Progetti!Z35)</f>
        <v/>
      </c>
      <c r="R37" s="14" t="str">
        <f>IF(OR(Progetti!E35="",Progetti!AA35=""),"",Progetti!AA35)</f>
        <v/>
      </c>
      <c r="S37" s="14" t="str">
        <f>IF(OR(Progetti!E35="",Progetti!AB35=""),"",Progetti!AB35)</f>
        <v/>
      </c>
      <c r="T37" s="14" t="str">
        <f>IF(OR(Progetti!E35="",Progetti!AC35=""),"",Progetti!AC35)</f>
        <v/>
      </c>
      <c r="U37" s="14" t="str">
        <f>IF(OR(Progetti!E35="",Progetti!AD35=""),"",Progetti!AD35)</f>
        <v/>
      </c>
      <c r="V37" s="14" t="str">
        <f>IF(OR(Progetti!E35="",Progetti!AE35=""),"",Progetti!AE35)</f>
        <v/>
      </c>
      <c r="W37" s="14" t="str">
        <f>IF(OR(Progetti!E35="",Progetti!AF35=""),"",Progetti!AF35)</f>
        <v/>
      </c>
      <c r="X37" s="14" t="str">
        <f>IF(OR(Progetti!E35="",Progetti!AG35=""),"",Progetti!AG35)</f>
        <v/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</row>
    <row r="38" spans="1:84" x14ac:dyDescent="0.35">
      <c r="A38" s="29" t="str">
        <f>IF(Progetti!E36="","",Progetti!A36)</f>
        <v/>
      </c>
      <c r="B38" s="29" t="str">
        <f>IF(Progetti!F36="","",Progetti!B36)</f>
        <v/>
      </c>
      <c r="C38" s="29" t="str">
        <f>IF(Progetti!E36="","",Progetti!C36)</f>
        <v/>
      </c>
      <c r="D38" s="29" t="str">
        <f>IF(Progetti!F36="","",Progetti!D36)</f>
        <v/>
      </c>
      <c r="E38" s="29" t="str">
        <f>IF(Progetti!E36="","",Progetti!E36)</f>
        <v/>
      </c>
      <c r="F38" s="40" t="str">
        <f>IF(Progetti!K36="","",Progetti!K36)</f>
        <v/>
      </c>
      <c r="G38" s="40" t="str">
        <f>IF(Progetti!L36="","",Progetti!L36)</f>
        <v/>
      </c>
      <c r="H38" s="29" t="str">
        <f>IF(Progetti!E36="","",Progetti!N36)</f>
        <v/>
      </c>
      <c r="I38" s="29" t="str">
        <f>IF(Progetti!E36="","",Progetti!M36)</f>
        <v/>
      </c>
      <c r="J38" s="38" t="str">
        <f>IF(Progetti!E36="","",Progetti!I36)</f>
        <v/>
      </c>
      <c r="K38" s="39" t="str">
        <f>IF(OR(Progetti!E36="",Progetti!Q36=""),"",Progetti!Q36)</f>
        <v/>
      </c>
      <c r="L38" s="39" t="str">
        <f>IF(OR(Progetti!E36="",Progetti!R36=""),"",Progetti!R36)</f>
        <v/>
      </c>
      <c r="M38" s="14" t="str">
        <f>IF(OR(Progetti!E36="",Progetti!V36=""),"",Progetti!V36)</f>
        <v/>
      </c>
      <c r="N38" s="14" t="str">
        <f>IF(OR(Progetti!E36="",Progetti!W36=""),"",Progetti!W36)</f>
        <v/>
      </c>
      <c r="O38" s="14" t="str">
        <f>IF(OR(Progetti!E36="",Progetti!X36=""),"",Progetti!X36)</f>
        <v/>
      </c>
      <c r="P38" s="14" t="str">
        <f>IF(OR(Progetti!E36="",Progetti!Y36=""),"",Progetti!Y36)</f>
        <v/>
      </c>
      <c r="Q38" s="14" t="str">
        <f>IF(OR(Progetti!E36="",Progetti!Z36=""),"",Progetti!Z36)</f>
        <v/>
      </c>
      <c r="R38" s="14" t="str">
        <f>IF(OR(Progetti!E36="",Progetti!AA36=""),"",Progetti!AA36)</f>
        <v/>
      </c>
      <c r="S38" s="14" t="str">
        <f>IF(OR(Progetti!E36="",Progetti!AB36=""),"",Progetti!AB36)</f>
        <v/>
      </c>
      <c r="T38" s="14" t="str">
        <f>IF(OR(Progetti!E36="",Progetti!AC36=""),"",Progetti!AC36)</f>
        <v/>
      </c>
      <c r="U38" s="14" t="str">
        <f>IF(OR(Progetti!E36="",Progetti!AD36=""),"",Progetti!AD36)</f>
        <v/>
      </c>
      <c r="V38" s="14" t="str">
        <f>IF(OR(Progetti!E36="",Progetti!AE36=""),"",Progetti!AE36)</f>
        <v/>
      </c>
      <c r="W38" s="14" t="str">
        <f>IF(OR(Progetti!E36="",Progetti!AF36=""),"",Progetti!AF36)</f>
        <v/>
      </c>
      <c r="X38" s="14" t="str">
        <f>IF(OR(Progetti!E36="",Progetti!AG36=""),"",Progetti!AG36)</f>
        <v/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</row>
    <row r="39" spans="1:84" x14ac:dyDescent="0.35">
      <c r="A39" s="29" t="str">
        <f>IF(Progetti!E37="","",Progetti!A37)</f>
        <v/>
      </c>
      <c r="B39" s="29" t="str">
        <f>IF(Progetti!F37="","",Progetti!B37)</f>
        <v/>
      </c>
      <c r="C39" s="29" t="str">
        <f>IF(Progetti!E37="","",Progetti!C37)</f>
        <v/>
      </c>
      <c r="D39" s="29" t="str">
        <f>IF(Progetti!F37="","",Progetti!D37)</f>
        <v/>
      </c>
      <c r="E39" s="29" t="str">
        <f>IF(Progetti!E37="","",Progetti!E37)</f>
        <v/>
      </c>
      <c r="F39" s="40" t="str">
        <f>IF(Progetti!K37="","",Progetti!K37)</f>
        <v/>
      </c>
      <c r="G39" s="40" t="str">
        <f>IF(Progetti!L37="","",Progetti!L37)</f>
        <v/>
      </c>
      <c r="H39" s="29" t="str">
        <f>IF(Progetti!E37="","",Progetti!N37)</f>
        <v/>
      </c>
      <c r="I39" s="29" t="str">
        <f>IF(Progetti!E37="","",Progetti!M37)</f>
        <v/>
      </c>
      <c r="J39" s="38" t="str">
        <f>IF(Progetti!E37="","",Progetti!I37)</f>
        <v/>
      </c>
      <c r="K39" s="39" t="str">
        <f>IF(OR(Progetti!E37="",Progetti!Q37=""),"",Progetti!Q37)</f>
        <v/>
      </c>
      <c r="L39" s="39" t="str">
        <f>IF(OR(Progetti!E37="",Progetti!R37=""),"",Progetti!R37)</f>
        <v/>
      </c>
      <c r="M39" s="14" t="str">
        <f>IF(OR(Progetti!E37="",Progetti!V37=""),"",Progetti!V37)</f>
        <v/>
      </c>
      <c r="N39" s="14" t="str">
        <f>IF(OR(Progetti!E37="",Progetti!W37=""),"",Progetti!W37)</f>
        <v/>
      </c>
      <c r="O39" s="14" t="str">
        <f>IF(OR(Progetti!E37="",Progetti!X37=""),"",Progetti!X37)</f>
        <v/>
      </c>
      <c r="P39" s="14" t="str">
        <f>IF(OR(Progetti!E37="",Progetti!Y37=""),"",Progetti!Y37)</f>
        <v/>
      </c>
      <c r="Q39" s="14" t="str">
        <f>IF(OR(Progetti!E37="",Progetti!Z37=""),"",Progetti!Z37)</f>
        <v/>
      </c>
      <c r="R39" s="14" t="str">
        <f>IF(OR(Progetti!E37="",Progetti!AA37=""),"",Progetti!AA37)</f>
        <v/>
      </c>
      <c r="S39" s="14" t="str">
        <f>IF(OR(Progetti!E37="",Progetti!AB37=""),"",Progetti!AB37)</f>
        <v/>
      </c>
      <c r="T39" s="14" t="str">
        <f>IF(OR(Progetti!E37="",Progetti!AC37=""),"",Progetti!AC37)</f>
        <v/>
      </c>
      <c r="U39" s="14" t="str">
        <f>IF(OR(Progetti!E37="",Progetti!AD37=""),"",Progetti!AD37)</f>
        <v/>
      </c>
      <c r="V39" s="14" t="str">
        <f>IF(OR(Progetti!E37="",Progetti!AE37=""),"",Progetti!AE37)</f>
        <v/>
      </c>
      <c r="W39" s="14" t="str">
        <f>IF(OR(Progetti!E37="",Progetti!AF37=""),"",Progetti!AF37)</f>
        <v/>
      </c>
      <c r="X39" s="14" t="str">
        <f>IF(OR(Progetti!E37="",Progetti!AG37=""),"",Progetti!AG37)</f>
        <v/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</row>
    <row r="40" spans="1:84" x14ac:dyDescent="0.35">
      <c r="A40" s="29" t="str">
        <f>IF(Progetti!E38="","",Progetti!A38)</f>
        <v/>
      </c>
      <c r="B40" s="29" t="str">
        <f>IF(Progetti!F38="","",Progetti!B38)</f>
        <v/>
      </c>
      <c r="C40" s="29" t="str">
        <f>IF(Progetti!E38="","",Progetti!C38)</f>
        <v/>
      </c>
      <c r="D40" s="29" t="str">
        <f>IF(Progetti!F38="","",Progetti!D38)</f>
        <v/>
      </c>
      <c r="E40" s="29" t="str">
        <f>IF(Progetti!E38="","",Progetti!E38)</f>
        <v/>
      </c>
      <c r="F40" s="40" t="str">
        <f>IF(Progetti!K38="","",Progetti!K38)</f>
        <v/>
      </c>
      <c r="G40" s="40" t="str">
        <f>IF(Progetti!L38="","",Progetti!L38)</f>
        <v/>
      </c>
      <c r="H40" s="29" t="str">
        <f>IF(Progetti!E38="","",Progetti!N38)</f>
        <v/>
      </c>
      <c r="I40" s="29" t="str">
        <f>IF(Progetti!E38="","",Progetti!M38)</f>
        <v/>
      </c>
      <c r="J40" s="38" t="str">
        <f>IF(Progetti!E38="","",Progetti!I38)</f>
        <v/>
      </c>
      <c r="K40" s="39" t="str">
        <f>IF(OR(Progetti!E38="",Progetti!Q38=""),"",Progetti!Q38)</f>
        <v/>
      </c>
      <c r="L40" s="39" t="str">
        <f>IF(OR(Progetti!E38="",Progetti!R38=""),"",Progetti!R38)</f>
        <v/>
      </c>
      <c r="M40" s="14" t="str">
        <f>IF(OR(Progetti!E38="",Progetti!V38=""),"",Progetti!V38)</f>
        <v/>
      </c>
      <c r="N40" s="14" t="str">
        <f>IF(OR(Progetti!E38="",Progetti!W38=""),"",Progetti!W38)</f>
        <v/>
      </c>
      <c r="O40" s="14" t="str">
        <f>IF(OR(Progetti!E38="",Progetti!X38=""),"",Progetti!X38)</f>
        <v/>
      </c>
      <c r="P40" s="14" t="str">
        <f>IF(OR(Progetti!E38="",Progetti!Y38=""),"",Progetti!Y38)</f>
        <v/>
      </c>
      <c r="Q40" s="14" t="str">
        <f>IF(OR(Progetti!E38="",Progetti!Z38=""),"",Progetti!Z38)</f>
        <v/>
      </c>
      <c r="R40" s="14" t="str">
        <f>IF(OR(Progetti!E38="",Progetti!AA38=""),"",Progetti!AA38)</f>
        <v/>
      </c>
      <c r="S40" s="14" t="str">
        <f>IF(OR(Progetti!E38="",Progetti!AB38=""),"",Progetti!AB38)</f>
        <v/>
      </c>
      <c r="T40" s="14" t="str">
        <f>IF(OR(Progetti!E38="",Progetti!AC38=""),"",Progetti!AC38)</f>
        <v/>
      </c>
      <c r="U40" s="14" t="str">
        <f>IF(OR(Progetti!E38="",Progetti!AD38=""),"",Progetti!AD38)</f>
        <v/>
      </c>
      <c r="V40" s="14" t="str">
        <f>IF(OR(Progetti!E38="",Progetti!AE38=""),"",Progetti!AE38)</f>
        <v/>
      </c>
      <c r="W40" s="14" t="str">
        <f>IF(OR(Progetti!E38="",Progetti!AF38=""),"",Progetti!AF38)</f>
        <v/>
      </c>
      <c r="X40" s="14" t="str">
        <f>IF(OR(Progetti!E38="",Progetti!AG38=""),"",Progetti!AG38)</f>
        <v/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</row>
    <row r="41" spans="1:84" x14ac:dyDescent="0.35">
      <c r="A41" s="29" t="str">
        <f>IF(Progetti!E39="","",Progetti!A39)</f>
        <v/>
      </c>
      <c r="B41" s="29" t="str">
        <f>IF(Progetti!F39="","",Progetti!B39)</f>
        <v/>
      </c>
      <c r="C41" s="29" t="str">
        <f>IF(Progetti!E39="","",Progetti!C39)</f>
        <v/>
      </c>
      <c r="D41" s="29" t="str">
        <f>IF(Progetti!F39="","",Progetti!D39)</f>
        <v/>
      </c>
      <c r="E41" s="29" t="str">
        <f>IF(Progetti!E39="","",Progetti!E39)</f>
        <v/>
      </c>
      <c r="F41" s="40" t="str">
        <f>IF(Progetti!K39="","",Progetti!K39)</f>
        <v/>
      </c>
      <c r="G41" s="40" t="str">
        <f>IF(Progetti!L39="","",Progetti!L39)</f>
        <v/>
      </c>
      <c r="H41" s="29" t="str">
        <f>IF(Progetti!E39="","",Progetti!N39)</f>
        <v/>
      </c>
      <c r="I41" s="29" t="str">
        <f>IF(Progetti!E39="","",Progetti!M39)</f>
        <v/>
      </c>
      <c r="J41" s="38" t="str">
        <f>IF(Progetti!E39="","",Progetti!I39)</f>
        <v/>
      </c>
      <c r="K41" s="39" t="str">
        <f>IF(OR(Progetti!E39="",Progetti!Q39=""),"",Progetti!Q39)</f>
        <v/>
      </c>
      <c r="L41" s="39" t="str">
        <f>IF(OR(Progetti!E39="",Progetti!R39=""),"",Progetti!R39)</f>
        <v/>
      </c>
      <c r="M41" s="14" t="str">
        <f>IF(OR(Progetti!E39="",Progetti!V39=""),"",Progetti!V39)</f>
        <v/>
      </c>
      <c r="N41" s="14" t="str">
        <f>IF(OR(Progetti!E39="",Progetti!W39=""),"",Progetti!W39)</f>
        <v/>
      </c>
      <c r="O41" s="14" t="str">
        <f>IF(OR(Progetti!E39="",Progetti!X39=""),"",Progetti!X39)</f>
        <v/>
      </c>
      <c r="P41" s="14" t="str">
        <f>IF(OR(Progetti!E39="",Progetti!Y39=""),"",Progetti!Y39)</f>
        <v/>
      </c>
      <c r="Q41" s="14" t="str">
        <f>IF(OR(Progetti!E39="",Progetti!Z39=""),"",Progetti!Z39)</f>
        <v/>
      </c>
      <c r="R41" s="14" t="str">
        <f>IF(OR(Progetti!E39="",Progetti!AA39=""),"",Progetti!AA39)</f>
        <v/>
      </c>
      <c r="S41" s="14" t="str">
        <f>IF(OR(Progetti!E39="",Progetti!AB39=""),"",Progetti!AB39)</f>
        <v/>
      </c>
      <c r="T41" s="14" t="str">
        <f>IF(OR(Progetti!E39="",Progetti!AC39=""),"",Progetti!AC39)</f>
        <v/>
      </c>
      <c r="U41" s="14" t="str">
        <f>IF(OR(Progetti!E39="",Progetti!AD39=""),"",Progetti!AD39)</f>
        <v/>
      </c>
      <c r="V41" s="14" t="str">
        <f>IF(OR(Progetti!E39="",Progetti!AE39=""),"",Progetti!AE39)</f>
        <v/>
      </c>
      <c r="W41" s="14" t="str">
        <f>IF(OR(Progetti!E39="",Progetti!AF39=""),"",Progetti!AF39)</f>
        <v/>
      </c>
      <c r="X41" s="14" t="str">
        <f>IF(OR(Progetti!E39="",Progetti!AG39=""),"",Progetti!AG39)</f>
        <v/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</row>
    <row r="42" spans="1:84" x14ac:dyDescent="0.35">
      <c r="A42" s="29" t="str">
        <f>IF(Progetti!E40="","",Progetti!A40)</f>
        <v/>
      </c>
      <c r="B42" s="29" t="str">
        <f>IF(Progetti!F40="","",Progetti!B40)</f>
        <v/>
      </c>
      <c r="C42" s="29" t="str">
        <f>IF(Progetti!E40="","",Progetti!C40)</f>
        <v/>
      </c>
      <c r="D42" s="29" t="str">
        <f>IF(Progetti!F40="","",Progetti!D40)</f>
        <v/>
      </c>
      <c r="E42" s="29" t="str">
        <f>IF(Progetti!E40="","",Progetti!E40)</f>
        <v/>
      </c>
      <c r="F42" s="40" t="str">
        <f>IF(Progetti!K40="","",Progetti!K40)</f>
        <v/>
      </c>
      <c r="G42" s="40" t="str">
        <f>IF(Progetti!L40="","",Progetti!L40)</f>
        <v/>
      </c>
      <c r="H42" s="29" t="str">
        <f>IF(Progetti!E40="","",Progetti!N40)</f>
        <v/>
      </c>
      <c r="I42" s="29" t="str">
        <f>IF(Progetti!E40="","",Progetti!M40)</f>
        <v/>
      </c>
      <c r="J42" s="38" t="str">
        <f>IF(Progetti!E40="","",Progetti!I40)</f>
        <v/>
      </c>
      <c r="K42" s="39" t="str">
        <f>IF(OR(Progetti!E40="",Progetti!Q40=""),"",Progetti!Q40)</f>
        <v/>
      </c>
      <c r="L42" s="39" t="str">
        <f>IF(OR(Progetti!E40="",Progetti!R40=""),"",Progetti!R40)</f>
        <v/>
      </c>
      <c r="M42" s="14" t="str">
        <f>IF(OR(Progetti!E40="",Progetti!V40=""),"",Progetti!V40)</f>
        <v/>
      </c>
      <c r="N42" s="14" t="str">
        <f>IF(OR(Progetti!E40="",Progetti!W40=""),"",Progetti!W40)</f>
        <v/>
      </c>
      <c r="O42" s="14" t="str">
        <f>IF(OR(Progetti!E40="",Progetti!X40=""),"",Progetti!X40)</f>
        <v/>
      </c>
      <c r="P42" s="14" t="str">
        <f>IF(OR(Progetti!E40="",Progetti!Y40=""),"",Progetti!Y40)</f>
        <v/>
      </c>
      <c r="Q42" s="14" t="str">
        <f>IF(OR(Progetti!E40="",Progetti!Z40=""),"",Progetti!Z40)</f>
        <v/>
      </c>
      <c r="R42" s="14" t="str">
        <f>IF(OR(Progetti!E40="",Progetti!AA40=""),"",Progetti!AA40)</f>
        <v/>
      </c>
      <c r="S42" s="14" t="str">
        <f>IF(OR(Progetti!E40="",Progetti!AB40=""),"",Progetti!AB40)</f>
        <v/>
      </c>
      <c r="T42" s="14" t="str">
        <f>IF(OR(Progetti!E40="",Progetti!AC40=""),"",Progetti!AC40)</f>
        <v/>
      </c>
      <c r="U42" s="14" t="str">
        <f>IF(OR(Progetti!E40="",Progetti!AD40=""),"",Progetti!AD40)</f>
        <v/>
      </c>
      <c r="V42" s="14" t="str">
        <f>IF(OR(Progetti!E40="",Progetti!AE40=""),"",Progetti!AE40)</f>
        <v/>
      </c>
      <c r="W42" s="14" t="str">
        <f>IF(OR(Progetti!E40="",Progetti!AF40=""),"",Progetti!AF40)</f>
        <v/>
      </c>
      <c r="X42" s="14" t="str">
        <f>IF(OR(Progetti!E40="",Progetti!AG40=""),"",Progetti!AG40)</f>
        <v/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</row>
    <row r="43" spans="1:84" x14ac:dyDescent="0.35">
      <c r="A43" s="29" t="str">
        <f>IF(Progetti!E41="","",Progetti!A41)</f>
        <v/>
      </c>
      <c r="B43" s="29" t="str">
        <f>IF(Progetti!F41="","",Progetti!B41)</f>
        <v/>
      </c>
      <c r="C43" s="29" t="str">
        <f>IF(Progetti!E41="","",Progetti!C41)</f>
        <v/>
      </c>
      <c r="D43" s="29" t="str">
        <f>IF(Progetti!F41="","",Progetti!D41)</f>
        <v/>
      </c>
      <c r="E43" s="29" t="str">
        <f>IF(Progetti!E41="","",Progetti!E41)</f>
        <v/>
      </c>
      <c r="F43" s="40" t="str">
        <f>IF(Progetti!K41="","",Progetti!K41)</f>
        <v/>
      </c>
      <c r="G43" s="40" t="str">
        <f>IF(Progetti!L41="","",Progetti!L41)</f>
        <v/>
      </c>
      <c r="H43" s="29" t="str">
        <f>IF(Progetti!E41="","",Progetti!N41)</f>
        <v/>
      </c>
      <c r="I43" s="29" t="str">
        <f>IF(Progetti!E41="","",Progetti!M41)</f>
        <v/>
      </c>
      <c r="J43" s="38" t="str">
        <f>IF(Progetti!E41="","",Progetti!I41)</f>
        <v/>
      </c>
      <c r="K43" s="39" t="str">
        <f>IF(OR(Progetti!E41="",Progetti!Q41=""),"",Progetti!Q41)</f>
        <v/>
      </c>
      <c r="L43" s="39" t="str">
        <f>IF(OR(Progetti!E41="",Progetti!R41=""),"",Progetti!R41)</f>
        <v/>
      </c>
      <c r="M43" s="14" t="str">
        <f>IF(OR(Progetti!E41="",Progetti!V41=""),"",Progetti!V41)</f>
        <v/>
      </c>
      <c r="N43" s="14" t="str">
        <f>IF(OR(Progetti!E41="",Progetti!W41=""),"",Progetti!W41)</f>
        <v/>
      </c>
      <c r="O43" s="14" t="str">
        <f>IF(OR(Progetti!E41="",Progetti!X41=""),"",Progetti!X41)</f>
        <v/>
      </c>
      <c r="P43" s="14" t="str">
        <f>IF(OR(Progetti!E41="",Progetti!Y41=""),"",Progetti!Y41)</f>
        <v/>
      </c>
      <c r="Q43" s="14" t="str">
        <f>IF(OR(Progetti!E41="",Progetti!Z41=""),"",Progetti!Z41)</f>
        <v/>
      </c>
      <c r="R43" s="14" t="str">
        <f>IF(OR(Progetti!E41="",Progetti!AA41=""),"",Progetti!AA41)</f>
        <v/>
      </c>
      <c r="S43" s="14" t="str">
        <f>IF(OR(Progetti!E41="",Progetti!AB41=""),"",Progetti!AB41)</f>
        <v/>
      </c>
      <c r="T43" s="14" t="str">
        <f>IF(OR(Progetti!E41="",Progetti!AC41=""),"",Progetti!AC41)</f>
        <v/>
      </c>
      <c r="U43" s="14" t="str">
        <f>IF(OR(Progetti!E41="",Progetti!AD41=""),"",Progetti!AD41)</f>
        <v/>
      </c>
      <c r="V43" s="14" t="str">
        <f>IF(OR(Progetti!E41="",Progetti!AE41=""),"",Progetti!AE41)</f>
        <v/>
      </c>
      <c r="W43" s="14" t="str">
        <f>IF(OR(Progetti!E41="",Progetti!AF41=""),"",Progetti!AF41)</f>
        <v/>
      </c>
      <c r="X43" s="14" t="str">
        <f>IF(OR(Progetti!E41="",Progetti!AG41=""),"",Progetti!AG41)</f>
        <v/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</row>
    <row r="44" spans="1:84" x14ac:dyDescent="0.35">
      <c r="A44" s="29" t="str">
        <f>IF(Progetti!E42="","",Progetti!A42)</f>
        <v/>
      </c>
      <c r="B44" s="29" t="str">
        <f>IF(Progetti!F42="","",Progetti!B42)</f>
        <v/>
      </c>
      <c r="C44" s="29" t="str">
        <f>IF(Progetti!E42="","",Progetti!C42)</f>
        <v/>
      </c>
      <c r="D44" s="29" t="str">
        <f>IF(Progetti!F42="","",Progetti!D42)</f>
        <v/>
      </c>
      <c r="E44" s="29" t="str">
        <f>IF(Progetti!E42="","",Progetti!E42)</f>
        <v/>
      </c>
      <c r="F44" s="40" t="str">
        <f>IF(Progetti!K42="","",Progetti!K42)</f>
        <v/>
      </c>
      <c r="G44" s="40" t="str">
        <f>IF(Progetti!L42="","",Progetti!L42)</f>
        <v/>
      </c>
      <c r="H44" s="29" t="str">
        <f>IF(Progetti!E42="","",Progetti!N42)</f>
        <v/>
      </c>
      <c r="I44" s="29" t="str">
        <f>IF(Progetti!E42="","",Progetti!M42)</f>
        <v/>
      </c>
      <c r="J44" s="38" t="str">
        <f>IF(Progetti!E42="","",Progetti!I42)</f>
        <v/>
      </c>
      <c r="K44" s="39" t="str">
        <f>IF(OR(Progetti!E42="",Progetti!Q42=""),"",Progetti!Q42)</f>
        <v/>
      </c>
      <c r="L44" s="39" t="str">
        <f>IF(OR(Progetti!E42="",Progetti!R42=""),"",Progetti!R42)</f>
        <v/>
      </c>
      <c r="M44" s="14" t="str">
        <f>IF(OR(Progetti!E42="",Progetti!V42=""),"",Progetti!V42)</f>
        <v/>
      </c>
      <c r="N44" s="14" t="str">
        <f>IF(OR(Progetti!E42="",Progetti!W42=""),"",Progetti!W42)</f>
        <v/>
      </c>
      <c r="O44" s="14" t="str">
        <f>IF(OR(Progetti!E42="",Progetti!X42=""),"",Progetti!X42)</f>
        <v/>
      </c>
      <c r="P44" s="14" t="str">
        <f>IF(OR(Progetti!E42="",Progetti!Y42=""),"",Progetti!Y42)</f>
        <v/>
      </c>
      <c r="Q44" s="14" t="str">
        <f>IF(OR(Progetti!E42="",Progetti!Z42=""),"",Progetti!Z42)</f>
        <v/>
      </c>
      <c r="R44" s="14" t="str">
        <f>IF(OR(Progetti!E42="",Progetti!AA42=""),"",Progetti!AA42)</f>
        <v/>
      </c>
      <c r="S44" s="14" t="str">
        <f>IF(OR(Progetti!E42="",Progetti!AB42=""),"",Progetti!AB42)</f>
        <v/>
      </c>
      <c r="T44" s="14" t="str">
        <f>IF(OR(Progetti!E42="",Progetti!AC42=""),"",Progetti!AC42)</f>
        <v/>
      </c>
      <c r="U44" s="14" t="str">
        <f>IF(OR(Progetti!E42="",Progetti!AD42=""),"",Progetti!AD42)</f>
        <v/>
      </c>
      <c r="V44" s="14" t="str">
        <f>IF(OR(Progetti!E42="",Progetti!AE42=""),"",Progetti!AE42)</f>
        <v/>
      </c>
      <c r="W44" s="14" t="str">
        <f>IF(OR(Progetti!E42="",Progetti!AF42=""),"",Progetti!AF42)</f>
        <v/>
      </c>
      <c r="X44" s="14" t="str">
        <f>IF(OR(Progetti!E42="",Progetti!AG42=""),"",Progetti!AG42)</f>
        <v/>
      </c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</row>
    <row r="45" spans="1:84" x14ac:dyDescent="0.35">
      <c r="A45" s="29" t="str">
        <f>IF(Progetti!E43="","",Progetti!A43)</f>
        <v/>
      </c>
      <c r="B45" s="29" t="str">
        <f>IF(Progetti!F43="","",Progetti!B43)</f>
        <v/>
      </c>
      <c r="C45" s="29" t="str">
        <f>IF(Progetti!E43="","",Progetti!C43)</f>
        <v/>
      </c>
      <c r="D45" s="29" t="str">
        <f>IF(Progetti!F43="","",Progetti!D43)</f>
        <v/>
      </c>
      <c r="E45" s="29" t="str">
        <f>IF(Progetti!E43="","",Progetti!E43)</f>
        <v/>
      </c>
      <c r="F45" s="40" t="str">
        <f>IF(Progetti!K43="","",Progetti!K43)</f>
        <v/>
      </c>
      <c r="G45" s="40" t="str">
        <f>IF(Progetti!L43="","",Progetti!L43)</f>
        <v/>
      </c>
      <c r="H45" s="29" t="str">
        <f>IF(Progetti!E43="","",Progetti!N43)</f>
        <v/>
      </c>
      <c r="I45" s="29" t="str">
        <f>IF(Progetti!E43="","",Progetti!M43)</f>
        <v/>
      </c>
      <c r="J45" s="38" t="str">
        <f>IF(Progetti!E43="","",Progetti!I43)</f>
        <v/>
      </c>
      <c r="K45" s="39" t="str">
        <f>IF(OR(Progetti!E43="",Progetti!Q43=""),"",Progetti!Q43)</f>
        <v/>
      </c>
      <c r="L45" s="39" t="str">
        <f>IF(OR(Progetti!E43="",Progetti!R43=""),"",Progetti!R43)</f>
        <v/>
      </c>
      <c r="M45" s="14" t="str">
        <f>IF(OR(Progetti!E43="",Progetti!V43=""),"",Progetti!V43)</f>
        <v/>
      </c>
      <c r="N45" s="14" t="str">
        <f>IF(OR(Progetti!E43="",Progetti!W43=""),"",Progetti!W43)</f>
        <v/>
      </c>
      <c r="O45" s="14" t="str">
        <f>IF(OR(Progetti!E43="",Progetti!X43=""),"",Progetti!X43)</f>
        <v/>
      </c>
      <c r="P45" s="14" t="str">
        <f>IF(OR(Progetti!E43="",Progetti!Y43=""),"",Progetti!Y43)</f>
        <v/>
      </c>
      <c r="Q45" s="14" t="str">
        <f>IF(OR(Progetti!E43="",Progetti!Z43=""),"",Progetti!Z43)</f>
        <v/>
      </c>
      <c r="R45" s="14" t="str">
        <f>IF(OR(Progetti!E43="",Progetti!AA43=""),"",Progetti!AA43)</f>
        <v/>
      </c>
      <c r="S45" s="14" t="str">
        <f>IF(OR(Progetti!E43="",Progetti!AB43=""),"",Progetti!AB43)</f>
        <v/>
      </c>
      <c r="T45" s="14" t="str">
        <f>IF(OR(Progetti!E43="",Progetti!AC43=""),"",Progetti!AC43)</f>
        <v/>
      </c>
      <c r="U45" s="14" t="str">
        <f>IF(OR(Progetti!E43="",Progetti!AD43=""),"",Progetti!AD43)</f>
        <v/>
      </c>
      <c r="V45" s="14" t="str">
        <f>IF(OR(Progetti!E43="",Progetti!AE43=""),"",Progetti!AE43)</f>
        <v/>
      </c>
      <c r="W45" s="14" t="str">
        <f>IF(OR(Progetti!E43="",Progetti!AF43=""),"",Progetti!AF43)</f>
        <v/>
      </c>
      <c r="X45" s="14" t="str">
        <f>IF(OR(Progetti!E43="",Progetti!AG43=""),"",Progetti!AG43)</f>
        <v/>
      </c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</row>
    <row r="46" spans="1:84" x14ac:dyDescent="0.35">
      <c r="A46" s="29" t="str">
        <f>IF(Progetti!E44="","",Progetti!A44)</f>
        <v/>
      </c>
      <c r="B46" s="29" t="str">
        <f>IF(Progetti!F44="","",Progetti!B44)</f>
        <v/>
      </c>
      <c r="C46" s="29" t="str">
        <f>IF(Progetti!E44="","",Progetti!C44)</f>
        <v/>
      </c>
      <c r="D46" s="29" t="str">
        <f>IF(Progetti!F44="","",Progetti!D44)</f>
        <v/>
      </c>
      <c r="E46" s="29" t="str">
        <f>IF(Progetti!E44="","",Progetti!E44)</f>
        <v/>
      </c>
      <c r="F46" s="40" t="str">
        <f>IF(Progetti!K44="","",Progetti!K44)</f>
        <v/>
      </c>
      <c r="G46" s="40" t="str">
        <f>IF(Progetti!L44="","",Progetti!L44)</f>
        <v/>
      </c>
      <c r="H46" s="29" t="str">
        <f>IF(Progetti!E44="","",Progetti!N44)</f>
        <v/>
      </c>
      <c r="I46" s="29" t="str">
        <f>IF(Progetti!E44="","",Progetti!M44)</f>
        <v/>
      </c>
      <c r="J46" s="38" t="str">
        <f>IF(Progetti!E44="","",Progetti!I44)</f>
        <v/>
      </c>
      <c r="K46" s="39" t="str">
        <f>IF(OR(Progetti!E44="",Progetti!Q44=""),"",Progetti!Q44)</f>
        <v/>
      </c>
      <c r="L46" s="39" t="str">
        <f>IF(OR(Progetti!E44="",Progetti!R44=""),"",Progetti!R44)</f>
        <v/>
      </c>
      <c r="M46" s="14" t="str">
        <f>IF(OR(Progetti!E44="",Progetti!V44=""),"",Progetti!V44)</f>
        <v/>
      </c>
      <c r="N46" s="14" t="str">
        <f>IF(OR(Progetti!E44="",Progetti!W44=""),"",Progetti!W44)</f>
        <v/>
      </c>
      <c r="O46" s="14" t="str">
        <f>IF(OR(Progetti!E44="",Progetti!X44=""),"",Progetti!X44)</f>
        <v/>
      </c>
      <c r="P46" s="14" t="str">
        <f>IF(OR(Progetti!E44="",Progetti!Y44=""),"",Progetti!Y44)</f>
        <v/>
      </c>
      <c r="Q46" s="14" t="str">
        <f>IF(OR(Progetti!E44="",Progetti!Z44=""),"",Progetti!Z44)</f>
        <v/>
      </c>
      <c r="R46" s="14" t="str">
        <f>IF(OR(Progetti!E44="",Progetti!AA44=""),"",Progetti!AA44)</f>
        <v/>
      </c>
      <c r="S46" s="14" t="str">
        <f>IF(OR(Progetti!E44="",Progetti!AB44=""),"",Progetti!AB44)</f>
        <v/>
      </c>
      <c r="T46" s="14" t="str">
        <f>IF(OR(Progetti!E44="",Progetti!AC44=""),"",Progetti!AC44)</f>
        <v/>
      </c>
      <c r="U46" s="14" t="str">
        <f>IF(OR(Progetti!E44="",Progetti!AD44=""),"",Progetti!AD44)</f>
        <v/>
      </c>
      <c r="V46" s="14" t="str">
        <f>IF(OR(Progetti!E44="",Progetti!AE44=""),"",Progetti!AE44)</f>
        <v/>
      </c>
      <c r="W46" s="14" t="str">
        <f>IF(OR(Progetti!E44="",Progetti!AF44=""),"",Progetti!AF44)</f>
        <v/>
      </c>
      <c r="X46" s="14" t="str">
        <f>IF(OR(Progetti!E44="",Progetti!AG44=""),"",Progetti!AG44)</f>
        <v/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</row>
    <row r="47" spans="1:84" x14ac:dyDescent="0.35">
      <c r="A47" s="29" t="str">
        <f>IF(Progetti!E45="","",Progetti!A45)</f>
        <v/>
      </c>
      <c r="B47" s="29" t="str">
        <f>IF(Progetti!F45="","",Progetti!B45)</f>
        <v/>
      </c>
      <c r="C47" s="29" t="str">
        <f>IF(Progetti!E45="","",Progetti!C45)</f>
        <v/>
      </c>
      <c r="D47" s="29" t="str">
        <f>IF(Progetti!F45="","",Progetti!D45)</f>
        <v/>
      </c>
      <c r="E47" s="29" t="str">
        <f>IF(Progetti!E45="","",Progetti!E45)</f>
        <v/>
      </c>
      <c r="F47" s="40" t="str">
        <f>IF(Progetti!K45="","",Progetti!K45)</f>
        <v/>
      </c>
      <c r="G47" s="40" t="str">
        <f>IF(Progetti!L45="","",Progetti!L45)</f>
        <v/>
      </c>
      <c r="H47" s="29" t="str">
        <f>IF(Progetti!E45="","",Progetti!N45)</f>
        <v/>
      </c>
      <c r="I47" s="29" t="str">
        <f>IF(Progetti!E45="","",Progetti!M45)</f>
        <v/>
      </c>
      <c r="J47" s="38" t="str">
        <f>IF(Progetti!E45="","",Progetti!I45)</f>
        <v/>
      </c>
      <c r="K47" s="39" t="str">
        <f>IF(OR(Progetti!E45="",Progetti!Q45=""),"",Progetti!Q45)</f>
        <v/>
      </c>
      <c r="L47" s="39" t="str">
        <f>IF(OR(Progetti!E45="",Progetti!R45=""),"",Progetti!R45)</f>
        <v/>
      </c>
      <c r="M47" s="14" t="str">
        <f>IF(OR(Progetti!E45="",Progetti!V45=""),"",Progetti!V45)</f>
        <v/>
      </c>
      <c r="N47" s="14" t="str">
        <f>IF(OR(Progetti!E45="",Progetti!W45=""),"",Progetti!W45)</f>
        <v/>
      </c>
      <c r="O47" s="14" t="str">
        <f>IF(OR(Progetti!E45="",Progetti!X45=""),"",Progetti!X45)</f>
        <v/>
      </c>
      <c r="P47" s="14" t="str">
        <f>IF(OR(Progetti!E45="",Progetti!Y45=""),"",Progetti!Y45)</f>
        <v/>
      </c>
      <c r="Q47" s="14" t="str">
        <f>IF(OR(Progetti!E45="",Progetti!Z45=""),"",Progetti!Z45)</f>
        <v/>
      </c>
      <c r="R47" s="14" t="str">
        <f>IF(OR(Progetti!E45="",Progetti!AA45=""),"",Progetti!AA45)</f>
        <v/>
      </c>
      <c r="S47" s="14" t="str">
        <f>IF(OR(Progetti!E45="",Progetti!AB45=""),"",Progetti!AB45)</f>
        <v/>
      </c>
      <c r="T47" s="14" t="str">
        <f>IF(OR(Progetti!E45="",Progetti!AC45=""),"",Progetti!AC45)</f>
        <v/>
      </c>
      <c r="U47" s="14" t="str">
        <f>IF(OR(Progetti!E45="",Progetti!AD45=""),"",Progetti!AD45)</f>
        <v/>
      </c>
      <c r="V47" s="14" t="str">
        <f>IF(OR(Progetti!E45="",Progetti!AE45=""),"",Progetti!AE45)</f>
        <v/>
      </c>
      <c r="W47" s="14" t="str">
        <f>IF(OR(Progetti!E45="",Progetti!AF45=""),"",Progetti!AF45)</f>
        <v/>
      </c>
      <c r="X47" s="14" t="str">
        <f>IF(OR(Progetti!E45="",Progetti!AG45=""),"",Progetti!AG45)</f>
        <v/>
      </c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</row>
    <row r="48" spans="1:84" x14ac:dyDescent="0.35">
      <c r="A48" s="29" t="str">
        <f>IF(Progetti!E46="","",Progetti!A46)</f>
        <v/>
      </c>
      <c r="B48" s="29" t="str">
        <f>IF(Progetti!F46="","",Progetti!B46)</f>
        <v/>
      </c>
      <c r="C48" s="29" t="str">
        <f>IF(Progetti!E46="","",Progetti!C46)</f>
        <v/>
      </c>
      <c r="D48" s="29" t="str">
        <f>IF(Progetti!F46="","",Progetti!D46)</f>
        <v/>
      </c>
      <c r="E48" s="29" t="str">
        <f>IF(Progetti!E46="","",Progetti!E46)</f>
        <v/>
      </c>
      <c r="F48" s="40" t="str">
        <f>IF(Progetti!K46="","",Progetti!K46)</f>
        <v/>
      </c>
      <c r="G48" s="40" t="str">
        <f>IF(Progetti!L46="","",Progetti!L46)</f>
        <v/>
      </c>
      <c r="H48" s="29" t="str">
        <f>IF(Progetti!E46="","",Progetti!N46)</f>
        <v/>
      </c>
      <c r="I48" s="29" t="str">
        <f>IF(Progetti!E46="","",Progetti!M46)</f>
        <v/>
      </c>
      <c r="J48" s="38" t="str">
        <f>IF(Progetti!E46="","",Progetti!I46)</f>
        <v/>
      </c>
      <c r="K48" s="39" t="str">
        <f>IF(OR(Progetti!E46="",Progetti!Q46=""),"",Progetti!Q46)</f>
        <v/>
      </c>
      <c r="L48" s="39" t="str">
        <f>IF(OR(Progetti!E46="",Progetti!R46=""),"",Progetti!R46)</f>
        <v/>
      </c>
      <c r="M48" s="14" t="str">
        <f>IF(OR(Progetti!E46="",Progetti!V46=""),"",Progetti!V46)</f>
        <v/>
      </c>
      <c r="N48" s="14" t="str">
        <f>IF(OR(Progetti!E46="",Progetti!W46=""),"",Progetti!W46)</f>
        <v/>
      </c>
      <c r="O48" s="14" t="str">
        <f>IF(OR(Progetti!E46="",Progetti!X46=""),"",Progetti!X46)</f>
        <v/>
      </c>
      <c r="P48" s="14" t="str">
        <f>IF(OR(Progetti!E46="",Progetti!Y46=""),"",Progetti!Y46)</f>
        <v/>
      </c>
      <c r="Q48" s="14" t="str">
        <f>IF(OR(Progetti!E46="",Progetti!Z46=""),"",Progetti!Z46)</f>
        <v/>
      </c>
      <c r="R48" s="14" t="str">
        <f>IF(OR(Progetti!E46="",Progetti!AA46=""),"",Progetti!AA46)</f>
        <v/>
      </c>
      <c r="S48" s="14" t="str">
        <f>IF(OR(Progetti!E46="",Progetti!AB46=""),"",Progetti!AB46)</f>
        <v/>
      </c>
      <c r="T48" s="14" t="str">
        <f>IF(OR(Progetti!E46="",Progetti!AC46=""),"",Progetti!AC46)</f>
        <v/>
      </c>
      <c r="U48" s="14" t="str">
        <f>IF(OR(Progetti!E46="",Progetti!AD46=""),"",Progetti!AD46)</f>
        <v/>
      </c>
      <c r="V48" s="14" t="str">
        <f>IF(OR(Progetti!E46="",Progetti!AE46=""),"",Progetti!AE46)</f>
        <v/>
      </c>
      <c r="W48" s="14" t="str">
        <f>IF(OR(Progetti!E46="",Progetti!AF46=""),"",Progetti!AF46)</f>
        <v/>
      </c>
      <c r="X48" s="14" t="str">
        <f>IF(OR(Progetti!E46="",Progetti!AG46=""),"",Progetti!AG46)</f>
        <v/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</row>
    <row r="49" spans="1:84" x14ac:dyDescent="0.35">
      <c r="A49" s="29" t="str">
        <f>IF(Progetti!E47="","",Progetti!A47)</f>
        <v/>
      </c>
      <c r="B49" s="29" t="str">
        <f>IF(Progetti!F47="","",Progetti!B47)</f>
        <v/>
      </c>
      <c r="C49" s="29" t="str">
        <f>IF(Progetti!E47="","",Progetti!C47)</f>
        <v/>
      </c>
      <c r="D49" s="29" t="str">
        <f>IF(Progetti!F47="","",Progetti!D47)</f>
        <v/>
      </c>
      <c r="E49" s="29" t="str">
        <f>IF(Progetti!E47="","",Progetti!E47)</f>
        <v/>
      </c>
      <c r="F49" s="40" t="str">
        <f>IF(Progetti!K47="","",Progetti!K47)</f>
        <v/>
      </c>
      <c r="G49" s="40" t="str">
        <f>IF(Progetti!L47="","",Progetti!L47)</f>
        <v/>
      </c>
      <c r="H49" s="29" t="str">
        <f>IF(Progetti!E47="","",Progetti!N47)</f>
        <v/>
      </c>
      <c r="I49" s="29" t="str">
        <f>IF(Progetti!E47="","",Progetti!M47)</f>
        <v/>
      </c>
      <c r="J49" s="38" t="str">
        <f>IF(Progetti!E47="","",Progetti!I47)</f>
        <v/>
      </c>
      <c r="K49" s="39" t="str">
        <f>IF(OR(Progetti!E47="",Progetti!Q47=""),"",Progetti!Q47)</f>
        <v/>
      </c>
      <c r="L49" s="39" t="str">
        <f>IF(OR(Progetti!E47="",Progetti!R47=""),"",Progetti!R47)</f>
        <v/>
      </c>
      <c r="M49" s="14" t="str">
        <f>IF(OR(Progetti!E47="",Progetti!V47=""),"",Progetti!V47)</f>
        <v/>
      </c>
      <c r="N49" s="14" t="str">
        <f>IF(OR(Progetti!E47="",Progetti!W47=""),"",Progetti!W47)</f>
        <v/>
      </c>
      <c r="O49" s="14" t="str">
        <f>IF(OR(Progetti!E47="",Progetti!X47=""),"",Progetti!X47)</f>
        <v/>
      </c>
      <c r="P49" s="14" t="str">
        <f>IF(OR(Progetti!E47="",Progetti!Y47=""),"",Progetti!Y47)</f>
        <v/>
      </c>
      <c r="Q49" s="14" t="str">
        <f>IF(OR(Progetti!E47="",Progetti!Z47=""),"",Progetti!Z47)</f>
        <v/>
      </c>
      <c r="R49" s="14" t="str">
        <f>IF(OR(Progetti!E47="",Progetti!AA47=""),"",Progetti!AA47)</f>
        <v/>
      </c>
      <c r="S49" s="14" t="str">
        <f>IF(OR(Progetti!E47="",Progetti!AB47=""),"",Progetti!AB47)</f>
        <v/>
      </c>
      <c r="T49" s="14" t="str">
        <f>IF(OR(Progetti!E47="",Progetti!AC47=""),"",Progetti!AC47)</f>
        <v/>
      </c>
      <c r="U49" s="14" t="str">
        <f>IF(OR(Progetti!E47="",Progetti!AD47=""),"",Progetti!AD47)</f>
        <v/>
      </c>
      <c r="V49" s="14" t="str">
        <f>IF(OR(Progetti!E47="",Progetti!AE47=""),"",Progetti!AE47)</f>
        <v/>
      </c>
      <c r="W49" s="14" t="str">
        <f>IF(OR(Progetti!E47="",Progetti!AF47=""),"",Progetti!AF47)</f>
        <v/>
      </c>
      <c r="X49" s="14" t="str">
        <f>IF(OR(Progetti!E47="",Progetti!AG47=""),"",Progetti!AG47)</f>
        <v/>
      </c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</row>
    <row r="50" spans="1:84" x14ac:dyDescent="0.35">
      <c r="A50" s="29" t="str">
        <f>IF(Progetti!E48="","",Progetti!A48)</f>
        <v/>
      </c>
      <c r="B50" s="29" t="str">
        <f>IF(Progetti!F48="","",Progetti!B48)</f>
        <v/>
      </c>
      <c r="C50" s="29" t="str">
        <f>IF(Progetti!E48="","",Progetti!C48)</f>
        <v/>
      </c>
      <c r="D50" s="29" t="str">
        <f>IF(Progetti!F48="","",Progetti!D48)</f>
        <v/>
      </c>
      <c r="E50" s="29" t="str">
        <f>IF(Progetti!E48="","",Progetti!E48)</f>
        <v/>
      </c>
      <c r="F50" s="40" t="str">
        <f>IF(Progetti!K48="","",Progetti!K48)</f>
        <v/>
      </c>
      <c r="G50" s="40" t="str">
        <f>IF(Progetti!L48="","",Progetti!L48)</f>
        <v/>
      </c>
      <c r="H50" s="29" t="str">
        <f>IF(Progetti!E48="","",Progetti!N48)</f>
        <v/>
      </c>
      <c r="I50" s="29" t="str">
        <f>IF(Progetti!E48="","",Progetti!M48)</f>
        <v/>
      </c>
      <c r="J50" s="38" t="str">
        <f>IF(Progetti!E48="","",Progetti!I48)</f>
        <v/>
      </c>
      <c r="K50" s="39" t="str">
        <f>IF(OR(Progetti!E48="",Progetti!Q48=""),"",Progetti!Q48)</f>
        <v/>
      </c>
      <c r="L50" s="39" t="str">
        <f>IF(OR(Progetti!E48="",Progetti!R48=""),"",Progetti!R48)</f>
        <v/>
      </c>
      <c r="M50" s="14" t="str">
        <f>IF(OR(Progetti!E48="",Progetti!V48=""),"",Progetti!V48)</f>
        <v/>
      </c>
      <c r="N50" s="14" t="str">
        <f>IF(OR(Progetti!E48="",Progetti!W48=""),"",Progetti!W48)</f>
        <v/>
      </c>
      <c r="O50" s="14" t="str">
        <f>IF(OR(Progetti!E48="",Progetti!X48=""),"",Progetti!X48)</f>
        <v/>
      </c>
      <c r="P50" s="14" t="str">
        <f>IF(OR(Progetti!E48="",Progetti!Y48=""),"",Progetti!Y48)</f>
        <v/>
      </c>
      <c r="Q50" s="14" t="str">
        <f>IF(OR(Progetti!E48="",Progetti!Z48=""),"",Progetti!Z48)</f>
        <v/>
      </c>
      <c r="R50" s="14" t="str">
        <f>IF(OR(Progetti!E48="",Progetti!AA48=""),"",Progetti!AA48)</f>
        <v/>
      </c>
      <c r="S50" s="14" t="str">
        <f>IF(OR(Progetti!E48="",Progetti!AB48=""),"",Progetti!AB48)</f>
        <v/>
      </c>
      <c r="T50" s="14" t="str">
        <f>IF(OR(Progetti!E48="",Progetti!AC48=""),"",Progetti!AC48)</f>
        <v/>
      </c>
      <c r="U50" s="14" t="str">
        <f>IF(OR(Progetti!E48="",Progetti!AD48=""),"",Progetti!AD48)</f>
        <v/>
      </c>
      <c r="V50" s="14" t="str">
        <f>IF(OR(Progetti!E48="",Progetti!AE48=""),"",Progetti!AE48)</f>
        <v/>
      </c>
      <c r="W50" s="14" t="str">
        <f>IF(OR(Progetti!E48="",Progetti!AF48=""),"",Progetti!AF48)</f>
        <v/>
      </c>
      <c r="X50" s="14" t="str">
        <f>IF(OR(Progetti!E48="",Progetti!AG48=""),"",Progetti!AG48)</f>
        <v/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</row>
    <row r="51" spans="1:84" x14ac:dyDescent="0.35">
      <c r="A51" s="29" t="str">
        <f>IF(Progetti!E49="","",Progetti!A49)</f>
        <v/>
      </c>
      <c r="B51" s="29" t="str">
        <f>IF(Progetti!F49="","",Progetti!B49)</f>
        <v/>
      </c>
      <c r="C51" s="29" t="str">
        <f>IF(Progetti!E49="","",Progetti!C49)</f>
        <v/>
      </c>
      <c r="D51" s="29" t="str">
        <f>IF(Progetti!F49="","",Progetti!D49)</f>
        <v/>
      </c>
      <c r="E51" s="29" t="str">
        <f>IF(Progetti!E49="","",Progetti!E49)</f>
        <v/>
      </c>
      <c r="F51" s="40" t="str">
        <f>IF(Progetti!K49="","",Progetti!K49)</f>
        <v/>
      </c>
      <c r="G51" s="40" t="str">
        <f>IF(Progetti!L49="","",Progetti!L49)</f>
        <v/>
      </c>
      <c r="H51" s="29" t="str">
        <f>IF(Progetti!E49="","",Progetti!N49)</f>
        <v/>
      </c>
      <c r="I51" s="29" t="str">
        <f>IF(Progetti!E49="","",Progetti!M49)</f>
        <v/>
      </c>
      <c r="J51" s="38" t="str">
        <f>IF(Progetti!E49="","",Progetti!I49)</f>
        <v/>
      </c>
      <c r="K51" s="39" t="str">
        <f>IF(OR(Progetti!E49="",Progetti!Q49=""),"",Progetti!Q49)</f>
        <v/>
      </c>
      <c r="L51" s="39" t="str">
        <f>IF(OR(Progetti!E49="",Progetti!R49=""),"",Progetti!R49)</f>
        <v/>
      </c>
      <c r="M51" s="14" t="str">
        <f>IF(OR(Progetti!E49="",Progetti!V49=""),"",Progetti!V49)</f>
        <v/>
      </c>
      <c r="N51" s="14" t="str">
        <f>IF(OR(Progetti!E49="",Progetti!W49=""),"",Progetti!W49)</f>
        <v/>
      </c>
      <c r="O51" s="14" t="str">
        <f>IF(OR(Progetti!E49="",Progetti!X49=""),"",Progetti!X49)</f>
        <v/>
      </c>
      <c r="P51" s="14" t="str">
        <f>IF(OR(Progetti!E49="",Progetti!Y49=""),"",Progetti!Y49)</f>
        <v/>
      </c>
      <c r="Q51" s="14" t="str">
        <f>IF(OR(Progetti!E49="",Progetti!Z49=""),"",Progetti!Z49)</f>
        <v/>
      </c>
      <c r="R51" s="14" t="str">
        <f>IF(OR(Progetti!E49="",Progetti!AA49=""),"",Progetti!AA49)</f>
        <v/>
      </c>
      <c r="S51" s="14" t="str">
        <f>IF(OR(Progetti!E49="",Progetti!AB49=""),"",Progetti!AB49)</f>
        <v/>
      </c>
      <c r="T51" s="14" t="str">
        <f>IF(OR(Progetti!E49="",Progetti!AC49=""),"",Progetti!AC49)</f>
        <v/>
      </c>
      <c r="U51" s="14" t="str">
        <f>IF(OR(Progetti!E49="",Progetti!AD49=""),"",Progetti!AD49)</f>
        <v/>
      </c>
      <c r="V51" s="14" t="str">
        <f>IF(OR(Progetti!E49="",Progetti!AE49=""),"",Progetti!AE49)</f>
        <v/>
      </c>
      <c r="W51" s="14" t="str">
        <f>IF(OR(Progetti!E49="",Progetti!AF49=""),"",Progetti!AF49)</f>
        <v/>
      </c>
      <c r="X51" s="14" t="str">
        <f>IF(OR(Progetti!E49="",Progetti!AG49=""),"",Progetti!AG49)</f>
        <v/>
      </c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</row>
    <row r="52" spans="1:84" x14ac:dyDescent="0.35">
      <c r="A52" s="29" t="str">
        <f>IF(Progetti!E50="","",Progetti!A50)</f>
        <v/>
      </c>
      <c r="B52" s="29" t="str">
        <f>IF(Progetti!F50="","",Progetti!B50)</f>
        <v/>
      </c>
      <c r="C52" s="29" t="str">
        <f>IF(Progetti!E50="","",Progetti!C50)</f>
        <v/>
      </c>
      <c r="D52" s="29" t="str">
        <f>IF(Progetti!F50="","",Progetti!D50)</f>
        <v/>
      </c>
      <c r="E52" s="29" t="str">
        <f>IF(Progetti!E50="","",Progetti!E50)</f>
        <v/>
      </c>
      <c r="F52" s="40" t="str">
        <f>IF(Progetti!K50="","",Progetti!K50)</f>
        <v/>
      </c>
      <c r="G52" s="40" t="str">
        <f>IF(Progetti!L50="","",Progetti!L50)</f>
        <v/>
      </c>
      <c r="H52" s="29" t="str">
        <f>IF(Progetti!E50="","",Progetti!N50)</f>
        <v/>
      </c>
      <c r="I52" s="29" t="str">
        <f>IF(Progetti!E50="","",Progetti!M50)</f>
        <v/>
      </c>
      <c r="J52" s="38" t="str">
        <f>IF(Progetti!E50="","",Progetti!I50)</f>
        <v/>
      </c>
      <c r="K52" s="39" t="str">
        <f>IF(OR(Progetti!E50="",Progetti!Q50=""),"",Progetti!Q50)</f>
        <v/>
      </c>
      <c r="L52" s="39" t="str">
        <f>IF(OR(Progetti!E50="",Progetti!R50=""),"",Progetti!R50)</f>
        <v/>
      </c>
      <c r="M52" s="14" t="str">
        <f>IF(OR(Progetti!E50="",Progetti!V50=""),"",Progetti!V50)</f>
        <v/>
      </c>
      <c r="N52" s="14" t="str">
        <f>IF(OR(Progetti!E50="",Progetti!W50=""),"",Progetti!W50)</f>
        <v/>
      </c>
      <c r="O52" s="14" t="str">
        <f>IF(OR(Progetti!E50="",Progetti!X50=""),"",Progetti!X50)</f>
        <v/>
      </c>
      <c r="P52" s="14" t="str">
        <f>IF(OR(Progetti!E50="",Progetti!Y50=""),"",Progetti!Y50)</f>
        <v/>
      </c>
      <c r="Q52" s="14" t="str">
        <f>IF(OR(Progetti!E50="",Progetti!Z50=""),"",Progetti!Z50)</f>
        <v/>
      </c>
      <c r="R52" s="14" t="str">
        <f>IF(OR(Progetti!E50="",Progetti!AA50=""),"",Progetti!AA50)</f>
        <v/>
      </c>
      <c r="S52" s="14" t="str">
        <f>IF(OR(Progetti!E50="",Progetti!AB50=""),"",Progetti!AB50)</f>
        <v/>
      </c>
      <c r="T52" s="14" t="str">
        <f>IF(OR(Progetti!E50="",Progetti!AC50=""),"",Progetti!AC50)</f>
        <v/>
      </c>
      <c r="U52" s="14" t="str">
        <f>IF(OR(Progetti!E50="",Progetti!AD50=""),"",Progetti!AD50)</f>
        <v/>
      </c>
      <c r="V52" s="14" t="str">
        <f>IF(OR(Progetti!E50="",Progetti!AE50=""),"",Progetti!AE50)</f>
        <v/>
      </c>
      <c r="W52" s="14" t="str">
        <f>IF(OR(Progetti!E50="",Progetti!AF50=""),"",Progetti!AF50)</f>
        <v/>
      </c>
      <c r="X52" s="14" t="str">
        <f>IF(OR(Progetti!E50="",Progetti!AG50=""),"",Progetti!AG50)</f>
        <v/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</row>
    <row r="53" spans="1:84" x14ac:dyDescent="0.35">
      <c r="A53" s="29" t="str">
        <f>IF(Progetti!E51="","",Progetti!A51)</f>
        <v/>
      </c>
      <c r="B53" s="29" t="str">
        <f>IF(Progetti!F51="","",Progetti!B51)</f>
        <v/>
      </c>
      <c r="C53" s="29" t="str">
        <f>IF(Progetti!E51="","",Progetti!C51)</f>
        <v/>
      </c>
      <c r="D53" s="29" t="str">
        <f>IF(Progetti!F51="","",Progetti!D51)</f>
        <v/>
      </c>
      <c r="E53" s="29" t="str">
        <f>IF(Progetti!E51="","",Progetti!E51)</f>
        <v/>
      </c>
      <c r="F53" s="40" t="str">
        <f>IF(Progetti!K51="","",Progetti!K51)</f>
        <v/>
      </c>
      <c r="G53" s="40" t="str">
        <f>IF(Progetti!L51="","",Progetti!L51)</f>
        <v/>
      </c>
      <c r="H53" s="29" t="str">
        <f>IF(Progetti!E51="","",Progetti!N51)</f>
        <v/>
      </c>
      <c r="I53" s="29" t="str">
        <f>IF(Progetti!E51="","",Progetti!M51)</f>
        <v/>
      </c>
      <c r="J53" s="38" t="str">
        <f>IF(Progetti!E51="","",Progetti!I51)</f>
        <v/>
      </c>
      <c r="K53" s="39" t="str">
        <f>IF(OR(Progetti!E51="",Progetti!Q51=""),"",Progetti!Q51)</f>
        <v/>
      </c>
      <c r="L53" s="39" t="str">
        <f>IF(OR(Progetti!E51="",Progetti!R51=""),"",Progetti!R51)</f>
        <v/>
      </c>
      <c r="M53" s="14" t="str">
        <f>IF(OR(Progetti!E51="",Progetti!V51=""),"",Progetti!V51)</f>
        <v/>
      </c>
      <c r="N53" s="14" t="str">
        <f>IF(OR(Progetti!E51="",Progetti!W51=""),"",Progetti!W51)</f>
        <v/>
      </c>
      <c r="O53" s="14" t="str">
        <f>IF(OR(Progetti!E51="",Progetti!X51=""),"",Progetti!X51)</f>
        <v/>
      </c>
      <c r="P53" s="14" t="str">
        <f>IF(OR(Progetti!E51="",Progetti!Y51=""),"",Progetti!Y51)</f>
        <v/>
      </c>
      <c r="Q53" s="14" t="str">
        <f>IF(OR(Progetti!E51="",Progetti!Z51=""),"",Progetti!Z51)</f>
        <v/>
      </c>
      <c r="R53" s="14" t="str">
        <f>IF(OR(Progetti!E51="",Progetti!AA51=""),"",Progetti!AA51)</f>
        <v/>
      </c>
      <c r="S53" s="14" t="str">
        <f>IF(OR(Progetti!E51="",Progetti!AB51=""),"",Progetti!AB51)</f>
        <v/>
      </c>
      <c r="T53" s="14" t="str">
        <f>IF(OR(Progetti!E51="",Progetti!AC51=""),"",Progetti!AC51)</f>
        <v/>
      </c>
      <c r="U53" s="14" t="str">
        <f>IF(OR(Progetti!E51="",Progetti!AD51=""),"",Progetti!AD51)</f>
        <v/>
      </c>
      <c r="V53" s="14" t="str">
        <f>IF(OR(Progetti!E51="",Progetti!AE51=""),"",Progetti!AE51)</f>
        <v/>
      </c>
      <c r="W53" s="14" t="str">
        <f>IF(OR(Progetti!E51="",Progetti!AF51=""),"",Progetti!AF51)</f>
        <v/>
      </c>
      <c r="X53" s="14" t="str">
        <f>IF(OR(Progetti!E51="",Progetti!AG51=""),"",Progetti!AG51)</f>
        <v/>
      </c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</row>
    <row r="54" spans="1:84" x14ac:dyDescent="0.35">
      <c r="A54" s="29" t="str">
        <f>IF(Progetti!E52="","",Progetti!A52)</f>
        <v/>
      </c>
      <c r="B54" s="29" t="str">
        <f>IF(Progetti!F52="","",Progetti!B52)</f>
        <v/>
      </c>
      <c r="C54" s="29" t="str">
        <f>IF(Progetti!E52="","",Progetti!C52)</f>
        <v/>
      </c>
      <c r="D54" s="29" t="str">
        <f>IF(Progetti!F52="","",Progetti!D52)</f>
        <v/>
      </c>
      <c r="E54" s="29" t="str">
        <f>IF(Progetti!E52="","",Progetti!E52)</f>
        <v/>
      </c>
      <c r="F54" s="40" t="str">
        <f>IF(Progetti!K52="","",Progetti!K52)</f>
        <v/>
      </c>
      <c r="G54" s="40" t="str">
        <f>IF(Progetti!L52="","",Progetti!L52)</f>
        <v/>
      </c>
      <c r="H54" s="29" t="str">
        <f>IF(Progetti!E52="","",Progetti!N52)</f>
        <v/>
      </c>
      <c r="I54" s="29" t="str">
        <f>IF(Progetti!E52="","",Progetti!M52)</f>
        <v/>
      </c>
      <c r="J54" s="38" t="str">
        <f>IF(Progetti!E52="","",Progetti!I52)</f>
        <v/>
      </c>
      <c r="K54" s="39" t="str">
        <f>IF(OR(Progetti!E52="",Progetti!Q52=""),"",Progetti!Q52)</f>
        <v/>
      </c>
      <c r="L54" s="39" t="str">
        <f>IF(OR(Progetti!E52="",Progetti!R52=""),"",Progetti!R52)</f>
        <v/>
      </c>
      <c r="M54" s="14" t="str">
        <f>IF(OR(Progetti!E52="",Progetti!V52=""),"",Progetti!V52)</f>
        <v/>
      </c>
      <c r="N54" s="14" t="str">
        <f>IF(OR(Progetti!E52="",Progetti!W52=""),"",Progetti!W52)</f>
        <v/>
      </c>
      <c r="O54" s="14" t="str">
        <f>IF(OR(Progetti!E52="",Progetti!X52=""),"",Progetti!X52)</f>
        <v/>
      </c>
      <c r="P54" s="14" t="str">
        <f>IF(OR(Progetti!E52="",Progetti!Y52=""),"",Progetti!Y52)</f>
        <v/>
      </c>
      <c r="Q54" s="14" t="str">
        <f>IF(OR(Progetti!E52="",Progetti!Z52=""),"",Progetti!Z52)</f>
        <v/>
      </c>
      <c r="R54" s="14" t="str">
        <f>IF(OR(Progetti!E52="",Progetti!AA52=""),"",Progetti!AA52)</f>
        <v/>
      </c>
      <c r="S54" s="14" t="str">
        <f>IF(OR(Progetti!E52="",Progetti!AB52=""),"",Progetti!AB52)</f>
        <v/>
      </c>
      <c r="T54" s="14" t="str">
        <f>IF(OR(Progetti!E52="",Progetti!AC52=""),"",Progetti!AC52)</f>
        <v/>
      </c>
      <c r="U54" s="14" t="str">
        <f>IF(OR(Progetti!E52="",Progetti!AD52=""),"",Progetti!AD52)</f>
        <v/>
      </c>
      <c r="V54" s="14" t="str">
        <f>IF(OR(Progetti!E52="",Progetti!AE52=""),"",Progetti!AE52)</f>
        <v/>
      </c>
      <c r="W54" s="14" t="str">
        <f>IF(OR(Progetti!E52="",Progetti!AF52=""),"",Progetti!AF52)</f>
        <v/>
      </c>
      <c r="X54" s="14" t="str">
        <f>IF(OR(Progetti!E52="",Progetti!AG52=""),"",Progetti!AG52)</f>
        <v/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</row>
    <row r="55" spans="1:84" x14ac:dyDescent="0.35">
      <c r="A55" s="29" t="str">
        <f>IF(Progetti!E53="","",Progetti!A53)</f>
        <v/>
      </c>
      <c r="B55" s="29" t="str">
        <f>IF(Progetti!F53="","",Progetti!B53)</f>
        <v/>
      </c>
      <c r="C55" s="29" t="str">
        <f>IF(Progetti!E53="","",Progetti!C53)</f>
        <v/>
      </c>
      <c r="D55" s="29" t="str">
        <f>IF(Progetti!F53="","",Progetti!D53)</f>
        <v/>
      </c>
      <c r="E55" s="29" t="str">
        <f>IF(Progetti!E53="","",Progetti!E53)</f>
        <v/>
      </c>
      <c r="F55" s="40" t="str">
        <f>IF(Progetti!K53="","",Progetti!K53)</f>
        <v/>
      </c>
      <c r="G55" s="40" t="str">
        <f>IF(Progetti!L53="","",Progetti!L53)</f>
        <v/>
      </c>
      <c r="H55" s="29" t="str">
        <f>IF(Progetti!E53="","",Progetti!N53)</f>
        <v/>
      </c>
      <c r="I55" s="29" t="str">
        <f>IF(Progetti!E53="","",Progetti!M53)</f>
        <v/>
      </c>
      <c r="J55" s="38" t="str">
        <f>IF(Progetti!E53="","",Progetti!I53)</f>
        <v/>
      </c>
      <c r="K55" s="39" t="str">
        <f>IF(OR(Progetti!E53="",Progetti!Q53=""),"",Progetti!Q53)</f>
        <v/>
      </c>
      <c r="L55" s="39" t="str">
        <f>IF(OR(Progetti!E53="",Progetti!R53=""),"",Progetti!R53)</f>
        <v/>
      </c>
      <c r="M55" s="14" t="str">
        <f>IF(OR(Progetti!E53="",Progetti!V53=""),"",Progetti!V53)</f>
        <v/>
      </c>
      <c r="N55" s="14" t="str">
        <f>IF(OR(Progetti!E53="",Progetti!W53=""),"",Progetti!W53)</f>
        <v/>
      </c>
      <c r="O55" s="14" t="str">
        <f>IF(OR(Progetti!E53="",Progetti!X53=""),"",Progetti!X53)</f>
        <v/>
      </c>
      <c r="P55" s="14" t="str">
        <f>IF(OR(Progetti!E53="",Progetti!Y53=""),"",Progetti!Y53)</f>
        <v/>
      </c>
      <c r="Q55" s="14" t="str">
        <f>IF(OR(Progetti!E53="",Progetti!Z53=""),"",Progetti!Z53)</f>
        <v/>
      </c>
      <c r="R55" s="14" t="str">
        <f>IF(OR(Progetti!E53="",Progetti!AA53=""),"",Progetti!AA53)</f>
        <v/>
      </c>
      <c r="S55" s="14" t="str">
        <f>IF(OR(Progetti!E53="",Progetti!AB53=""),"",Progetti!AB53)</f>
        <v/>
      </c>
      <c r="T55" s="14" t="str">
        <f>IF(OR(Progetti!E53="",Progetti!AC53=""),"",Progetti!AC53)</f>
        <v/>
      </c>
      <c r="U55" s="14" t="str">
        <f>IF(OR(Progetti!E53="",Progetti!AD53=""),"",Progetti!AD53)</f>
        <v/>
      </c>
      <c r="V55" s="14" t="str">
        <f>IF(OR(Progetti!E53="",Progetti!AE53=""),"",Progetti!AE53)</f>
        <v/>
      </c>
      <c r="W55" s="14" t="str">
        <f>IF(OR(Progetti!E53="",Progetti!AF53=""),"",Progetti!AF53)</f>
        <v/>
      </c>
      <c r="X55" s="14" t="str">
        <f>IF(OR(Progetti!E53="",Progetti!AG53=""),"",Progetti!AG53)</f>
        <v/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</row>
    <row r="56" spans="1:84" x14ac:dyDescent="0.35">
      <c r="A56" s="29" t="str">
        <f>IF(Progetti!E54="","",Progetti!A54)</f>
        <v/>
      </c>
      <c r="B56" s="29" t="str">
        <f>IF(Progetti!F54="","",Progetti!B54)</f>
        <v/>
      </c>
      <c r="C56" s="29" t="str">
        <f>IF(Progetti!E54="","",Progetti!C54)</f>
        <v/>
      </c>
      <c r="D56" s="29" t="str">
        <f>IF(Progetti!F54="","",Progetti!D54)</f>
        <v/>
      </c>
      <c r="E56" s="29" t="str">
        <f>IF(Progetti!E54="","",Progetti!E54)</f>
        <v/>
      </c>
      <c r="F56" s="40" t="str">
        <f>IF(Progetti!K54="","",Progetti!K54)</f>
        <v/>
      </c>
      <c r="G56" s="40" t="str">
        <f>IF(Progetti!L54="","",Progetti!L54)</f>
        <v/>
      </c>
      <c r="H56" s="29" t="str">
        <f>IF(Progetti!E54="","",Progetti!N54)</f>
        <v/>
      </c>
      <c r="I56" s="29" t="str">
        <f>IF(Progetti!E54="","",Progetti!M54)</f>
        <v/>
      </c>
      <c r="J56" s="38" t="str">
        <f>IF(Progetti!E54="","",Progetti!I54)</f>
        <v/>
      </c>
      <c r="K56" s="39" t="str">
        <f>IF(OR(Progetti!E54="",Progetti!Q54=""),"",Progetti!Q54)</f>
        <v/>
      </c>
      <c r="L56" s="39" t="str">
        <f>IF(OR(Progetti!E54="",Progetti!R54=""),"",Progetti!R54)</f>
        <v/>
      </c>
      <c r="M56" s="14" t="str">
        <f>IF(OR(Progetti!E54="",Progetti!V54=""),"",Progetti!V54)</f>
        <v/>
      </c>
      <c r="N56" s="14" t="str">
        <f>IF(OR(Progetti!E54="",Progetti!W54=""),"",Progetti!W54)</f>
        <v/>
      </c>
      <c r="O56" s="14" t="str">
        <f>IF(OR(Progetti!E54="",Progetti!X54=""),"",Progetti!X54)</f>
        <v/>
      </c>
      <c r="P56" s="14" t="str">
        <f>IF(OR(Progetti!E54="",Progetti!Y54=""),"",Progetti!Y54)</f>
        <v/>
      </c>
      <c r="Q56" s="14" t="str">
        <f>IF(OR(Progetti!E54="",Progetti!Z54=""),"",Progetti!Z54)</f>
        <v/>
      </c>
      <c r="R56" s="14" t="str">
        <f>IF(OR(Progetti!E54="",Progetti!AA54=""),"",Progetti!AA54)</f>
        <v/>
      </c>
      <c r="S56" s="14" t="str">
        <f>IF(OR(Progetti!E54="",Progetti!AB54=""),"",Progetti!AB54)</f>
        <v/>
      </c>
      <c r="T56" s="14" t="str">
        <f>IF(OR(Progetti!E54="",Progetti!AC54=""),"",Progetti!AC54)</f>
        <v/>
      </c>
      <c r="U56" s="14" t="str">
        <f>IF(OR(Progetti!E54="",Progetti!AD54=""),"",Progetti!AD54)</f>
        <v/>
      </c>
      <c r="V56" s="14" t="str">
        <f>IF(OR(Progetti!E54="",Progetti!AE54=""),"",Progetti!AE54)</f>
        <v/>
      </c>
      <c r="W56" s="14" t="str">
        <f>IF(OR(Progetti!E54="",Progetti!AF54=""),"",Progetti!AF54)</f>
        <v/>
      </c>
      <c r="X56" s="14" t="str">
        <f>IF(OR(Progetti!E54="",Progetti!AG54=""),"",Progetti!AG54)</f>
        <v/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</row>
    <row r="57" spans="1:84" x14ac:dyDescent="0.35">
      <c r="A57" s="29" t="str">
        <f>IF(Progetti!E55="","",Progetti!A55)</f>
        <v/>
      </c>
      <c r="B57" s="29" t="str">
        <f>IF(Progetti!F55="","",Progetti!B55)</f>
        <v/>
      </c>
      <c r="C57" s="29" t="str">
        <f>IF(Progetti!E55="","",Progetti!C55)</f>
        <v/>
      </c>
      <c r="D57" s="29" t="str">
        <f>IF(Progetti!F55="","",Progetti!D55)</f>
        <v/>
      </c>
      <c r="E57" s="29" t="str">
        <f>IF(Progetti!E55="","",Progetti!E55)</f>
        <v/>
      </c>
      <c r="F57" s="40" t="str">
        <f>IF(Progetti!K55="","",Progetti!K55)</f>
        <v/>
      </c>
      <c r="G57" s="40" t="str">
        <f>IF(Progetti!L55="","",Progetti!L55)</f>
        <v/>
      </c>
      <c r="H57" s="29" t="str">
        <f>IF(Progetti!E55="","",Progetti!N55)</f>
        <v/>
      </c>
      <c r="I57" s="29" t="str">
        <f>IF(Progetti!E55="","",Progetti!M55)</f>
        <v/>
      </c>
      <c r="J57" s="38" t="str">
        <f>IF(Progetti!E55="","",Progetti!I55)</f>
        <v/>
      </c>
      <c r="K57" s="39" t="str">
        <f>IF(OR(Progetti!E55="",Progetti!Q55=""),"",Progetti!Q55)</f>
        <v/>
      </c>
      <c r="L57" s="39" t="str">
        <f>IF(OR(Progetti!E55="",Progetti!R55=""),"",Progetti!R55)</f>
        <v/>
      </c>
      <c r="M57" s="14" t="str">
        <f>IF(OR(Progetti!E55="",Progetti!V55=""),"",Progetti!V55)</f>
        <v/>
      </c>
      <c r="N57" s="14" t="str">
        <f>IF(OR(Progetti!E55="",Progetti!W55=""),"",Progetti!W55)</f>
        <v/>
      </c>
      <c r="O57" s="14" t="str">
        <f>IF(OR(Progetti!E55="",Progetti!X55=""),"",Progetti!X55)</f>
        <v/>
      </c>
      <c r="P57" s="14" t="str">
        <f>IF(OR(Progetti!E55="",Progetti!Y55=""),"",Progetti!Y55)</f>
        <v/>
      </c>
      <c r="Q57" s="14" t="str">
        <f>IF(OR(Progetti!E55="",Progetti!Z55=""),"",Progetti!Z55)</f>
        <v/>
      </c>
      <c r="R57" s="14" t="str">
        <f>IF(OR(Progetti!E55="",Progetti!AA55=""),"",Progetti!AA55)</f>
        <v/>
      </c>
      <c r="S57" s="14" t="str">
        <f>IF(OR(Progetti!E55="",Progetti!AB55=""),"",Progetti!AB55)</f>
        <v/>
      </c>
      <c r="T57" s="14" t="str">
        <f>IF(OR(Progetti!E55="",Progetti!AC55=""),"",Progetti!AC55)</f>
        <v/>
      </c>
      <c r="U57" s="14" t="str">
        <f>IF(OR(Progetti!E55="",Progetti!AD55=""),"",Progetti!AD55)</f>
        <v/>
      </c>
      <c r="V57" s="14" t="str">
        <f>IF(OR(Progetti!E55="",Progetti!AE55=""),"",Progetti!AE55)</f>
        <v/>
      </c>
      <c r="W57" s="14" t="str">
        <f>IF(OR(Progetti!E55="",Progetti!AF55=""),"",Progetti!AF55)</f>
        <v/>
      </c>
      <c r="X57" s="14" t="str">
        <f>IF(OR(Progetti!E55="",Progetti!AG55=""),"",Progetti!AG55)</f>
        <v/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</row>
    <row r="58" spans="1:84" x14ac:dyDescent="0.35">
      <c r="A58" s="29" t="str">
        <f>IF(Progetti!E56="","",Progetti!A56)</f>
        <v/>
      </c>
      <c r="B58" s="29" t="str">
        <f>IF(Progetti!F56="","",Progetti!B56)</f>
        <v/>
      </c>
      <c r="C58" s="29" t="str">
        <f>IF(Progetti!E56="","",Progetti!C56)</f>
        <v/>
      </c>
      <c r="D58" s="29" t="str">
        <f>IF(Progetti!F56="","",Progetti!D56)</f>
        <v/>
      </c>
      <c r="E58" s="29" t="str">
        <f>IF(Progetti!E56="","",Progetti!E56)</f>
        <v/>
      </c>
      <c r="F58" s="40" t="str">
        <f>IF(Progetti!K56="","",Progetti!K56)</f>
        <v/>
      </c>
      <c r="G58" s="40" t="str">
        <f>IF(Progetti!L56="","",Progetti!L56)</f>
        <v/>
      </c>
      <c r="H58" s="29" t="str">
        <f>IF(Progetti!E56="","",Progetti!N56)</f>
        <v/>
      </c>
      <c r="I58" s="29" t="str">
        <f>IF(Progetti!E56="","",Progetti!M56)</f>
        <v/>
      </c>
      <c r="J58" s="38" t="str">
        <f>IF(Progetti!E56="","",Progetti!I56)</f>
        <v/>
      </c>
      <c r="K58" s="39" t="str">
        <f>IF(OR(Progetti!E56="",Progetti!Q56=""),"",Progetti!Q56)</f>
        <v/>
      </c>
      <c r="L58" s="39" t="str">
        <f>IF(OR(Progetti!E56="",Progetti!R56=""),"",Progetti!R56)</f>
        <v/>
      </c>
      <c r="M58" s="14" t="str">
        <f>IF(OR(Progetti!E56="",Progetti!V56=""),"",Progetti!V56)</f>
        <v/>
      </c>
      <c r="N58" s="14" t="str">
        <f>IF(OR(Progetti!E56="",Progetti!W56=""),"",Progetti!W56)</f>
        <v/>
      </c>
      <c r="O58" s="14" t="str">
        <f>IF(OR(Progetti!E56="",Progetti!X56=""),"",Progetti!X56)</f>
        <v/>
      </c>
      <c r="P58" s="14" t="str">
        <f>IF(OR(Progetti!E56="",Progetti!Y56=""),"",Progetti!Y56)</f>
        <v/>
      </c>
      <c r="Q58" s="14" t="str">
        <f>IF(OR(Progetti!E56="",Progetti!Z56=""),"",Progetti!Z56)</f>
        <v/>
      </c>
      <c r="R58" s="14" t="str">
        <f>IF(OR(Progetti!E56="",Progetti!AA56=""),"",Progetti!AA56)</f>
        <v/>
      </c>
      <c r="S58" s="14" t="str">
        <f>IF(OR(Progetti!E56="",Progetti!AB56=""),"",Progetti!AB56)</f>
        <v/>
      </c>
      <c r="T58" s="14" t="str">
        <f>IF(OR(Progetti!E56="",Progetti!AC56=""),"",Progetti!AC56)</f>
        <v/>
      </c>
      <c r="U58" s="14" t="str">
        <f>IF(OR(Progetti!E56="",Progetti!AD56=""),"",Progetti!AD56)</f>
        <v/>
      </c>
      <c r="V58" s="14" t="str">
        <f>IF(OR(Progetti!E56="",Progetti!AE56=""),"",Progetti!AE56)</f>
        <v/>
      </c>
      <c r="W58" s="14" t="str">
        <f>IF(OR(Progetti!E56="",Progetti!AF56=""),"",Progetti!AF56)</f>
        <v/>
      </c>
      <c r="X58" s="14" t="str">
        <f>IF(OR(Progetti!E56="",Progetti!AG56=""),"",Progetti!AG56)</f>
        <v/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</row>
    <row r="59" spans="1:84" x14ac:dyDescent="0.35">
      <c r="A59" s="29" t="str">
        <f>IF(Progetti!E57="","",Progetti!A57)</f>
        <v/>
      </c>
      <c r="B59" s="29" t="str">
        <f>IF(Progetti!F57="","",Progetti!B57)</f>
        <v/>
      </c>
      <c r="C59" s="29" t="str">
        <f>IF(Progetti!E57="","",Progetti!C57)</f>
        <v/>
      </c>
      <c r="D59" s="29" t="str">
        <f>IF(Progetti!F57="","",Progetti!D57)</f>
        <v/>
      </c>
      <c r="E59" s="29" t="str">
        <f>IF(Progetti!E57="","",Progetti!E57)</f>
        <v/>
      </c>
      <c r="F59" s="40" t="str">
        <f>IF(Progetti!K57="","",Progetti!K57)</f>
        <v/>
      </c>
      <c r="G59" s="40" t="str">
        <f>IF(Progetti!L57="","",Progetti!L57)</f>
        <v/>
      </c>
      <c r="H59" s="29" t="str">
        <f>IF(Progetti!E57="","",Progetti!N57)</f>
        <v/>
      </c>
      <c r="I59" s="29" t="str">
        <f>IF(Progetti!E57="","",Progetti!M57)</f>
        <v/>
      </c>
      <c r="J59" s="38" t="str">
        <f>IF(Progetti!E57="","",Progetti!I57)</f>
        <v/>
      </c>
      <c r="K59" s="39" t="str">
        <f>IF(OR(Progetti!E57="",Progetti!Q57=""),"",Progetti!Q57)</f>
        <v/>
      </c>
      <c r="L59" s="39" t="str">
        <f>IF(OR(Progetti!E57="",Progetti!R57=""),"",Progetti!R57)</f>
        <v/>
      </c>
      <c r="M59" s="14" t="str">
        <f>IF(OR(Progetti!E57="",Progetti!V57=""),"",Progetti!V57)</f>
        <v/>
      </c>
      <c r="N59" s="14" t="str">
        <f>IF(OR(Progetti!E57="",Progetti!W57=""),"",Progetti!W57)</f>
        <v/>
      </c>
      <c r="O59" s="14" t="str">
        <f>IF(OR(Progetti!E57="",Progetti!X57=""),"",Progetti!X57)</f>
        <v/>
      </c>
      <c r="P59" s="14" t="str">
        <f>IF(OR(Progetti!E57="",Progetti!Y57=""),"",Progetti!Y57)</f>
        <v/>
      </c>
      <c r="Q59" s="14" t="str">
        <f>IF(OR(Progetti!E57="",Progetti!Z57=""),"",Progetti!Z57)</f>
        <v/>
      </c>
      <c r="R59" s="14" t="str">
        <f>IF(OR(Progetti!E57="",Progetti!AA57=""),"",Progetti!AA57)</f>
        <v/>
      </c>
      <c r="S59" s="14" t="str">
        <f>IF(OR(Progetti!E57="",Progetti!AB57=""),"",Progetti!AB57)</f>
        <v/>
      </c>
      <c r="T59" s="14" t="str">
        <f>IF(OR(Progetti!E57="",Progetti!AC57=""),"",Progetti!AC57)</f>
        <v/>
      </c>
      <c r="U59" s="14" t="str">
        <f>IF(OR(Progetti!E57="",Progetti!AD57=""),"",Progetti!AD57)</f>
        <v/>
      </c>
      <c r="V59" s="14" t="str">
        <f>IF(OR(Progetti!E57="",Progetti!AE57=""),"",Progetti!AE57)</f>
        <v/>
      </c>
      <c r="W59" s="14" t="str">
        <f>IF(OR(Progetti!E57="",Progetti!AF57=""),"",Progetti!AF57)</f>
        <v/>
      </c>
      <c r="X59" s="14" t="str">
        <f>IF(OR(Progetti!E57="",Progetti!AG57=""),"",Progetti!AG57)</f>
        <v/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</row>
    <row r="60" spans="1:84" x14ac:dyDescent="0.35">
      <c r="A60" s="29" t="str">
        <f>IF(Progetti!E58="","",Progetti!A58)</f>
        <v/>
      </c>
      <c r="B60" s="29" t="str">
        <f>IF(Progetti!F58="","",Progetti!B58)</f>
        <v/>
      </c>
      <c r="C60" s="29" t="str">
        <f>IF(Progetti!E58="","",Progetti!C58)</f>
        <v/>
      </c>
      <c r="D60" s="29" t="str">
        <f>IF(Progetti!F58="","",Progetti!D58)</f>
        <v/>
      </c>
      <c r="E60" s="29" t="str">
        <f>IF(Progetti!E58="","",Progetti!E58)</f>
        <v/>
      </c>
      <c r="F60" s="40" t="str">
        <f>IF(Progetti!K58="","",Progetti!K58)</f>
        <v/>
      </c>
      <c r="G60" s="40" t="str">
        <f>IF(Progetti!L58="","",Progetti!L58)</f>
        <v/>
      </c>
      <c r="H60" s="29" t="str">
        <f>IF(Progetti!E58="","",Progetti!N58)</f>
        <v/>
      </c>
      <c r="I60" s="29" t="str">
        <f>IF(Progetti!E58="","",Progetti!M58)</f>
        <v/>
      </c>
      <c r="J60" s="38" t="str">
        <f>IF(Progetti!E58="","",Progetti!I58)</f>
        <v/>
      </c>
      <c r="K60" s="39" t="str">
        <f>IF(OR(Progetti!E58="",Progetti!Q58=""),"",Progetti!Q58)</f>
        <v/>
      </c>
      <c r="L60" s="39" t="str">
        <f>IF(OR(Progetti!E58="",Progetti!R58=""),"",Progetti!R58)</f>
        <v/>
      </c>
      <c r="M60" s="14" t="str">
        <f>IF(OR(Progetti!E58="",Progetti!V58=""),"",Progetti!V58)</f>
        <v/>
      </c>
      <c r="N60" s="14" t="str">
        <f>IF(OR(Progetti!E58="",Progetti!W58=""),"",Progetti!W58)</f>
        <v/>
      </c>
      <c r="O60" s="14" t="str">
        <f>IF(OR(Progetti!E58="",Progetti!X58=""),"",Progetti!X58)</f>
        <v/>
      </c>
      <c r="P60" s="14" t="str">
        <f>IF(OR(Progetti!E58="",Progetti!Y58=""),"",Progetti!Y58)</f>
        <v/>
      </c>
      <c r="Q60" s="14" t="str">
        <f>IF(OR(Progetti!E58="",Progetti!Z58=""),"",Progetti!Z58)</f>
        <v/>
      </c>
      <c r="R60" s="14" t="str">
        <f>IF(OR(Progetti!E58="",Progetti!AA58=""),"",Progetti!AA58)</f>
        <v/>
      </c>
      <c r="S60" s="14" t="str">
        <f>IF(OR(Progetti!E58="",Progetti!AB58=""),"",Progetti!AB58)</f>
        <v/>
      </c>
      <c r="T60" s="14" t="str">
        <f>IF(OR(Progetti!E58="",Progetti!AC58=""),"",Progetti!AC58)</f>
        <v/>
      </c>
      <c r="U60" s="14" t="str">
        <f>IF(OR(Progetti!E58="",Progetti!AD58=""),"",Progetti!AD58)</f>
        <v/>
      </c>
      <c r="V60" s="14" t="str">
        <f>IF(OR(Progetti!E58="",Progetti!AE58=""),"",Progetti!AE58)</f>
        <v/>
      </c>
      <c r="W60" s="14" t="str">
        <f>IF(OR(Progetti!E58="",Progetti!AF58=""),"",Progetti!AF58)</f>
        <v/>
      </c>
      <c r="X60" s="14" t="str">
        <f>IF(OR(Progetti!E58="",Progetti!AG58=""),"",Progetti!AG58)</f>
        <v/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</row>
    <row r="61" spans="1:84" x14ac:dyDescent="0.35">
      <c r="A61" s="29" t="str">
        <f>IF(Progetti!E59="","",Progetti!A59)</f>
        <v/>
      </c>
      <c r="B61" s="29" t="str">
        <f>IF(Progetti!F59="","",Progetti!B59)</f>
        <v/>
      </c>
      <c r="C61" s="29" t="str">
        <f>IF(Progetti!E59="","",Progetti!C59)</f>
        <v/>
      </c>
      <c r="D61" s="29" t="str">
        <f>IF(Progetti!F59="","",Progetti!D59)</f>
        <v/>
      </c>
      <c r="E61" s="29" t="str">
        <f>IF(Progetti!E59="","",Progetti!E59)</f>
        <v/>
      </c>
      <c r="F61" s="40" t="str">
        <f>IF(Progetti!K59="","",Progetti!K59)</f>
        <v/>
      </c>
      <c r="G61" s="40" t="str">
        <f>IF(Progetti!L59="","",Progetti!L59)</f>
        <v/>
      </c>
      <c r="H61" s="29" t="str">
        <f>IF(Progetti!E59="","",Progetti!N59)</f>
        <v/>
      </c>
      <c r="I61" s="29" t="str">
        <f>IF(Progetti!E59="","",Progetti!M59)</f>
        <v/>
      </c>
      <c r="J61" s="38" t="str">
        <f>IF(Progetti!E59="","",Progetti!I59)</f>
        <v/>
      </c>
      <c r="K61" s="39" t="str">
        <f>IF(OR(Progetti!E59="",Progetti!Q59=""),"",Progetti!Q59)</f>
        <v/>
      </c>
      <c r="L61" s="39" t="str">
        <f>IF(OR(Progetti!E59="",Progetti!R59=""),"",Progetti!R59)</f>
        <v/>
      </c>
      <c r="M61" s="14" t="str">
        <f>IF(OR(Progetti!E59="",Progetti!V59=""),"",Progetti!V59)</f>
        <v/>
      </c>
      <c r="N61" s="14" t="str">
        <f>IF(OR(Progetti!E59="",Progetti!W59=""),"",Progetti!W59)</f>
        <v/>
      </c>
      <c r="O61" s="14" t="str">
        <f>IF(OR(Progetti!E59="",Progetti!X59=""),"",Progetti!X59)</f>
        <v/>
      </c>
      <c r="P61" s="14" t="str">
        <f>IF(OR(Progetti!E59="",Progetti!Y59=""),"",Progetti!Y59)</f>
        <v/>
      </c>
      <c r="Q61" s="14" t="str">
        <f>IF(OR(Progetti!E59="",Progetti!Z59=""),"",Progetti!Z59)</f>
        <v/>
      </c>
      <c r="R61" s="14" t="str">
        <f>IF(OR(Progetti!E59="",Progetti!AA59=""),"",Progetti!AA59)</f>
        <v/>
      </c>
      <c r="S61" s="14" t="str">
        <f>IF(OR(Progetti!E59="",Progetti!AB59=""),"",Progetti!AB59)</f>
        <v/>
      </c>
      <c r="T61" s="14" t="str">
        <f>IF(OR(Progetti!E59="",Progetti!AC59=""),"",Progetti!AC59)</f>
        <v/>
      </c>
      <c r="U61" s="14" t="str">
        <f>IF(OR(Progetti!E59="",Progetti!AD59=""),"",Progetti!AD59)</f>
        <v/>
      </c>
      <c r="V61" s="14" t="str">
        <f>IF(OR(Progetti!E59="",Progetti!AE59=""),"",Progetti!AE59)</f>
        <v/>
      </c>
      <c r="W61" s="14" t="str">
        <f>IF(OR(Progetti!E59="",Progetti!AF59=""),"",Progetti!AF59)</f>
        <v/>
      </c>
      <c r="X61" s="14" t="str">
        <f>IF(OR(Progetti!E59="",Progetti!AG59=""),"",Progetti!AG59)</f>
        <v/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</row>
    <row r="62" spans="1:84" x14ac:dyDescent="0.35">
      <c r="A62" s="29" t="str">
        <f>IF(Progetti!E60="","",Progetti!A60)</f>
        <v/>
      </c>
      <c r="B62" s="29" t="str">
        <f>IF(Progetti!F60="","",Progetti!B60)</f>
        <v/>
      </c>
      <c r="C62" s="29" t="str">
        <f>IF(Progetti!E60="","",Progetti!C60)</f>
        <v/>
      </c>
      <c r="D62" s="29" t="str">
        <f>IF(Progetti!F60="","",Progetti!D60)</f>
        <v/>
      </c>
      <c r="E62" s="29" t="str">
        <f>IF(Progetti!E60="","",Progetti!E60)</f>
        <v/>
      </c>
      <c r="F62" s="40" t="str">
        <f>IF(Progetti!K60="","",Progetti!K60)</f>
        <v/>
      </c>
      <c r="G62" s="40" t="str">
        <f>IF(Progetti!L60="","",Progetti!L60)</f>
        <v/>
      </c>
      <c r="H62" s="29" t="str">
        <f>IF(Progetti!E60="","",Progetti!N60)</f>
        <v/>
      </c>
      <c r="I62" s="29" t="str">
        <f>IF(Progetti!E60="","",Progetti!M60)</f>
        <v/>
      </c>
      <c r="J62" s="38" t="str">
        <f>IF(Progetti!E60="","",Progetti!I60)</f>
        <v/>
      </c>
      <c r="K62" s="39" t="str">
        <f>IF(OR(Progetti!E60="",Progetti!Q60=""),"",Progetti!Q60)</f>
        <v/>
      </c>
      <c r="L62" s="39" t="str">
        <f>IF(OR(Progetti!E60="",Progetti!R60=""),"",Progetti!R60)</f>
        <v/>
      </c>
      <c r="M62" s="14" t="str">
        <f>IF(OR(Progetti!E60="",Progetti!V60=""),"",Progetti!V60)</f>
        <v/>
      </c>
      <c r="N62" s="14" t="str">
        <f>IF(OR(Progetti!E60="",Progetti!W60=""),"",Progetti!W60)</f>
        <v/>
      </c>
      <c r="O62" s="14" t="str">
        <f>IF(OR(Progetti!E60="",Progetti!X60=""),"",Progetti!X60)</f>
        <v/>
      </c>
      <c r="P62" s="14" t="str">
        <f>IF(OR(Progetti!E60="",Progetti!Y60=""),"",Progetti!Y60)</f>
        <v/>
      </c>
      <c r="Q62" s="14" t="str">
        <f>IF(OR(Progetti!E60="",Progetti!Z60=""),"",Progetti!Z60)</f>
        <v/>
      </c>
      <c r="R62" s="14" t="str">
        <f>IF(OR(Progetti!E60="",Progetti!AA60=""),"",Progetti!AA60)</f>
        <v/>
      </c>
      <c r="S62" s="14" t="str">
        <f>IF(OR(Progetti!E60="",Progetti!AB60=""),"",Progetti!AB60)</f>
        <v/>
      </c>
      <c r="T62" s="14" t="str">
        <f>IF(OR(Progetti!E60="",Progetti!AC60=""),"",Progetti!AC60)</f>
        <v/>
      </c>
      <c r="U62" s="14" t="str">
        <f>IF(OR(Progetti!E60="",Progetti!AD60=""),"",Progetti!AD60)</f>
        <v/>
      </c>
      <c r="V62" s="14" t="str">
        <f>IF(OR(Progetti!E60="",Progetti!AE60=""),"",Progetti!AE60)</f>
        <v/>
      </c>
      <c r="W62" s="14" t="str">
        <f>IF(OR(Progetti!E60="",Progetti!AF60=""),"",Progetti!AF60)</f>
        <v/>
      </c>
      <c r="X62" s="14" t="str">
        <f>IF(OR(Progetti!E60="",Progetti!AG60=""),"",Progetti!AG60)</f>
        <v/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</row>
    <row r="63" spans="1:84" x14ac:dyDescent="0.35">
      <c r="A63" s="29" t="str">
        <f>IF(Progetti!E61="","",Progetti!A61)</f>
        <v/>
      </c>
      <c r="B63" s="29" t="str">
        <f>IF(Progetti!F61="","",Progetti!B61)</f>
        <v/>
      </c>
      <c r="C63" s="29" t="str">
        <f>IF(Progetti!E61="","",Progetti!C61)</f>
        <v/>
      </c>
      <c r="D63" s="29" t="str">
        <f>IF(Progetti!F61="","",Progetti!D61)</f>
        <v/>
      </c>
      <c r="E63" s="29" t="str">
        <f>IF(Progetti!E61="","",Progetti!E61)</f>
        <v/>
      </c>
      <c r="F63" s="40" t="str">
        <f>IF(Progetti!K61="","",Progetti!K61)</f>
        <v/>
      </c>
      <c r="G63" s="40" t="str">
        <f>IF(Progetti!L61="","",Progetti!L61)</f>
        <v/>
      </c>
      <c r="H63" s="29" t="str">
        <f>IF(Progetti!E61="","",Progetti!N61)</f>
        <v/>
      </c>
      <c r="I63" s="29" t="str">
        <f>IF(Progetti!E61="","",Progetti!M61)</f>
        <v/>
      </c>
      <c r="J63" s="38" t="str">
        <f>IF(Progetti!E61="","",Progetti!I61)</f>
        <v/>
      </c>
      <c r="K63" s="39" t="str">
        <f>IF(OR(Progetti!E61="",Progetti!Q61=""),"",Progetti!Q61)</f>
        <v/>
      </c>
      <c r="L63" s="39" t="str">
        <f>IF(OR(Progetti!E61="",Progetti!R61=""),"",Progetti!R61)</f>
        <v/>
      </c>
      <c r="M63" s="14" t="str">
        <f>IF(OR(Progetti!E61="",Progetti!V61=""),"",Progetti!V61)</f>
        <v/>
      </c>
      <c r="N63" s="14" t="str">
        <f>IF(OR(Progetti!E61="",Progetti!W61=""),"",Progetti!W61)</f>
        <v/>
      </c>
      <c r="O63" s="14" t="str">
        <f>IF(OR(Progetti!E61="",Progetti!X61=""),"",Progetti!X61)</f>
        <v/>
      </c>
      <c r="P63" s="14" t="str">
        <f>IF(OR(Progetti!E61="",Progetti!Y61=""),"",Progetti!Y61)</f>
        <v/>
      </c>
      <c r="Q63" s="14" t="str">
        <f>IF(OR(Progetti!E61="",Progetti!Z61=""),"",Progetti!Z61)</f>
        <v/>
      </c>
      <c r="R63" s="14" t="str">
        <f>IF(OR(Progetti!E61="",Progetti!AA61=""),"",Progetti!AA61)</f>
        <v/>
      </c>
      <c r="S63" s="14" t="str">
        <f>IF(OR(Progetti!E61="",Progetti!AB61=""),"",Progetti!AB61)</f>
        <v/>
      </c>
      <c r="T63" s="14" t="str">
        <f>IF(OR(Progetti!E61="",Progetti!AC61=""),"",Progetti!AC61)</f>
        <v/>
      </c>
      <c r="U63" s="14" t="str">
        <f>IF(OR(Progetti!E61="",Progetti!AD61=""),"",Progetti!AD61)</f>
        <v/>
      </c>
      <c r="V63" s="14" t="str">
        <f>IF(OR(Progetti!E61="",Progetti!AE61=""),"",Progetti!AE61)</f>
        <v/>
      </c>
      <c r="W63" s="14" t="str">
        <f>IF(OR(Progetti!E61="",Progetti!AF61=""),"",Progetti!AF61)</f>
        <v/>
      </c>
      <c r="X63" s="14" t="str">
        <f>IF(OR(Progetti!E61="",Progetti!AG61=""),"",Progetti!AG61)</f>
        <v/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</row>
    <row r="64" spans="1:84" x14ac:dyDescent="0.35">
      <c r="A64" s="29" t="str">
        <f>IF(Progetti!E62="","",Progetti!A62)</f>
        <v/>
      </c>
      <c r="B64" s="29" t="str">
        <f>IF(Progetti!F62="","",Progetti!B62)</f>
        <v/>
      </c>
      <c r="C64" s="29" t="str">
        <f>IF(Progetti!E62="","",Progetti!C62)</f>
        <v/>
      </c>
      <c r="D64" s="29" t="str">
        <f>IF(Progetti!F62="","",Progetti!D62)</f>
        <v/>
      </c>
      <c r="E64" s="29" t="str">
        <f>IF(Progetti!E62="","",Progetti!E62)</f>
        <v/>
      </c>
      <c r="F64" s="40" t="str">
        <f>IF(Progetti!K62="","",Progetti!K62)</f>
        <v/>
      </c>
      <c r="G64" s="40" t="str">
        <f>IF(Progetti!L62="","",Progetti!L62)</f>
        <v/>
      </c>
      <c r="H64" s="29" t="str">
        <f>IF(Progetti!E62="","",Progetti!N62)</f>
        <v/>
      </c>
      <c r="I64" s="29" t="str">
        <f>IF(Progetti!E62="","",Progetti!M62)</f>
        <v/>
      </c>
      <c r="J64" s="38" t="str">
        <f>IF(Progetti!E62="","",Progetti!I62)</f>
        <v/>
      </c>
      <c r="K64" s="39" t="str">
        <f>IF(OR(Progetti!E62="",Progetti!Q62=""),"",Progetti!Q62)</f>
        <v/>
      </c>
      <c r="L64" s="39" t="str">
        <f>IF(OR(Progetti!E62="",Progetti!R62=""),"",Progetti!R62)</f>
        <v/>
      </c>
      <c r="M64" s="14" t="str">
        <f>IF(OR(Progetti!E62="",Progetti!V62=""),"",Progetti!V62)</f>
        <v/>
      </c>
      <c r="N64" s="14" t="str">
        <f>IF(OR(Progetti!E62="",Progetti!W62=""),"",Progetti!W62)</f>
        <v/>
      </c>
      <c r="O64" s="14" t="str">
        <f>IF(OR(Progetti!E62="",Progetti!X62=""),"",Progetti!X62)</f>
        <v/>
      </c>
      <c r="P64" s="14" t="str">
        <f>IF(OR(Progetti!E62="",Progetti!Y62=""),"",Progetti!Y62)</f>
        <v/>
      </c>
      <c r="Q64" s="14" t="str">
        <f>IF(OR(Progetti!E62="",Progetti!Z62=""),"",Progetti!Z62)</f>
        <v/>
      </c>
      <c r="R64" s="14" t="str">
        <f>IF(OR(Progetti!E62="",Progetti!AA62=""),"",Progetti!AA62)</f>
        <v/>
      </c>
      <c r="S64" s="14" t="str">
        <f>IF(OR(Progetti!E62="",Progetti!AB62=""),"",Progetti!AB62)</f>
        <v/>
      </c>
      <c r="T64" s="14" t="str">
        <f>IF(OR(Progetti!E62="",Progetti!AC62=""),"",Progetti!AC62)</f>
        <v/>
      </c>
      <c r="U64" s="14" t="str">
        <f>IF(OR(Progetti!E62="",Progetti!AD62=""),"",Progetti!AD62)</f>
        <v/>
      </c>
      <c r="V64" s="14" t="str">
        <f>IF(OR(Progetti!E62="",Progetti!AE62=""),"",Progetti!AE62)</f>
        <v/>
      </c>
      <c r="W64" s="14" t="str">
        <f>IF(OR(Progetti!E62="",Progetti!AF62=""),"",Progetti!AF62)</f>
        <v/>
      </c>
      <c r="X64" s="14" t="str">
        <f>IF(OR(Progetti!E62="",Progetti!AG62=""),"",Progetti!AG62)</f>
        <v/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</row>
    <row r="65" spans="1:84" x14ac:dyDescent="0.35">
      <c r="A65" s="29" t="str">
        <f>IF(Progetti!E63="","",Progetti!A63)</f>
        <v/>
      </c>
      <c r="B65" s="29" t="str">
        <f>IF(Progetti!F63="","",Progetti!B63)</f>
        <v/>
      </c>
      <c r="C65" s="29" t="str">
        <f>IF(Progetti!E63="","",Progetti!C63)</f>
        <v/>
      </c>
      <c r="D65" s="29" t="str">
        <f>IF(Progetti!F63="","",Progetti!D63)</f>
        <v/>
      </c>
      <c r="E65" s="29" t="str">
        <f>IF(Progetti!E63="","",Progetti!E63)</f>
        <v/>
      </c>
      <c r="F65" s="40" t="str">
        <f>IF(Progetti!K63="","",Progetti!K63)</f>
        <v/>
      </c>
      <c r="G65" s="40" t="str">
        <f>IF(Progetti!L63="","",Progetti!L63)</f>
        <v/>
      </c>
      <c r="H65" s="29" t="str">
        <f>IF(Progetti!E63="","",Progetti!N63)</f>
        <v/>
      </c>
      <c r="I65" s="29" t="str">
        <f>IF(Progetti!E63="","",Progetti!M63)</f>
        <v/>
      </c>
      <c r="J65" s="38" t="str">
        <f>IF(Progetti!E63="","",Progetti!I63)</f>
        <v/>
      </c>
      <c r="K65" s="39" t="str">
        <f>IF(OR(Progetti!E63="",Progetti!Q63=""),"",Progetti!Q63)</f>
        <v/>
      </c>
      <c r="L65" s="39" t="str">
        <f>IF(OR(Progetti!E63="",Progetti!R63=""),"",Progetti!R63)</f>
        <v/>
      </c>
      <c r="M65" s="14" t="str">
        <f>IF(OR(Progetti!E63="",Progetti!V63=""),"",Progetti!V63)</f>
        <v/>
      </c>
      <c r="N65" s="14" t="str">
        <f>IF(OR(Progetti!E63="",Progetti!W63=""),"",Progetti!W63)</f>
        <v/>
      </c>
      <c r="O65" s="14" t="str">
        <f>IF(OR(Progetti!E63="",Progetti!X63=""),"",Progetti!X63)</f>
        <v/>
      </c>
      <c r="P65" s="14" t="str">
        <f>IF(OR(Progetti!E63="",Progetti!Y63=""),"",Progetti!Y63)</f>
        <v/>
      </c>
      <c r="Q65" s="14" t="str">
        <f>IF(OR(Progetti!E63="",Progetti!Z63=""),"",Progetti!Z63)</f>
        <v/>
      </c>
      <c r="R65" s="14" t="str">
        <f>IF(OR(Progetti!E63="",Progetti!AA63=""),"",Progetti!AA63)</f>
        <v/>
      </c>
      <c r="S65" s="14" t="str">
        <f>IF(OR(Progetti!E63="",Progetti!AB63=""),"",Progetti!AB63)</f>
        <v/>
      </c>
      <c r="T65" s="14" t="str">
        <f>IF(OR(Progetti!E63="",Progetti!AC63=""),"",Progetti!AC63)</f>
        <v/>
      </c>
      <c r="U65" s="14" t="str">
        <f>IF(OR(Progetti!E63="",Progetti!AD63=""),"",Progetti!AD63)</f>
        <v/>
      </c>
      <c r="V65" s="14" t="str">
        <f>IF(OR(Progetti!E63="",Progetti!AE63=""),"",Progetti!AE63)</f>
        <v/>
      </c>
      <c r="W65" s="14" t="str">
        <f>IF(OR(Progetti!E63="",Progetti!AF63=""),"",Progetti!AF63)</f>
        <v/>
      </c>
      <c r="X65" s="14" t="str">
        <f>IF(OR(Progetti!E63="",Progetti!AG63=""),"",Progetti!AG63)</f>
        <v/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</row>
    <row r="66" spans="1:84" x14ac:dyDescent="0.35">
      <c r="A66" s="29" t="str">
        <f>IF(Progetti!E64="","",Progetti!A64)</f>
        <v/>
      </c>
      <c r="B66" s="29" t="str">
        <f>IF(Progetti!F64="","",Progetti!B64)</f>
        <v/>
      </c>
      <c r="C66" s="29" t="str">
        <f>IF(Progetti!E64="","",Progetti!C64)</f>
        <v/>
      </c>
      <c r="D66" s="29" t="str">
        <f>IF(Progetti!F64="","",Progetti!D64)</f>
        <v/>
      </c>
      <c r="E66" s="29" t="str">
        <f>IF(Progetti!E64="","",Progetti!E64)</f>
        <v/>
      </c>
      <c r="F66" s="40" t="str">
        <f>IF(Progetti!K64="","",Progetti!K64)</f>
        <v/>
      </c>
      <c r="G66" s="40" t="str">
        <f>IF(Progetti!L64="","",Progetti!L64)</f>
        <v/>
      </c>
      <c r="H66" s="29" t="str">
        <f>IF(Progetti!E64="","",Progetti!N64)</f>
        <v/>
      </c>
      <c r="I66" s="29" t="str">
        <f>IF(Progetti!E64="","",Progetti!M64)</f>
        <v/>
      </c>
      <c r="J66" s="38" t="str">
        <f>IF(Progetti!E64="","",Progetti!I64)</f>
        <v/>
      </c>
      <c r="K66" s="39" t="str">
        <f>IF(OR(Progetti!E64="",Progetti!Q64=""),"",Progetti!Q64)</f>
        <v/>
      </c>
      <c r="L66" s="39" t="str">
        <f>IF(OR(Progetti!E64="",Progetti!R64=""),"",Progetti!R64)</f>
        <v/>
      </c>
      <c r="M66" s="14" t="str">
        <f>IF(OR(Progetti!E64="",Progetti!V64=""),"",Progetti!V64)</f>
        <v/>
      </c>
      <c r="N66" s="14" t="str">
        <f>IF(OR(Progetti!E64="",Progetti!W64=""),"",Progetti!W64)</f>
        <v/>
      </c>
      <c r="O66" s="14" t="str">
        <f>IF(OR(Progetti!E64="",Progetti!X64=""),"",Progetti!X64)</f>
        <v/>
      </c>
      <c r="P66" s="14" t="str">
        <f>IF(OR(Progetti!E64="",Progetti!Y64=""),"",Progetti!Y64)</f>
        <v/>
      </c>
      <c r="Q66" s="14" t="str">
        <f>IF(OR(Progetti!E64="",Progetti!Z64=""),"",Progetti!Z64)</f>
        <v/>
      </c>
      <c r="R66" s="14" t="str">
        <f>IF(OR(Progetti!E64="",Progetti!AA64=""),"",Progetti!AA64)</f>
        <v/>
      </c>
      <c r="S66" s="14" t="str">
        <f>IF(OR(Progetti!E64="",Progetti!AB64=""),"",Progetti!AB64)</f>
        <v/>
      </c>
      <c r="T66" s="14" t="str">
        <f>IF(OR(Progetti!E64="",Progetti!AC64=""),"",Progetti!AC64)</f>
        <v/>
      </c>
      <c r="U66" s="14" t="str">
        <f>IF(OR(Progetti!E64="",Progetti!AD64=""),"",Progetti!AD64)</f>
        <v/>
      </c>
      <c r="V66" s="14" t="str">
        <f>IF(OR(Progetti!E64="",Progetti!AE64=""),"",Progetti!AE64)</f>
        <v/>
      </c>
      <c r="W66" s="14" t="str">
        <f>IF(OR(Progetti!E64="",Progetti!AF64=""),"",Progetti!AF64)</f>
        <v/>
      </c>
      <c r="X66" s="14" t="str">
        <f>IF(OR(Progetti!E64="",Progetti!AG64=""),"",Progetti!AG64)</f>
        <v/>
      </c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</row>
    <row r="67" spans="1:84" x14ac:dyDescent="0.35">
      <c r="A67" s="29" t="str">
        <f>IF(Progetti!E65="","",Progetti!A65)</f>
        <v/>
      </c>
      <c r="B67" s="29" t="str">
        <f>IF(Progetti!F65="","",Progetti!B65)</f>
        <v/>
      </c>
      <c r="C67" s="29" t="str">
        <f>IF(Progetti!E65="","",Progetti!C65)</f>
        <v/>
      </c>
      <c r="D67" s="29" t="str">
        <f>IF(Progetti!F65="","",Progetti!D65)</f>
        <v/>
      </c>
      <c r="E67" s="29" t="str">
        <f>IF(Progetti!E65="","",Progetti!E65)</f>
        <v/>
      </c>
      <c r="F67" s="40" t="str">
        <f>IF(Progetti!K65="","",Progetti!K65)</f>
        <v/>
      </c>
      <c r="G67" s="40" t="str">
        <f>IF(Progetti!L65="","",Progetti!L65)</f>
        <v/>
      </c>
      <c r="H67" s="29" t="str">
        <f>IF(Progetti!E65="","",Progetti!N65)</f>
        <v/>
      </c>
      <c r="I67" s="29" t="str">
        <f>IF(Progetti!E65="","",Progetti!M65)</f>
        <v/>
      </c>
      <c r="J67" s="38" t="str">
        <f>IF(Progetti!E65="","",Progetti!I65)</f>
        <v/>
      </c>
      <c r="K67" s="39" t="str">
        <f>IF(OR(Progetti!E65="",Progetti!Q65=""),"",Progetti!Q65)</f>
        <v/>
      </c>
      <c r="L67" s="39" t="str">
        <f>IF(OR(Progetti!E65="",Progetti!R65=""),"",Progetti!R65)</f>
        <v/>
      </c>
      <c r="M67" s="14" t="str">
        <f>IF(OR(Progetti!E65="",Progetti!V65=""),"",Progetti!V65)</f>
        <v/>
      </c>
      <c r="N67" s="14" t="str">
        <f>IF(OR(Progetti!E65="",Progetti!W65=""),"",Progetti!W65)</f>
        <v/>
      </c>
      <c r="O67" s="14" t="str">
        <f>IF(OR(Progetti!E65="",Progetti!X65=""),"",Progetti!X65)</f>
        <v/>
      </c>
      <c r="P67" s="14" t="str">
        <f>IF(OR(Progetti!E65="",Progetti!Y65=""),"",Progetti!Y65)</f>
        <v/>
      </c>
      <c r="Q67" s="14" t="str">
        <f>IF(OR(Progetti!E65="",Progetti!Z65=""),"",Progetti!Z65)</f>
        <v/>
      </c>
      <c r="R67" s="14" t="str">
        <f>IF(OR(Progetti!E65="",Progetti!AA65=""),"",Progetti!AA65)</f>
        <v/>
      </c>
      <c r="S67" s="14" t="str">
        <f>IF(OR(Progetti!E65="",Progetti!AB65=""),"",Progetti!AB65)</f>
        <v/>
      </c>
      <c r="T67" s="14" t="str">
        <f>IF(OR(Progetti!E65="",Progetti!AC65=""),"",Progetti!AC65)</f>
        <v/>
      </c>
      <c r="U67" s="14" t="str">
        <f>IF(OR(Progetti!E65="",Progetti!AD65=""),"",Progetti!AD65)</f>
        <v/>
      </c>
      <c r="V67" s="14" t="str">
        <f>IF(OR(Progetti!E65="",Progetti!AE65=""),"",Progetti!AE65)</f>
        <v/>
      </c>
      <c r="W67" s="14" t="str">
        <f>IF(OR(Progetti!E65="",Progetti!AF65=""),"",Progetti!AF65)</f>
        <v/>
      </c>
      <c r="X67" s="14" t="str">
        <f>IF(OR(Progetti!E65="",Progetti!AG65=""),"",Progetti!AG65)</f>
        <v/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</row>
    <row r="68" spans="1:84" x14ac:dyDescent="0.35">
      <c r="A68" s="29" t="str">
        <f>IF(Progetti!E66="","",Progetti!A66)</f>
        <v/>
      </c>
      <c r="B68" s="29" t="str">
        <f>IF(Progetti!F66="","",Progetti!B66)</f>
        <v/>
      </c>
      <c r="C68" s="29" t="str">
        <f>IF(Progetti!E66="","",Progetti!C66)</f>
        <v/>
      </c>
      <c r="D68" s="29" t="str">
        <f>IF(Progetti!F66="","",Progetti!D66)</f>
        <v/>
      </c>
      <c r="E68" s="29" t="str">
        <f>IF(Progetti!E66="","",Progetti!E66)</f>
        <v/>
      </c>
      <c r="F68" s="40" t="str">
        <f>IF(Progetti!K66="","",Progetti!K66)</f>
        <v/>
      </c>
      <c r="G68" s="40" t="str">
        <f>IF(Progetti!L66="","",Progetti!L66)</f>
        <v/>
      </c>
      <c r="H68" s="29" t="str">
        <f>IF(Progetti!E66="","",Progetti!N66)</f>
        <v/>
      </c>
      <c r="I68" s="29" t="str">
        <f>IF(Progetti!E66="","",Progetti!M66)</f>
        <v/>
      </c>
      <c r="J68" s="38" t="str">
        <f>IF(Progetti!E66="","",Progetti!I66)</f>
        <v/>
      </c>
      <c r="K68" s="39" t="str">
        <f>IF(OR(Progetti!E66="",Progetti!Q66=""),"",Progetti!Q66)</f>
        <v/>
      </c>
      <c r="L68" s="39" t="str">
        <f>IF(OR(Progetti!E66="",Progetti!R66=""),"",Progetti!R66)</f>
        <v/>
      </c>
      <c r="M68" s="14" t="str">
        <f>IF(OR(Progetti!E66="",Progetti!V66=""),"",Progetti!V66)</f>
        <v/>
      </c>
      <c r="N68" s="14" t="str">
        <f>IF(OR(Progetti!E66="",Progetti!W66=""),"",Progetti!W66)</f>
        <v/>
      </c>
      <c r="O68" s="14" t="str">
        <f>IF(OR(Progetti!E66="",Progetti!X66=""),"",Progetti!X66)</f>
        <v/>
      </c>
      <c r="P68" s="14" t="str">
        <f>IF(OR(Progetti!E66="",Progetti!Y66=""),"",Progetti!Y66)</f>
        <v/>
      </c>
      <c r="Q68" s="14" t="str">
        <f>IF(OR(Progetti!E66="",Progetti!Z66=""),"",Progetti!Z66)</f>
        <v/>
      </c>
      <c r="R68" s="14" t="str">
        <f>IF(OR(Progetti!E66="",Progetti!AA66=""),"",Progetti!AA66)</f>
        <v/>
      </c>
      <c r="S68" s="14" t="str">
        <f>IF(OR(Progetti!E66="",Progetti!AB66=""),"",Progetti!AB66)</f>
        <v/>
      </c>
      <c r="T68" s="14" t="str">
        <f>IF(OR(Progetti!E66="",Progetti!AC66=""),"",Progetti!AC66)</f>
        <v/>
      </c>
      <c r="U68" s="14" t="str">
        <f>IF(OR(Progetti!E66="",Progetti!AD66=""),"",Progetti!AD66)</f>
        <v/>
      </c>
      <c r="V68" s="14" t="str">
        <f>IF(OR(Progetti!E66="",Progetti!AE66=""),"",Progetti!AE66)</f>
        <v/>
      </c>
      <c r="W68" s="14" t="str">
        <f>IF(OR(Progetti!E66="",Progetti!AF66=""),"",Progetti!AF66)</f>
        <v/>
      </c>
      <c r="X68" s="14" t="str">
        <f>IF(OR(Progetti!E66="",Progetti!AG66=""),"",Progetti!AG66)</f>
        <v/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</row>
    <row r="69" spans="1:84" x14ac:dyDescent="0.35">
      <c r="A69" s="29" t="str">
        <f>IF(Progetti!E67="","",Progetti!A67)</f>
        <v/>
      </c>
      <c r="B69" s="29" t="str">
        <f>IF(Progetti!F67="","",Progetti!B67)</f>
        <v/>
      </c>
      <c r="C69" s="29" t="str">
        <f>IF(Progetti!E67="","",Progetti!C67)</f>
        <v/>
      </c>
      <c r="D69" s="29" t="str">
        <f>IF(Progetti!F67="","",Progetti!D67)</f>
        <v/>
      </c>
      <c r="E69" s="29" t="str">
        <f>IF(Progetti!E67="","",Progetti!E67)</f>
        <v/>
      </c>
      <c r="F69" s="40" t="str">
        <f>IF(Progetti!K67="","",Progetti!K67)</f>
        <v/>
      </c>
      <c r="G69" s="40" t="str">
        <f>IF(Progetti!L67="","",Progetti!L67)</f>
        <v/>
      </c>
      <c r="H69" s="29" t="str">
        <f>IF(Progetti!E67="","",Progetti!N67)</f>
        <v/>
      </c>
      <c r="I69" s="29" t="str">
        <f>IF(Progetti!E67="","",Progetti!M67)</f>
        <v/>
      </c>
      <c r="J69" s="38" t="str">
        <f>IF(Progetti!E67="","",Progetti!I67)</f>
        <v/>
      </c>
      <c r="K69" s="39" t="str">
        <f>IF(OR(Progetti!E67="",Progetti!Q67=""),"",Progetti!Q67)</f>
        <v/>
      </c>
      <c r="L69" s="39" t="str">
        <f>IF(OR(Progetti!E67="",Progetti!R67=""),"",Progetti!R67)</f>
        <v/>
      </c>
      <c r="M69" s="14" t="str">
        <f>IF(OR(Progetti!E67="",Progetti!V67=""),"",Progetti!V67)</f>
        <v/>
      </c>
      <c r="N69" s="14" t="str">
        <f>IF(OR(Progetti!E67="",Progetti!W67=""),"",Progetti!W67)</f>
        <v/>
      </c>
      <c r="O69" s="14" t="str">
        <f>IF(OR(Progetti!E67="",Progetti!X67=""),"",Progetti!X67)</f>
        <v/>
      </c>
      <c r="P69" s="14" t="str">
        <f>IF(OR(Progetti!E67="",Progetti!Y67=""),"",Progetti!Y67)</f>
        <v/>
      </c>
      <c r="Q69" s="14" t="str">
        <f>IF(OR(Progetti!E67="",Progetti!Z67=""),"",Progetti!Z67)</f>
        <v/>
      </c>
      <c r="R69" s="14" t="str">
        <f>IF(OR(Progetti!E67="",Progetti!AA67=""),"",Progetti!AA67)</f>
        <v/>
      </c>
      <c r="S69" s="14" t="str">
        <f>IF(OR(Progetti!E67="",Progetti!AB67=""),"",Progetti!AB67)</f>
        <v/>
      </c>
      <c r="T69" s="14" t="str">
        <f>IF(OR(Progetti!E67="",Progetti!AC67=""),"",Progetti!AC67)</f>
        <v/>
      </c>
      <c r="U69" s="14" t="str">
        <f>IF(OR(Progetti!E67="",Progetti!AD67=""),"",Progetti!AD67)</f>
        <v/>
      </c>
      <c r="V69" s="14" t="str">
        <f>IF(OR(Progetti!E67="",Progetti!AE67=""),"",Progetti!AE67)</f>
        <v/>
      </c>
      <c r="W69" s="14" t="str">
        <f>IF(OR(Progetti!E67="",Progetti!AF67=""),"",Progetti!AF67)</f>
        <v/>
      </c>
      <c r="X69" s="14" t="str">
        <f>IF(OR(Progetti!E67="",Progetti!AG67=""),"",Progetti!AG67)</f>
        <v/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</row>
    <row r="70" spans="1:84" x14ac:dyDescent="0.35">
      <c r="A70" s="29" t="str">
        <f>IF(Progetti!E68="","",Progetti!A68)</f>
        <v/>
      </c>
      <c r="B70" s="29" t="str">
        <f>IF(Progetti!F68="","",Progetti!B68)</f>
        <v/>
      </c>
      <c r="C70" s="29" t="str">
        <f>IF(Progetti!E68="","",Progetti!C68)</f>
        <v/>
      </c>
      <c r="D70" s="29" t="str">
        <f>IF(Progetti!F68="","",Progetti!D68)</f>
        <v/>
      </c>
      <c r="E70" s="29" t="str">
        <f>IF(Progetti!E68="","",Progetti!E68)</f>
        <v/>
      </c>
      <c r="F70" s="40" t="str">
        <f>IF(Progetti!K68="","",Progetti!K68)</f>
        <v/>
      </c>
      <c r="G70" s="40" t="str">
        <f>IF(Progetti!L68="","",Progetti!L68)</f>
        <v/>
      </c>
      <c r="H70" s="29" t="str">
        <f>IF(Progetti!E68="","",Progetti!N68)</f>
        <v/>
      </c>
      <c r="I70" s="29" t="str">
        <f>IF(Progetti!E68="","",Progetti!M68)</f>
        <v/>
      </c>
      <c r="J70" s="38" t="str">
        <f>IF(Progetti!E68="","",Progetti!I68)</f>
        <v/>
      </c>
      <c r="K70" s="39" t="str">
        <f>IF(OR(Progetti!E68="",Progetti!Q68=""),"",Progetti!Q68)</f>
        <v/>
      </c>
      <c r="L70" s="39" t="str">
        <f>IF(OR(Progetti!E68="",Progetti!R68=""),"",Progetti!R68)</f>
        <v/>
      </c>
      <c r="M70" s="14" t="str">
        <f>IF(OR(Progetti!E68="",Progetti!V68=""),"",Progetti!V68)</f>
        <v/>
      </c>
      <c r="N70" s="14" t="str">
        <f>IF(OR(Progetti!E68="",Progetti!W68=""),"",Progetti!W68)</f>
        <v/>
      </c>
      <c r="O70" s="14" t="str">
        <f>IF(OR(Progetti!E68="",Progetti!X68=""),"",Progetti!X68)</f>
        <v/>
      </c>
      <c r="P70" s="14" t="str">
        <f>IF(OR(Progetti!E68="",Progetti!Y68=""),"",Progetti!Y68)</f>
        <v/>
      </c>
      <c r="Q70" s="14" t="str">
        <f>IF(OR(Progetti!E68="",Progetti!Z68=""),"",Progetti!Z68)</f>
        <v/>
      </c>
      <c r="R70" s="14" t="str">
        <f>IF(OR(Progetti!E68="",Progetti!AA68=""),"",Progetti!AA68)</f>
        <v/>
      </c>
      <c r="S70" s="14" t="str">
        <f>IF(OR(Progetti!E68="",Progetti!AB68=""),"",Progetti!AB68)</f>
        <v/>
      </c>
      <c r="T70" s="14" t="str">
        <f>IF(OR(Progetti!E68="",Progetti!AC68=""),"",Progetti!AC68)</f>
        <v/>
      </c>
      <c r="U70" s="14" t="str">
        <f>IF(OR(Progetti!E68="",Progetti!AD68=""),"",Progetti!AD68)</f>
        <v/>
      </c>
      <c r="V70" s="14" t="str">
        <f>IF(OR(Progetti!E68="",Progetti!AE68=""),"",Progetti!AE68)</f>
        <v/>
      </c>
      <c r="W70" s="14" t="str">
        <f>IF(OR(Progetti!E68="",Progetti!AF68=""),"",Progetti!AF68)</f>
        <v/>
      </c>
      <c r="X70" s="14" t="str">
        <f>IF(OR(Progetti!E68="",Progetti!AG68=""),"",Progetti!AG68)</f>
        <v/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</row>
    <row r="71" spans="1:84" x14ac:dyDescent="0.35">
      <c r="A71" s="29" t="str">
        <f>IF(Progetti!E69="","",Progetti!A69)</f>
        <v/>
      </c>
      <c r="B71" s="29" t="str">
        <f>IF(Progetti!F69="","",Progetti!B69)</f>
        <v/>
      </c>
      <c r="C71" s="29" t="str">
        <f>IF(Progetti!E69="","",Progetti!C69)</f>
        <v/>
      </c>
      <c r="D71" s="29" t="str">
        <f>IF(Progetti!F69="","",Progetti!D69)</f>
        <v/>
      </c>
      <c r="E71" s="29" t="str">
        <f>IF(Progetti!E69="","",Progetti!E69)</f>
        <v/>
      </c>
      <c r="F71" s="40" t="str">
        <f>IF(Progetti!K69="","",Progetti!K69)</f>
        <v/>
      </c>
      <c r="G71" s="40" t="str">
        <f>IF(Progetti!L69="","",Progetti!L69)</f>
        <v/>
      </c>
      <c r="H71" s="29" t="str">
        <f>IF(Progetti!E69="","",Progetti!N69)</f>
        <v/>
      </c>
      <c r="I71" s="29" t="str">
        <f>IF(Progetti!E69="","",Progetti!M69)</f>
        <v/>
      </c>
      <c r="J71" s="38" t="str">
        <f>IF(Progetti!E69="","",Progetti!I69)</f>
        <v/>
      </c>
      <c r="K71" s="39" t="str">
        <f>IF(OR(Progetti!E69="",Progetti!Q69=""),"",Progetti!Q69)</f>
        <v/>
      </c>
      <c r="L71" s="39" t="str">
        <f>IF(OR(Progetti!E69="",Progetti!R69=""),"",Progetti!R69)</f>
        <v/>
      </c>
      <c r="M71" s="14" t="str">
        <f>IF(OR(Progetti!E69="",Progetti!V69=""),"",Progetti!V69)</f>
        <v/>
      </c>
      <c r="N71" s="14" t="str">
        <f>IF(OR(Progetti!E69="",Progetti!W69=""),"",Progetti!W69)</f>
        <v/>
      </c>
      <c r="O71" s="14" t="str">
        <f>IF(OR(Progetti!E69="",Progetti!X69=""),"",Progetti!X69)</f>
        <v/>
      </c>
      <c r="P71" s="14" t="str">
        <f>IF(OR(Progetti!E69="",Progetti!Y69=""),"",Progetti!Y69)</f>
        <v/>
      </c>
      <c r="Q71" s="14" t="str">
        <f>IF(OR(Progetti!E69="",Progetti!Z69=""),"",Progetti!Z69)</f>
        <v/>
      </c>
      <c r="R71" s="14" t="str">
        <f>IF(OR(Progetti!E69="",Progetti!AA69=""),"",Progetti!AA69)</f>
        <v/>
      </c>
      <c r="S71" s="14" t="str">
        <f>IF(OR(Progetti!E69="",Progetti!AB69=""),"",Progetti!AB69)</f>
        <v/>
      </c>
      <c r="T71" s="14" t="str">
        <f>IF(OR(Progetti!E69="",Progetti!AC69=""),"",Progetti!AC69)</f>
        <v/>
      </c>
      <c r="U71" s="14" t="str">
        <f>IF(OR(Progetti!E69="",Progetti!AD69=""),"",Progetti!AD69)</f>
        <v/>
      </c>
      <c r="V71" s="14" t="str">
        <f>IF(OR(Progetti!E69="",Progetti!AE69=""),"",Progetti!AE69)</f>
        <v/>
      </c>
      <c r="W71" s="14" t="str">
        <f>IF(OR(Progetti!E69="",Progetti!AF69=""),"",Progetti!AF69)</f>
        <v/>
      </c>
      <c r="X71" s="14" t="str">
        <f>IF(OR(Progetti!E69="",Progetti!AG69=""),"",Progetti!AG69)</f>
        <v/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</row>
    <row r="72" spans="1:84" x14ac:dyDescent="0.35">
      <c r="A72" s="29" t="str">
        <f>IF(Progetti!E70="","",Progetti!A70)</f>
        <v/>
      </c>
      <c r="B72" s="29" t="str">
        <f>IF(Progetti!F70="","",Progetti!B70)</f>
        <v/>
      </c>
      <c r="C72" s="29" t="str">
        <f>IF(Progetti!E70="","",Progetti!C70)</f>
        <v/>
      </c>
      <c r="D72" s="29" t="str">
        <f>IF(Progetti!F70="","",Progetti!D70)</f>
        <v/>
      </c>
      <c r="E72" s="29" t="str">
        <f>IF(Progetti!E70="","",Progetti!E70)</f>
        <v/>
      </c>
      <c r="F72" s="40" t="str">
        <f>IF(Progetti!K70="","",Progetti!K70)</f>
        <v/>
      </c>
      <c r="G72" s="40" t="str">
        <f>IF(Progetti!L70="","",Progetti!L70)</f>
        <v/>
      </c>
      <c r="H72" s="29" t="str">
        <f>IF(Progetti!E70="","",Progetti!N70)</f>
        <v/>
      </c>
      <c r="I72" s="29" t="str">
        <f>IF(Progetti!E70="","",Progetti!M70)</f>
        <v/>
      </c>
      <c r="J72" s="38" t="str">
        <f>IF(Progetti!E70="","",Progetti!I70)</f>
        <v/>
      </c>
      <c r="K72" s="39" t="str">
        <f>IF(OR(Progetti!E70="",Progetti!Q70=""),"",Progetti!Q70)</f>
        <v/>
      </c>
      <c r="L72" s="39" t="str">
        <f>IF(OR(Progetti!E70="",Progetti!R70=""),"",Progetti!R70)</f>
        <v/>
      </c>
      <c r="M72" s="14" t="str">
        <f>IF(OR(Progetti!E70="",Progetti!V70=""),"",Progetti!V70)</f>
        <v/>
      </c>
      <c r="N72" s="14" t="str">
        <f>IF(OR(Progetti!E70="",Progetti!W70=""),"",Progetti!W70)</f>
        <v/>
      </c>
      <c r="O72" s="14" t="str">
        <f>IF(OR(Progetti!E70="",Progetti!X70=""),"",Progetti!X70)</f>
        <v/>
      </c>
      <c r="P72" s="14" t="str">
        <f>IF(OR(Progetti!E70="",Progetti!Y70=""),"",Progetti!Y70)</f>
        <v/>
      </c>
      <c r="Q72" s="14" t="str">
        <f>IF(OR(Progetti!E70="",Progetti!Z70=""),"",Progetti!Z70)</f>
        <v/>
      </c>
      <c r="R72" s="14" t="str">
        <f>IF(OR(Progetti!E70="",Progetti!AA70=""),"",Progetti!AA70)</f>
        <v/>
      </c>
      <c r="S72" s="14" t="str">
        <f>IF(OR(Progetti!E70="",Progetti!AB70=""),"",Progetti!AB70)</f>
        <v/>
      </c>
      <c r="T72" s="14" t="str">
        <f>IF(OR(Progetti!E70="",Progetti!AC70=""),"",Progetti!AC70)</f>
        <v/>
      </c>
      <c r="U72" s="14" t="str">
        <f>IF(OR(Progetti!E70="",Progetti!AD70=""),"",Progetti!AD70)</f>
        <v/>
      </c>
      <c r="V72" s="14" t="str">
        <f>IF(OR(Progetti!E70="",Progetti!AE70=""),"",Progetti!AE70)</f>
        <v/>
      </c>
      <c r="W72" s="14" t="str">
        <f>IF(OR(Progetti!E70="",Progetti!AF70=""),"",Progetti!AF70)</f>
        <v/>
      </c>
      <c r="X72" s="14" t="str">
        <f>IF(OR(Progetti!E70="",Progetti!AG70=""),"",Progetti!AG70)</f>
        <v/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</row>
    <row r="73" spans="1:84" x14ac:dyDescent="0.35">
      <c r="A73" s="29" t="str">
        <f>IF(Progetti!E71="","",Progetti!A71)</f>
        <v/>
      </c>
      <c r="B73" s="29" t="str">
        <f>IF(Progetti!F71="","",Progetti!B71)</f>
        <v/>
      </c>
      <c r="C73" s="29" t="str">
        <f>IF(Progetti!E71="","",Progetti!C71)</f>
        <v/>
      </c>
      <c r="D73" s="29" t="str">
        <f>IF(Progetti!F71="","",Progetti!D71)</f>
        <v/>
      </c>
      <c r="E73" s="29" t="str">
        <f>IF(Progetti!E71="","",Progetti!E71)</f>
        <v/>
      </c>
      <c r="F73" s="40" t="str">
        <f>IF(Progetti!K71="","",Progetti!K71)</f>
        <v/>
      </c>
      <c r="G73" s="40" t="str">
        <f>IF(Progetti!L71="","",Progetti!L71)</f>
        <v/>
      </c>
      <c r="H73" s="29" t="str">
        <f>IF(Progetti!E71="","",Progetti!N71)</f>
        <v/>
      </c>
      <c r="I73" s="29" t="str">
        <f>IF(Progetti!E71="","",Progetti!M71)</f>
        <v/>
      </c>
      <c r="J73" s="38" t="str">
        <f>IF(Progetti!E71="","",Progetti!I71)</f>
        <v/>
      </c>
      <c r="K73" s="39" t="str">
        <f>IF(OR(Progetti!E71="",Progetti!Q71=""),"",Progetti!Q71)</f>
        <v/>
      </c>
      <c r="L73" s="39" t="str">
        <f>IF(OR(Progetti!E71="",Progetti!R71=""),"",Progetti!R71)</f>
        <v/>
      </c>
      <c r="M73" s="14" t="str">
        <f>IF(OR(Progetti!E71="",Progetti!V71=""),"",Progetti!V71)</f>
        <v/>
      </c>
      <c r="N73" s="14" t="str">
        <f>IF(OR(Progetti!E71="",Progetti!W71=""),"",Progetti!W71)</f>
        <v/>
      </c>
      <c r="O73" s="14" t="str">
        <f>IF(OR(Progetti!E71="",Progetti!X71=""),"",Progetti!X71)</f>
        <v/>
      </c>
      <c r="P73" s="14" t="str">
        <f>IF(OR(Progetti!E71="",Progetti!Y71=""),"",Progetti!Y71)</f>
        <v/>
      </c>
      <c r="Q73" s="14" t="str">
        <f>IF(OR(Progetti!E71="",Progetti!Z71=""),"",Progetti!Z71)</f>
        <v/>
      </c>
      <c r="R73" s="14" t="str">
        <f>IF(OR(Progetti!E71="",Progetti!AA71=""),"",Progetti!AA71)</f>
        <v/>
      </c>
      <c r="S73" s="14" t="str">
        <f>IF(OR(Progetti!E71="",Progetti!AB71=""),"",Progetti!AB71)</f>
        <v/>
      </c>
      <c r="T73" s="14" t="str">
        <f>IF(OR(Progetti!E71="",Progetti!AC71=""),"",Progetti!AC71)</f>
        <v/>
      </c>
      <c r="U73" s="14" t="str">
        <f>IF(OR(Progetti!E71="",Progetti!AD71=""),"",Progetti!AD71)</f>
        <v/>
      </c>
      <c r="V73" s="14" t="str">
        <f>IF(OR(Progetti!E71="",Progetti!AE71=""),"",Progetti!AE71)</f>
        <v/>
      </c>
      <c r="W73" s="14" t="str">
        <f>IF(OR(Progetti!E71="",Progetti!AF71=""),"",Progetti!AF71)</f>
        <v/>
      </c>
      <c r="X73" s="14" t="str">
        <f>IF(OR(Progetti!E71="",Progetti!AG71=""),"",Progetti!AG71)</f>
        <v/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</row>
    <row r="74" spans="1:84" x14ac:dyDescent="0.35">
      <c r="A74" s="29" t="str">
        <f>IF(Progetti!E72="","",Progetti!A72)</f>
        <v/>
      </c>
      <c r="B74" s="29" t="str">
        <f>IF(Progetti!F72="","",Progetti!B72)</f>
        <v/>
      </c>
      <c r="C74" s="29" t="str">
        <f>IF(Progetti!E72="","",Progetti!C72)</f>
        <v/>
      </c>
      <c r="D74" s="29" t="str">
        <f>IF(Progetti!F72="","",Progetti!D72)</f>
        <v/>
      </c>
      <c r="E74" s="29" t="str">
        <f>IF(Progetti!E72="","",Progetti!E72)</f>
        <v/>
      </c>
      <c r="F74" s="40" t="str">
        <f>IF(Progetti!K72="","",Progetti!K72)</f>
        <v/>
      </c>
      <c r="G74" s="40" t="str">
        <f>IF(Progetti!L72="","",Progetti!L72)</f>
        <v/>
      </c>
      <c r="H74" s="29" t="str">
        <f>IF(Progetti!E72="","",Progetti!N72)</f>
        <v/>
      </c>
      <c r="I74" s="29" t="str">
        <f>IF(Progetti!E72="","",Progetti!M72)</f>
        <v/>
      </c>
      <c r="J74" s="38" t="str">
        <f>IF(Progetti!E72="","",Progetti!I72)</f>
        <v/>
      </c>
      <c r="K74" s="39" t="str">
        <f>IF(OR(Progetti!E72="",Progetti!Q72=""),"",Progetti!Q72)</f>
        <v/>
      </c>
      <c r="L74" s="39" t="str">
        <f>IF(OR(Progetti!E72="",Progetti!R72=""),"",Progetti!R72)</f>
        <v/>
      </c>
      <c r="M74" s="14" t="str">
        <f>IF(OR(Progetti!E72="",Progetti!V72=""),"",Progetti!V72)</f>
        <v/>
      </c>
      <c r="N74" s="14" t="str">
        <f>IF(OR(Progetti!E72="",Progetti!W72=""),"",Progetti!W72)</f>
        <v/>
      </c>
      <c r="O74" s="14" t="str">
        <f>IF(OR(Progetti!E72="",Progetti!X72=""),"",Progetti!X72)</f>
        <v/>
      </c>
      <c r="P74" s="14" t="str">
        <f>IF(OR(Progetti!E72="",Progetti!Y72=""),"",Progetti!Y72)</f>
        <v/>
      </c>
      <c r="Q74" s="14" t="str">
        <f>IF(OR(Progetti!E72="",Progetti!Z72=""),"",Progetti!Z72)</f>
        <v/>
      </c>
      <c r="R74" s="14" t="str">
        <f>IF(OR(Progetti!E72="",Progetti!AA72=""),"",Progetti!AA72)</f>
        <v/>
      </c>
      <c r="S74" s="14" t="str">
        <f>IF(OR(Progetti!E72="",Progetti!AB72=""),"",Progetti!AB72)</f>
        <v/>
      </c>
      <c r="T74" s="14" t="str">
        <f>IF(OR(Progetti!E72="",Progetti!AC72=""),"",Progetti!AC72)</f>
        <v/>
      </c>
      <c r="U74" s="14" t="str">
        <f>IF(OR(Progetti!E72="",Progetti!AD72=""),"",Progetti!AD72)</f>
        <v/>
      </c>
      <c r="V74" s="14" t="str">
        <f>IF(OR(Progetti!E72="",Progetti!AE72=""),"",Progetti!AE72)</f>
        <v/>
      </c>
      <c r="W74" s="14" t="str">
        <f>IF(OR(Progetti!E72="",Progetti!AF72=""),"",Progetti!AF72)</f>
        <v/>
      </c>
      <c r="X74" s="14" t="str">
        <f>IF(OR(Progetti!E72="",Progetti!AG72=""),"",Progetti!AG72)</f>
        <v/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</row>
    <row r="75" spans="1:84" x14ac:dyDescent="0.35">
      <c r="A75" s="29" t="str">
        <f>IF(Progetti!E73="","",Progetti!A73)</f>
        <v/>
      </c>
      <c r="B75" s="29" t="str">
        <f>IF(Progetti!F73="","",Progetti!B73)</f>
        <v/>
      </c>
      <c r="C75" s="29" t="str">
        <f>IF(Progetti!E73="","",Progetti!C73)</f>
        <v/>
      </c>
      <c r="D75" s="29" t="str">
        <f>IF(Progetti!F73="","",Progetti!D73)</f>
        <v/>
      </c>
      <c r="E75" s="29" t="str">
        <f>IF(Progetti!E73="","",Progetti!E73)</f>
        <v/>
      </c>
      <c r="F75" s="40" t="str">
        <f>IF(Progetti!K73="","",Progetti!K73)</f>
        <v/>
      </c>
      <c r="G75" s="40" t="str">
        <f>IF(Progetti!L73="","",Progetti!L73)</f>
        <v/>
      </c>
      <c r="H75" s="29" t="str">
        <f>IF(Progetti!E73="","",Progetti!N73)</f>
        <v/>
      </c>
      <c r="I75" s="29" t="str">
        <f>IF(Progetti!E73="","",Progetti!M73)</f>
        <v/>
      </c>
      <c r="J75" s="38" t="str">
        <f>IF(Progetti!E73="","",Progetti!I73)</f>
        <v/>
      </c>
      <c r="K75" s="39" t="str">
        <f>IF(OR(Progetti!E73="",Progetti!Q73=""),"",Progetti!Q73)</f>
        <v/>
      </c>
      <c r="L75" s="39" t="str">
        <f>IF(OR(Progetti!E73="",Progetti!R73=""),"",Progetti!R73)</f>
        <v/>
      </c>
      <c r="M75" s="14" t="str">
        <f>IF(OR(Progetti!E73="",Progetti!V73=""),"",Progetti!V73)</f>
        <v/>
      </c>
      <c r="N75" s="14" t="str">
        <f>IF(OR(Progetti!E73="",Progetti!W73=""),"",Progetti!W73)</f>
        <v/>
      </c>
      <c r="O75" s="14" t="str">
        <f>IF(OR(Progetti!E73="",Progetti!X73=""),"",Progetti!X73)</f>
        <v/>
      </c>
      <c r="P75" s="14" t="str">
        <f>IF(OR(Progetti!E73="",Progetti!Y73=""),"",Progetti!Y73)</f>
        <v/>
      </c>
      <c r="Q75" s="14" t="str">
        <f>IF(OR(Progetti!E73="",Progetti!Z73=""),"",Progetti!Z73)</f>
        <v/>
      </c>
      <c r="R75" s="14" t="str">
        <f>IF(OR(Progetti!E73="",Progetti!AA73=""),"",Progetti!AA73)</f>
        <v/>
      </c>
      <c r="S75" s="14" t="str">
        <f>IF(OR(Progetti!E73="",Progetti!AB73=""),"",Progetti!AB73)</f>
        <v/>
      </c>
      <c r="T75" s="14" t="str">
        <f>IF(OR(Progetti!E73="",Progetti!AC73=""),"",Progetti!AC73)</f>
        <v/>
      </c>
      <c r="U75" s="14" t="str">
        <f>IF(OR(Progetti!E73="",Progetti!AD73=""),"",Progetti!AD73)</f>
        <v/>
      </c>
      <c r="V75" s="14" t="str">
        <f>IF(OR(Progetti!E73="",Progetti!AE73=""),"",Progetti!AE73)</f>
        <v/>
      </c>
      <c r="W75" s="14" t="str">
        <f>IF(OR(Progetti!E73="",Progetti!AF73=""),"",Progetti!AF73)</f>
        <v/>
      </c>
      <c r="X75" s="14" t="str">
        <f>IF(OR(Progetti!E73="",Progetti!AG73=""),"",Progetti!AG73)</f>
        <v/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</row>
    <row r="76" spans="1:84" x14ac:dyDescent="0.35">
      <c r="A76" s="29" t="str">
        <f>IF(Progetti!E74="","",Progetti!A74)</f>
        <v/>
      </c>
      <c r="B76" s="29" t="str">
        <f>IF(Progetti!F74="","",Progetti!B74)</f>
        <v/>
      </c>
      <c r="C76" s="29" t="str">
        <f>IF(Progetti!E74="","",Progetti!C74)</f>
        <v/>
      </c>
      <c r="D76" s="29" t="str">
        <f>IF(Progetti!F74="","",Progetti!D74)</f>
        <v/>
      </c>
      <c r="E76" s="29" t="str">
        <f>IF(Progetti!E74="","",Progetti!E74)</f>
        <v/>
      </c>
      <c r="F76" s="40" t="str">
        <f>IF(Progetti!K74="","",Progetti!K74)</f>
        <v/>
      </c>
      <c r="G76" s="40" t="str">
        <f>IF(Progetti!L74="","",Progetti!L74)</f>
        <v/>
      </c>
      <c r="H76" s="29" t="str">
        <f>IF(Progetti!E74="","",Progetti!N74)</f>
        <v/>
      </c>
      <c r="I76" s="29" t="str">
        <f>IF(Progetti!E74="","",Progetti!M74)</f>
        <v/>
      </c>
      <c r="J76" s="38" t="str">
        <f>IF(Progetti!E74="","",Progetti!I74)</f>
        <v/>
      </c>
      <c r="K76" s="39" t="str">
        <f>IF(OR(Progetti!E74="",Progetti!Q74=""),"",Progetti!Q74)</f>
        <v/>
      </c>
      <c r="L76" s="39" t="str">
        <f>IF(OR(Progetti!E74="",Progetti!R74=""),"",Progetti!R74)</f>
        <v/>
      </c>
      <c r="M76" s="14" t="str">
        <f>IF(OR(Progetti!E74="",Progetti!V74=""),"",Progetti!V74)</f>
        <v/>
      </c>
      <c r="N76" s="14" t="str">
        <f>IF(OR(Progetti!E74="",Progetti!W74=""),"",Progetti!W74)</f>
        <v/>
      </c>
      <c r="O76" s="14" t="str">
        <f>IF(OR(Progetti!E74="",Progetti!X74=""),"",Progetti!X74)</f>
        <v/>
      </c>
      <c r="P76" s="14" t="str">
        <f>IF(OR(Progetti!E74="",Progetti!Y74=""),"",Progetti!Y74)</f>
        <v/>
      </c>
      <c r="Q76" s="14" t="str">
        <f>IF(OR(Progetti!E74="",Progetti!Z74=""),"",Progetti!Z74)</f>
        <v/>
      </c>
      <c r="R76" s="14" t="str">
        <f>IF(OR(Progetti!E74="",Progetti!AA74=""),"",Progetti!AA74)</f>
        <v/>
      </c>
      <c r="S76" s="14" t="str">
        <f>IF(OR(Progetti!E74="",Progetti!AB74=""),"",Progetti!AB74)</f>
        <v/>
      </c>
      <c r="T76" s="14" t="str">
        <f>IF(OR(Progetti!E74="",Progetti!AC74=""),"",Progetti!AC74)</f>
        <v/>
      </c>
      <c r="U76" s="14" t="str">
        <f>IF(OR(Progetti!E74="",Progetti!AD74=""),"",Progetti!AD74)</f>
        <v/>
      </c>
      <c r="V76" s="14" t="str">
        <f>IF(OR(Progetti!E74="",Progetti!AE74=""),"",Progetti!AE74)</f>
        <v/>
      </c>
      <c r="W76" s="14" t="str">
        <f>IF(OR(Progetti!E74="",Progetti!AF74=""),"",Progetti!AF74)</f>
        <v/>
      </c>
      <c r="X76" s="14" t="str">
        <f>IF(OR(Progetti!E74="",Progetti!AG74=""),"",Progetti!AG74)</f>
        <v/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</row>
    <row r="77" spans="1:84" x14ac:dyDescent="0.35">
      <c r="A77" s="29" t="str">
        <f>IF(Progetti!E75="","",Progetti!A75)</f>
        <v/>
      </c>
      <c r="B77" s="29" t="str">
        <f>IF(Progetti!F75="","",Progetti!B75)</f>
        <v/>
      </c>
      <c r="C77" s="29" t="str">
        <f>IF(Progetti!E75="","",Progetti!C75)</f>
        <v/>
      </c>
      <c r="D77" s="29" t="str">
        <f>IF(Progetti!F75="","",Progetti!D75)</f>
        <v/>
      </c>
      <c r="E77" s="29" t="str">
        <f>IF(Progetti!E75="","",Progetti!E75)</f>
        <v/>
      </c>
      <c r="F77" s="40" t="str">
        <f>IF(Progetti!K75="","",Progetti!K75)</f>
        <v/>
      </c>
      <c r="G77" s="40" t="str">
        <f>IF(Progetti!L75="","",Progetti!L75)</f>
        <v/>
      </c>
      <c r="H77" s="29" t="str">
        <f>IF(Progetti!E75="","",Progetti!N75)</f>
        <v/>
      </c>
      <c r="I77" s="29" t="str">
        <f>IF(Progetti!E75="","",Progetti!M75)</f>
        <v/>
      </c>
      <c r="J77" s="38" t="str">
        <f>IF(Progetti!E75="","",Progetti!I75)</f>
        <v/>
      </c>
      <c r="K77" s="39" t="str">
        <f>IF(OR(Progetti!E75="",Progetti!Q75=""),"",Progetti!Q75)</f>
        <v/>
      </c>
      <c r="L77" s="39" t="str">
        <f>IF(OR(Progetti!E75="",Progetti!R75=""),"",Progetti!R75)</f>
        <v/>
      </c>
      <c r="M77" s="14" t="str">
        <f>IF(OR(Progetti!E75="",Progetti!V75=""),"",Progetti!V75)</f>
        <v/>
      </c>
      <c r="N77" s="14" t="str">
        <f>IF(OR(Progetti!E75="",Progetti!W75=""),"",Progetti!W75)</f>
        <v/>
      </c>
      <c r="O77" s="14" t="str">
        <f>IF(OR(Progetti!E75="",Progetti!X75=""),"",Progetti!X75)</f>
        <v/>
      </c>
      <c r="P77" s="14" t="str">
        <f>IF(OR(Progetti!E75="",Progetti!Y75=""),"",Progetti!Y75)</f>
        <v/>
      </c>
      <c r="Q77" s="14" t="str">
        <f>IF(OR(Progetti!E75="",Progetti!Z75=""),"",Progetti!Z75)</f>
        <v/>
      </c>
      <c r="R77" s="14" t="str">
        <f>IF(OR(Progetti!E75="",Progetti!AA75=""),"",Progetti!AA75)</f>
        <v/>
      </c>
      <c r="S77" s="14" t="str">
        <f>IF(OR(Progetti!E75="",Progetti!AB75=""),"",Progetti!AB75)</f>
        <v/>
      </c>
      <c r="T77" s="14" t="str">
        <f>IF(OR(Progetti!E75="",Progetti!AC75=""),"",Progetti!AC75)</f>
        <v/>
      </c>
      <c r="U77" s="14" t="str">
        <f>IF(OR(Progetti!E75="",Progetti!AD75=""),"",Progetti!AD75)</f>
        <v/>
      </c>
      <c r="V77" s="14" t="str">
        <f>IF(OR(Progetti!E75="",Progetti!AE75=""),"",Progetti!AE75)</f>
        <v/>
      </c>
      <c r="W77" s="14" t="str">
        <f>IF(OR(Progetti!E75="",Progetti!AF75=""),"",Progetti!AF75)</f>
        <v/>
      </c>
      <c r="X77" s="14" t="str">
        <f>IF(OR(Progetti!E75="",Progetti!AG75=""),"",Progetti!AG75)</f>
        <v/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</row>
    <row r="78" spans="1:84" x14ac:dyDescent="0.35">
      <c r="A78" s="29" t="str">
        <f>IF(Progetti!E76="","",Progetti!A76)</f>
        <v/>
      </c>
      <c r="B78" s="29" t="str">
        <f>IF(Progetti!F76="","",Progetti!B76)</f>
        <v/>
      </c>
      <c r="C78" s="29" t="str">
        <f>IF(Progetti!E76="","",Progetti!C76)</f>
        <v/>
      </c>
      <c r="D78" s="29" t="str">
        <f>IF(Progetti!F76="","",Progetti!D76)</f>
        <v/>
      </c>
      <c r="E78" s="29" t="str">
        <f>IF(Progetti!E76="","",Progetti!E76)</f>
        <v/>
      </c>
      <c r="F78" s="40" t="str">
        <f>IF(Progetti!K76="","",Progetti!K76)</f>
        <v/>
      </c>
      <c r="G78" s="40" t="str">
        <f>IF(Progetti!L76="","",Progetti!L76)</f>
        <v/>
      </c>
      <c r="H78" s="29" t="str">
        <f>IF(Progetti!E76="","",Progetti!N76)</f>
        <v/>
      </c>
      <c r="I78" s="29" t="str">
        <f>IF(Progetti!E76="","",Progetti!M76)</f>
        <v/>
      </c>
      <c r="J78" s="38" t="str">
        <f>IF(Progetti!E76="","",Progetti!I76)</f>
        <v/>
      </c>
      <c r="K78" s="39" t="str">
        <f>IF(OR(Progetti!E76="",Progetti!Q76=""),"",Progetti!Q76)</f>
        <v/>
      </c>
      <c r="L78" s="39" t="str">
        <f>IF(OR(Progetti!E76="",Progetti!R76=""),"",Progetti!R76)</f>
        <v/>
      </c>
      <c r="M78" s="14" t="str">
        <f>IF(OR(Progetti!E76="",Progetti!V76=""),"",Progetti!V76)</f>
        <v/>
      </c>
      <c r="N78" s="14" t="str">
        <f>IF(OR(Progetti!E76="",Progetti!W76=""),"",Progetti!W76)</f>
        <v/>
      </c>
      <c r="O78" s="14" t="str">
        <f>IF(OR(Progetti!E76="",Progetti!X76=""),"",Progetti!X76)</f>
        <v/>
      </c>
      <c r="P78" s="14" t="str">
        <f>IF(OR(Progetti!E76="",Progetti!Y76=""),"",Progetti!Y76)</f>
        <v/>
      </c>
      <c r="Q78" s="14" t="str">
        <f>IF(OR(Progetti!E76="",Progetti!Z76=""),"",Progetti!Z76)</f>
        <v/>
      </c>
      <c r="R78" s="14" t="str">
        <f>IF(OR(Progetti!E76="",Progetti!AA76=""),"",Progetti!AA76)</f>
        <v/>
      </c>
      <c r="S78" s="14" t="str">
        <f>IF(OR(Progetti!E76="",Progetti!AB76=""),"",Progetti!AB76)</f>
        <v/>
      </c>
      <c r="T78" s="14" t="str">
        <f>IF(OR(Progetti!E76="",Progetti!AC76=""),"",Progetti!AC76)</f>
        <v/>
      </c>
      <c r="U78" s="14" t="str">
        <f>IF(OR(Progetti!E76="",Progetti!AD76=""),"",Progetti!AD76)</f>
        <v/>
      </c>
      <c r="V78" s="14" t="str">
        <f>IF(OR(Progetti!E76="",Progetti!AE76=""),"",Progetti!AE76)</f>
        <v/>
      </c>
      <c r="W78" s="14" t="str">
        <f>IF(OR(Progetti!E76="",Progetti!AF76=""),"",Progetti!AF76)</f>
        <v/>
      </c>
      <c r="X78" s="14" t="str">
        <f>IF(OR(Progetti!E76="",Progetti!AG76=""),"",Progetti!AG76)</f>
        <v/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</row>
    <row r="79" spans="1:84" x14ac:dyDescent="0.35">
      <c r="A79" s="29" t="str">
        <f>IF(Progetti!E77="","",Progetti!A77)</f>
        <v/>
      </c>
      <c r="B79" s="29" t="str">
        <f>IF(Progetti!F77="","",Progetti!B77)</f>
        <v/>
      </c>
      <c r="C79" s="29" t="str">
        <f>IF(Progetti!E77="","",Progetti!C77)</f>
        <v/>
      </c>
      <c r="D79" s="29" t="str">
        <f>IF(Progetti!F77="","",Progetti!D77)</f>
        <v/>
      </c>
      <c r="E79" s="29" t="str">
        <f>IF(Progetti!E77="","",Progetti!E77)</f>
        <v/>
      </c>
      <c r="F79" s="40" t="str">
        <f>IF(Progetti!K77="","",Progetti!K77)</f>
        <v/>
      </c>
      <c r="G79" s="40" t="str">
        <f>IF(Progetti!L77="","",Progetti!L77)</f>
        <v/>
      </c>
      <c r="H79" s="29" t="str">
        <f>IF(Progetti!E77="","",Progetti!N77)</f>
        <v/>
      </c>
      <c r="I79" s="29" t="str">
        <f>IF(Progetti!E77="","",Progetti!M77)</f>
        <v/>
      </c>
      <c r="J79" s="38" t="str">
        <f>IF(Progetti!E77="","",Progetti!I77)</f>
        <v/>
      </c>
      <c r="K79" s="39" t="str">
        <f>IF(OR(Progetti!E77="",Progetti!Q77=""),"",Progetti!Q77)</f>
        <v/>
      </c>
      <c r="L79" s="39" t="str">
        <f>IF(OR(Progetti!E77="",Progetti!R77=""),"",Progetti!R77)</f>
        <v/>
      </c>
      <c r="M79" s="14" t="str">
        <f>IF(OR(Progetti!E77="",Progetti!V77=""),"",Progetti!V77)</f>
        <v/>
      </c>
      <c r="N79" s="14" t="str">
        <f>IF(OR(Progetti!E77="",Progetti!W77=""),"",Progetti!W77)</f>
        <v/>
      </c>
      <c r="O79" s="14" t="str">
        <f>IF(OR(Progetti!E77="",Progetti!X77=""),"",Progetti!X77)</f>
        <v/>
      </c>
      <c r="P79" s="14" t="str">
        <f>IF(OR(Progetti!E77="",Progetti!Y77=""),"",Progetti!Y77)</f>
        <v/>
      </c>
      <c r="Q79" s="14" t="str">
        <f>IF(OR(Progetti!E77="",Progetti!Z77=""),"",Progetti!Z77)</f>
        <v/>
      </c>
      <c r="R79" s="14" t="str">
        <f>IF(OR(Progetti!E77="",Progetti!AA77=""),"",Progetti!AA77)</f>
        <v/>
      </c>
      <c r="S79" s="14" t="str">
        <f>IF(OR(Progetti!E77="",Progetti!AB77=""),"",Progetti!AB77)</f>
        <v/>
      </c>
      <c r="T79" s="14" t="str">
        <f>IF(OR(Progetti!E77="",Progetti!AC77=""),"",Progetti!AC77)</f>
        <v/>
      </c>
      <c r="U79" s="14" t="str">
        <f>IF(OR(Progetti!E77="",Progetti!AD77=""),"",Progetti!AD77)</f>
        <v/>
      </c>
      <c r="V79" s="14" t="str">
        <f>IF(OR(Progetti!E77="",Progetti!AE77=""),"",Progetti!AE77)</f>
        <v/>
      </c>
      <c r="W79" s="14" t="str">
        <f>IF(OR(Progetti!E77="",Progetti!AF77=""),"",Progetti!AF77)</f>
        <v/>
      </c>
      <c r="X79" s="14" t="str">
        <f>IF(OR(Progetti!E77="",Progetti!AG77=""),"",Progetti!AG77)</f>
        <v/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</row>
    <row r="80" spans="1:84" x14ac:dyDescent="0.35">
      <c r="A80" s="29" t="str">
        <f>IF(Progetti!E78="","",Progetti!A78)</f>
        <v/>
      </c>
      <c r="B80" s="29" t="str">
        <f>IF(Progetti!F78="","",Progetti!B78)</f>
        <v/>
      </c>
      <c r="C80" s="29" t="str">
        <f>IF(Progetti!E78="","",Progetti!C78)</f>
        <v/>
      </c>
      <c r="D80" s="29" t="str">
        <f>IF(Progetti!F78="","",Progetti!D78)</f>
        <v/>
      </c>
      <c r="E80" s="29" t="str">
        <f>IF(Progetti!E78="","",Progetti!E78)</f>
        <v/>
      </c>
      <c r="F80" s="40" t="str">
        <f>IF(Progetti!K78="","",Progetti!K78)</f>
        <v/>
      </c>
      <c r="G80" s="40" t="str">
        <f>IF(Progetti!L78="","",Progetti!L78)</f>
        <v/>
      </c>
      <c r="H80" s="29" t="str">
        <f>IF(Progetti!E78="","",Progetti!N78)</f>
        <v/>
      </c>
      <c r="I80" s="29" t="str">
        <f>IF(Progetti!E78="","",Progetti!M78)</f>
        <v/>
      </c>
      <c r="J80" s="38" t="str">
        <f>IF(Progetti!E78="","",Progetti!I78)</f>
        <v/>
      </c>
      <c r="K80" s="39" t="str">
        <f>IF(OR(Progetti!E78="",Progetti!Q78=""),"",Progetti!Q78)</f>
        <v/>
      </c>
      <c r="L80" s="39" t="str">
        <f>IF(OR(Progetti!E78="",Progetti!R78=""),"",Progetti!R78)</f>
        <v/>
      </c>
      <c r="M80" s="14" t="str">
        <f>IF(OR(Progetti!E78="",Progetti!V78=""),"",Progetti!V78)</f>
        <v/>
      </c>
      <c r="N80" s="14" t="str">
        <f>IF(OR(Progetti!E78="",Progetti!W78=""),"",Progetti!W78)</f>
        <v/>
      </c>
      <c r="O80" s="14" t="str">
        <f>IF(OR(Progetti!E78="",Progetti!X78=""),"",Progetti!X78)</f>
        <v/>
      </c>
      <c r="P80" s="14" t="str">
        <f>IF(OR(Progetti!E78="",Progetti!Y78=""),"",Progetti!Y78)</f>
        <v/>
      </c>
      <c r="Q80" s="14" t="str">
        <f>IF(OR(Progetti!E78="",Progetti!Z78=""),"",Progetti!Z78)</f>
        <v/>
      </c>
      <c r="R80" s="14" t="str">
        <f>IF(OR(Progetti!E78="",Progetti!AA78=""),"",Progetti!AA78)</f>
        <v/>
      </c>
      <c r="S80" s="14" t="str">
        <f>IF(OR(Progetti!E78="",Progetti!AB78=""),"",Progetti!AB78)</f>
        <v/>
      </c>
      <c r="T80" s="14" t="str">
        <f>IF(OR(Progetti!E78="",Progetti!AC78=""),"",Progetti!AC78)</f>
        <v/>
      </c>
      <c r="U80" s="14" t="str">
        <f>IF(OR(Progetti!E78="",Progetti!AD78=""),"",Progetti!AD78)</f>
        <v/>
      </c>
      <c r="V80" s="14" t="str">
        <f>IF(OR(Progetti!E78="",Progetti!AE78=""),"",Progetti!AE78)</f>
        <v/>
      </c>
      <c r="W80" s="14" t="str">
        <f>IF(OR(Progetti!E78="",Progetti!AF78=""),"",Progetti!AF78)</f>
        <v/>
      </c>
      <c r="X80" s="14" t="str">
        <f>IF(OR(Progetti!E78="",Progetti!AG78=""),"",Progetti!AG78)</f>
        <v/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</row>
    <row r="81" spans="1:84" x14ac:dyDescent="0.35">
      <c r="A81" s="29" t="str">
        <f>IF(Progetti!E79="","",Progetti!A79)</f>
        <v/>
      </c>
      <c r="B81" s="29" t="str">
        <f>IF(Progetti!F79="","",Progetti!B79)</f>
        <v/>
      </c>
      <c r="C81" s="29" t="str">
        <f>IF(Progetti!E79="","",Progetti!C79)</f>
        <v/>
      </c>
      <c r="D81" s="29" t="str">
        <f>IF(Progetti!F79="","",Progetti!D79)</f>
        <v/>
      </c>
      <c r="E81" s="29" t="str">
        <f>IF(Progetti!E79="","",Progetti!E79)</f>
        <v/>
      </c>
      <c r="F81" s="40" t="str">
        <f>IF(Progetti!K79="","",Progetti!K79)</f>
        <v/>
      </c>
      <c r="G81" s="40" t="str">
        <f>IF(Progetti!L79="","",Progetti!L79)</f>
        <v/>
      </c>
      <c r="H81" s="29" t="str">
        <f>IF(Progetti!E79="","",Progetti!N79)</f>
        <v/>
      </c>
      <c r="I81" s="29" t="str">
        <f>IF(Progetti!E79="","",Progetti!M79)</f>
        <v/>
      </c>
      <c r="J81" s="38" t="str">
        <f>IF(Progetti!E79="","",Progetti!I79)</f>
        <v/>
      </c>
      <c r="K81" s="39" t="str">
        <f>IF(OR(Progetti!E79="",Progetti!Q79=""),"",Progetti!Q79)</f>
        <v/>
      </c>
      <c r="L81" s="39" t="str">
        <f>IF(OR(Progetti!E79="",Progetti!R79=""),"",Progetti!R79)</f>
        <v/>
      </c>
      <c r="M81" s="14" t="str">
        <f>IF(OR(Progetti!E79="",Progetti!V79=""),"",Progetti!V79)</f>
        <v/>
      </c>
      <c r="N81" s="14" t="str">
        <f>IF(OR(Progetti!E79="",Progetti!W79=""),"",Progetti!W79)</f>
        <v/>
      </c>
      <c r="O81" s="14" t="str">
        <f>IF(OR(Progetti!E79="",Progetti!X79=""),"",Progetti!X79)</f>
        <v/>
      </c>
      <c r="P81" s="14" t="str">
        <f>IF(OR(Progetti!E79="",Progetti!Y79=""),"",Progetti!Y79)</f>
        <v/>
      </c>
      <c r="Q81" s="14" t="str">
        <f>IF(OR(Progetti!E79="",Progetti!Z79=""),"",Progetti!Z79)</f>
        <v/>
      </c>
      <c r="R81" s="14" t="str">
        <f>IF(OR(Progetti!E79="",Progetti!AA79=""),"",Progetti!AA79)</f>
        <v/>
      </c>
      <c r="S81" s="14" t="str">
        <f>IF(OR(Progetti!E79="",Progetti!AB79=""),"",Progetti!AB79)</f>
        <v/>
      </c>
      <c r="T81" s="14" t="str">
        <f>IF(OR(Progetti!E79="",Progetti!AC79=""),"",Progetti!AC79)</f>
        <v/>
      </c>
      <c r="U81" s="14" t="str">
        <f>IF(OR(Progetti!E79="",Progetti!AD79=""),"",Progetti!AD79)</f>
        <v/>
      </c>
      <c r="V81" s="14" t="str">
        <f>IF(OR(Progetti!E79="",Progetti!AE79=""),"",Progetti!AE79)</f>
        <v/>
      </c>
      <c r="W81" s="14" t="str">
        <f>IF(OR(Progetti!E79="",Progetti!AF79=""),"",Progetti!AF79)</f>
        <v/>
      </c>
      <c r="X81" s="14" t="str">
        <f>IF(OR(Progetti!E79="",Progetti!AG79=""),"",Progetti!AG79)</f>
        <v/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</row>
    <row r="82" spans="1:84" x14ac:dyDescent="0.35">
      <c r="A82" s="29" t="str">
        <f>IF(Progetti!E80="","",Progetti!A80)</f>
        <v/>
      </c>
      <c r="B82" s="29" t="str">
        <f>IF(Progetti!F80="","",Progetti!B80)</f>
        <v/>
      </c>
      <c r="C82" s="29" t="str">
        <f>IF(Progetti!E80="","",Progetti!C80)</f>
        <v/>
      </c>
      <c r="D82" s="29" t="str">
        <f>IF(Progetti!F80="","",Progetti!D80)</f>
        <v/>
      </c>
      <c r="E82" s="29" t="str">
        <f>IF(Progetti!E80="","",Progetti!E80)</f>
        <v/>
      </c>
      <c r="F82" s="40" t="str">
        <f>IF(Progetti!K80="","",Progetti!K80)</f>
        <v/>
      </c>
      <c r="G82" s="40" t="str">
        <f>IF(Progetti!L80="","",Progetti!L80)</f>
        <v/>
      </c>
      <c r="H82" s="29" t="str">
        <f>IF(Progetti!E80="","",Progetti!N80)</f>
        <v/>
      </c>
      <c r="I82" s="29" t="str">
        <f>IF(Progetti!E80="","",Progetti!M80)</f>
        <v/>
      </c>
      <c r="J82" s="38" t="str">
        <f>IF(Progetti!E80="","",Progetti!I80)</f>
        <v/>
      </c>
      <c r="K82" s="39" t="str">
        <f>IF(OR(Progetti!E80="",Progetti!Q80=""),"",Progetti!Q80)</f>
        <v/>
      </c>
      <c r="L82" s="39" t="str">
        <f>IF(OR(Progetti!E80="",Progetti!R80=""),"",Progetti!R80)</f>
        <v/>
      </c>
      <c r="M82" s="14" t="str">
        <f>IF(OR(Progetti!E80="",Progetti!V80=""),"",Progetti!V80)</f>
        <v/>
      </c>
      <c r="N82" s="14" t="str">
        <f>IF(OR(Progetti!E80="",Progetti!W80=""),"",Progetti!W80)</f>
        <v/>
      </c>
      <c r="O82" s="14" t="str">
        <f>IF(OR(Progetti!E80="",Progetti!X80=""),"",Progetti!X80)</f>
        <v/>
      </c>
      <c r="P82" s="14" t="str">
        <f>IF(OR(Progetti!E80="",Progetti!Y80=""),"",Progetti!Y80)</f>
        <v/>
      </c>
      <c r="Q82" s="14" t="str">
        <f>IF(OR(Progetti!E80="",Progetti!Z80=""),"",Progetti!Z80)</f>
        <v/>
      </c>
      <c r="R82" s="14" t="str">
        <f>IF(OR(Progetti!E80="",Progetti!AA80=""),"",Progetti!AA80)</f>
        <v/>
      </c>
      <c r="S82" s="14" t="str">
        <f>IF(OR(Progetti!E80="",Progetti!AB80=""),"",Progetti!AB80)</f>
        <v/>
      </c>
      <c r="T82" s="14" t="str">
        <f>IF(OR(Progetti!E80="",Progetti!AC80=""),"",Progetti!AC80)</f>
        <v/>
      </c>
      <c r="U82" s="14" t="str">
        <f>IF(OR(Progetti!E80="",Progetti!AD80=""),"",Progetti!AD80)</f>
        <v/>
      </c>
      <c r="V82" s="14" t="str">
        <f>IF(OR(Progetti!E80="",Progetti!AE80=""),"",Progetti!AE80)</f>
        <v/>
      </c>
      <c r="W82" s="14" t="str">
        <f>IF(OR(Progetti!E80="",Progetti!AF80=""),"",Progetti!AF80)</f>
        <v/>
      </c>
      <c r="X82" s="14" t="str">
        <f>IF(OR(Progetti!E80="",Progetti!AG80=""),"",Progetti!AG80)</f>
        <v/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</row>
    <row r="83" spans="1:84" x14ac:dyDescent="0.35">
      <c r="A83" s="29" t="str">
        <f>IF(Progetti!E81="","",Progetti!A81)</f>
        <v/>
      </c>
      <c r="B83" s="29" t="str">
        <f>IF(Progetti!F81="","",Progetti!B81)</f>
        <v/>
      </c>
      <c r="C83" s="29" t="str">
        <f>IF(Progetti!E81="","",Progetti!C81)</f>
        <v/>
      </c>
      <c r="D83" s="29" t="str">
        <f>IF(Progetti!F81="","",Progetti!D81)</f>
        <v/>
      </c>
      <c r="E83" s="29" t="str">
        <f>IF(Progetti!E81="","",Progetti!E81)</f>
        <v/>
      </c>
      <c r="F83" s="40" t="str">
        <f>IF(Progetti!K81="","",Progetti!K81)</f>
        <v/>
      </c>
      <c r="G83" s="40" t="str">
        <f>IF(Progetti!L81="","",Progetti!L81)</f>
        <v/>
      </c>
      <c r="H83" s="29" t="str">
        <f>IF(Progetti!E81="","",Progetti!N81)</f>
        <v/>
      </c>
      <c r="I83" s="29" t="str">
        <f>IF(Progetti!E81="","",Progetti!M81)</f>
        <v/>
      </c>
      <c r="J83" s="38" t="str">
        <f>IF(Progetti!E81="","",Progetti!I81)</f>
        <v/>
      </c>
      <c r="K83" s="39" t="str">
        <f>IF(OR(Progetti!E81="",Progetti!Q81=""),"",Progetti!Q81)</f>
        <v/>
      </c>
      <c r="L83" s="39" t="str">
        <f>IF(OR(Progetti!E81="",Progetti!R81=""),"",Progetti!R81)</f>
        <v/>
      </c>
      <c r="M83" s="14" t="str">
        <f>IF(OR(Progetti!E81="",Progetti!V81=""),"",Progetti!V81)</f>
        <v/>
      </c>
      <c r="N83" s="14" t="str">
        <f>IF(OR(Progetti!E81="",Progetti!W81=""),"",Progetti!W81)</f>
        <v/>
      </c>
      <c r="O83" s="14" t="str">
        <f>IF(OR(Progetti!E81="",Progetti!X81=""),"",Progetti!X81)</f>
        <v/>
      </c>
      <c r="P83" s="14" t="str">
        <f>IF(OR(Progetti!E81="",Progetti!Y81=""),"",Progetti!Y81)</f>
        <v/>
      </c>
      <c r="Q83" s="14" t="str">
        <f>IF(OR(Progetti!E81="",Progetti!Z81=""),"",Progetti!Z81)</f>
        <v/>
      </c>
      <c r="R83" s="14" t="str">
        <f>IF(OR(Progetti!E81="",Progetti!AA81=""),"",Progetti!AA81)</f>
        <v/>
      </c>
      <c r="S83" s="14" t="str">
        <f>IF(OR(Progetti!E81="",Progetti!AB81=""),"",Progetti!AB81)</f>
        <v/>
      </c>
      <c r="T83" s="14" t="str">
        <f>IF(OR(Progetti!E81="",Progetti!AC81=""),"",Progetti!AC81)</f>
        <v/>
      </c>
      <c r="U83" s="14" t="str">
        <f>IF(OR(Progetti!E81="",Progetti!AD81=""),"",Progetti!AD81)</f>
        <v/>
      </c>
      <c r="V83" s="14" t="str">
        <f>IF(OR(Progetti!E81="",Progetti!AE81=""),"",Progetti!AE81)</f>
        <v/>
      </c>
      <c r="W83" s="14" t="str">
        <f>IF(OR(Progetti!E81="",Progetti!AF81=""),"",Progetti!AF81)</f>
        <v/>
      </c>
      <c r="X83" s="14" t="str">
        <f>IF(OR(Progetti!E81="",Progetti!AG81=""),"",Progetti!AG81)</f>
        <v/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</row>
    <row r="84" spans="1:84" x14ac:dyDescent="0.35">
      <c r="A84" s="29" t="str">
        <f>IF(Progetti!E82="","",Progetti!A82)</f>
        <v/>
      </c>
      <c r="B84" s="29" t="str">
        <f>IF(Progetti!F82="","",Progetti!B82)</f>
        <v/>
      </c>
      <c r="C84" s="29" t="str">
        <f>IF(Progetti!E82="","",Progetti!C82)</f>
        <v/>
      </c>
      <c r="D84" s="29" t="str">
        <f>IF(Progetti!F82="","",Progetti!D82)</f>
        <v/>
      </c>
      <c r="E84" s="29" t="str">
        <f>IF(Progetti!E82="","",Progetti!E82)</f>
        <v/>
      </c>
      <c r="F84" s="40" t="str">
        <f>IF(Progetti!K82="","",Progetti!K82)</f>
        <v/>
      </c>
      <c r="G84" s="40" t="str">
        <f>IF(Progetti!L82="","",Progetti!L82)</f>
        <v/>
      </c>
      <c r="H84" s="29" t="str">
        <f>IF(Progetti!E82="","",Progetti!N82)</f>
        <v/>
      </c>
      <c r="I84" s="29" t="str">
        <f>IF(Progetti!E82="","",Progetti!M82)</f>
        <v/>
      </c>
      <c r="J84" s="38" t="str">
        <f>IF(Progetti!E82="","",Progetti!I82)</f>
        <v/>
      </c>
      <c r="K84" s="39" t="str">
        <f>IF(OR(Progetti!E82="",Progetti!Q82=""),"",Progetti!Q82)</f>
        <v/>
      </c>
      <c r="L84" s="39" t="str">
        <f>IF(OR(Progetti!E82="",Progetti!R82=""),"",Progetti!R82)</f>
        <v/>
      </c>
      <c r="M84" s="14" t="str">
        <f>IF(OR(Progetti!E82="",Progetti!V82=""),"",Progetti!V82)</f>
        <v/>
      </c>
      <c r="N84" s="14" t="str">
        <f>IF(OR(Progetti!E82="",Progetti!W82=""),"",Progetti!W82)</f>
        <v/>
      </c>
      <c r="O84" s="14" t="str">
        <f>IF(OR(Progetti!E82="",Progetti!X82=""),"",Progetti!X82)</f>
        <v/>
      </c>
      <c r="P84" s="14" t="str">
        <f>IF(OR(Progetti!E82="",Progetti!Y82=""),"",Progetti!Y82)</f>
        <v/>
      </c>
      <c r="Q84" s="14" t="str">
        <f>IF(OR(Progetti!E82="",Progetti!Z82=""),"",Progetti!Z82)</f>
        <v/>
      </c>
      <c r="R84" s="14" t="str">
        <f>IF(OR(Progetti!E82="",Progetti!AA82=""),"",Progetti!AA82)</f>
        <v/>
      </c>
      <c r="S84" s="14" t="str">
        <f>IF(OR(Progetti!E82="",Progetti!AB82=""),"",Progetti!AB82)</f>
        <v/>
      </c>
      <c r="T84" s="14" t="str">
        <f>IF(OR(Progetti!E82="",Progetti!AC82=""),"",Progetti!AC82)</f>
        <v/>
      </c>
      <c r="U84" s="14" t="str">
        <f>IF(OR(Progetti!E82="",Progetti!AD82=""),"",Progetti!AD82)</f>
        <v/>
      </c>
      <c r="V84" s="14" t="str">
        <f>IF(OR(Progetti!E82="",Progetti!AE82=""),"",Progetti!AE82)</f>
        <v/>
      </c>
      <c r="W84" s="14" t="str">
        <f>IF(OR(Progetti!E82="",Progetti!AF82=""),"",Progetti!AF82)</f>
        <v/>
      </c>
      <c r="X84" s="14" t="str">
        <f>IF(OR(Progetti!E82="",Progetti!AG82=""),"",Progetti!AG82)</f>
        <v/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</row>
    <row r="85" spans="1:84" x14ac:dyDescent="0.35">
      <c r="A85" s="29" t="str">
        <f>IF(Progetti!E83="","",Progetti!A83)</f>
        <v/>
      </c>
      <c r="B85" s="29" t="str">
        <f>IF(Progetti!F83="","",Progetti!B83)</f>
        <v/>
      </c>
      <c r="C85" s="29" t="str">
        <f>IF(Progetti!E83="","",Progetti!C83)</f>
        <v/>
      </c>
      <c r="D85" s="29" t="str">
        <f>IF(Progetti!F83="","",Progetti!D83)</f>
        <v/>
      </c>
      <c r="E85" s="29" t="str">
        <f>IF(Progetti!E83="","",Progetti!E83)</f>
        <v/>
      </c>
      <c r="F85" s="40" t="str">
        <f>IF(Progetti!K83="","",Progetti!K83)</f>
        <v/>
      </c>
      <c r="G85" s="40" t="str">
        <f>IF(Progetti!L83="","",Progetti!L83)</f>
        <v/>
      </c>
      <c r="H85" s="29" t="str">
        <f>IF(Progetti!E83="","",Progetti!N83)</f>
        <v/>
      </c>
      <c r="I85" s="29" t="str">
        <f>IF(Progetti!E83="","",Progetti!M83)</f>
        <v/>
      </c>
      <c r="J85" s="38" t="str">
        <f>IF(Progetti!E83="","",Progetti!I83)</f>
        <v/>
      </c>
      <c r="K85" s="39" t="str">
        <f>IF(OR(Progetti!E83="",Progetti!Q83=""),"",Progetti!Q83)</f>
        <v/>
      </c>
      <c r="L85" s="39" t="str">
        <f>IF(OR(Progetti!E83="",Progetti!R83=""),"",Progetti!R83)</f>
        <v/>
      </c>
      <c r="M85" s="14" t="str">
        <f>IF(OR(Progetti!E83="",Progetti!V83=""),"",Progetti!V83)</f>
        <v/>
      </c>
      <c r="N85" s="14" t="str">
        <f>IF(OR(Progetti!E83="",Progetti!W83=""),"",Progetti!W83)</f>
        <v/>
      </c>
      <c r="O85" s="14" t="str">
        <f>IF(OR(Progetti!E83="",Progetti!X83=""),"",Progetti!X83)</f>
        <v/>
      </c>
      <c r="P85" s="14" t="str">
        <f>IF(OR(Progetti!E83="",Progetti!Y83=""),"",Progetti!Y83)</f>
        <v/>
      </c>
      <c r="Q85" s="14" t="str">
        <f>IF(OR(Progetti!E83="",Progetti!Z83=""),"",Progetti!Z83)</f>
        <v/>
      </c>
      <c r="R85" s="14" t="str">
        <f>IF(OR(Progetti!E83="",Progetti!AA83=""),"",Progetti!AA83)</f>
        <v/>
      </c>
      <c r="S85" s="14" t="str">
        <f>IF(OR(Progetti!E83="",Progetti!AB83=""),"",Progetti!AB83)</f>
        <v/>
      </c>
      <c r="T85" s="14" t="str">
        <f>IF(OR(Progetti!E83="",Progetti!AC83=""),"",Progetti!AC83)</f>
        <v/>
      </c>
      <c r="U85" s="14" t="str">
        <f>IF(OR(Progetti!E83="",Progetti!AD83=""),"",Progetti!AD83)</f>
        <v/>
      </c>
      <c r="V85" s="14" t="str">
        <f>IF(OR(Progetti!E83="",Progetti!AE83=""),"",Progetti!AE83)</f>
        <v/>
      </c>
      <c r="W85" s="14" t="str">
        <f>IF(OR(Progetti!E83="",Progetti!AF83=""),"",Progetti!AF83)</f>
        <v/>
      </c>
      <c r="X85" s="14" t="str">
        <f>IF(OR(Progetti!E83="",Progetti!AG83=""),"",Progetti!AG83)</f>
        <v/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</row>
    <row r="86" spans="1:84" x14ac:dyDescent="0.35">
      <c r="A86" s="29" t="str">
        <f>IF(Progetti!E84="","",Progetti!A84)</f>
        <v/>
      </c>
      <c r="B86" s="29" t="str">
        <f>IF(Progetti!F84="","",Progetti!B84)</f>
        <v/>
      </c>
      <c r="C86" s="29" t="str">
        <f>IF(Progetti!E84="","",Progetti!C84)</f>
        <v/>
      </c>
      <c r="D86" s="29" t="str">
        <f>IF(Progetti!F84="","",Progetti!D84)</f>
        <v/>
      </c>
      <c r="E86" s="29" t="str">
        <f>IF(Progetti!E84="","",Progetti!E84)</f>
        <v/>
      </c>
      <c r="F86" s="40" t="str">
        <f>IF(Progetti!K84="","",Progetti!K84)</f>
        <v/>
      </c>
      <c r="G86" s="40" t="str">
        <f>IF(Progetti!L84="","",Progetti!L84)</f>
        <v/>
      </c>
      <c r="H86" s="29" t="str">
        <f>IF(Progetti!E84="","",Progetti!N84)</f>
        <v/>
      </c>
      <c r="I86" s="29" t="str">
        <f>IF(Progetti!E84="","",Progetti!M84)</f>
        <v/>
      </c>
      <c r="J86" s="38" t="str">
        <f>IF(Progetti!E84="","",Progetti!I84)</f>
        <v/>
      </c>
      <c r="K86" s="39" t="str">
        <f>IF(OR(Progetti!E84="",Progetti!Q84=""),"",Progetti!Q84)</f>
        <v/>
      </c>
      <c r="L86" s="39" t="str">
        <f>IF(OR(Progetti!E84="",Progetti!R84=""),"",Progetti!R84)</f>
        <v/>
      </c>
      <c r="M86" s="14" t="str">
        <f>IF(OR(Progetti!E84="",Progetti!V84=""),"",Progetti!V84)</f>
        <v/>
      </c>
      <c r="N86" s="14" t="str">
        <f>IF(OR(Progetti!E84="",Progetti!W84=""),"",Progetti!W84)</f>
        <v/>
      </c>
      <c r="O86" s="14" t="str">
        <f>IF(OR(Progetti!E84="",Progetti!X84=""),"",Progetti!X84)</f>
        <v/>
      </c>
      <c r="P86" s="14" t="str">
        <f>IF(OR(Progetti!E84="",Progetti!Y84=""),"",Progetti!Y84)</f>
        <v/>
      </c>
      <c r="Q86" s="14" t="str">
        <f>IF(OR(Progetti!E84="",Progetti!Z84=""),"",Progetti!Z84)</f>
        <v/>
      </c>
      <c r="R86" s="14" t="str">
        <f>IF(OR(Progetti!E84="",Progetti!AA84=""),"",Progetti!AA84)</f>
        <v/>
      </c>
      <c r="S86" s="14" t="str">
        <f>IF(OR(Progetti!E84="",Progetti!AB84=""),"",Progetti!AB84)</f>
        <v/>
      </c>
      <c r="T86" s="14" t="str">
        <f>IF(OR(Progetti!E84="",Progetti!AC84=""),"",Progetti!AC84)</f>
        <v/>
      </c>
      <c r="U86" s="14" t="str">
        <f>IF(OR(Progetti!E84="",Progetti!AD84=""),"",Progetti!AD84)</f>
        <v/>
      </c>
      <c r="V86" s="14" t="str">
        <f>IF(OR(Progetti!E84="",Progetti!AE84=""),"",Progetti!AE84)</f>
        <v/>
      </c>
      <c r="W86" s="14" t="str">
        <f>IF(OR(Progetti!E84="",Progetti!AF84=""),"",Progetti!AF84)</f>
        <v/>
      </c>
      <c r="X86" s="14" t="str">
        <f>IF(OR(Progetti!E84="",Progetti!AG84=""),"",Progetti!AG84)</f>
        <v/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</row>
    <row r="87" spans="1:84" x14ac:dyDescent="0.35">
      <c r="A87" s="29" t="str">
        <f>IF(Progetti!E85="","",Progetti!A85)</f>
        <v/>
      </c>
      <c r="B87" s="29" t="str">
        <f>IF(Progetti!F85="","",Progetti!B85)</f>
        <v/>
      </c>
      <c r="C87" s="29" t="str">
        <f>IF(Progetti!E85="","",Progetti!C85)</f>
        <v/>
      </c>
      <c r="D87" s="29" t="str">
        <f>IF(Progetti!F85="","",Progetti!D85)</f>
        <v/>
      </c>
      <c r="E87" s="29" t="str">
        <f>IF(Progetti!E85="","",Progetti!E85)</f>
        <v/>
      </c>
      <c r="F87" s="40" t="str">
        <f>IF(Progetti!K85="","",Progetti!K85)</f>
        <v/>
      </c>
      <c r="G87" s="40" t="str">
        <f>IF(Progetti!L85="","",Progetti!L85)</f>
        <v/>
      </c>
      <c r="H87" s="29" t="str">
        <f>IF(Progetti!E85="","",Progetti!N85)</f>
        <v/>
      </c>
      <c r="I87" s="29" t="str">
        <f>IF(Progetti!E85="","",Progetti!M85)</f>
        <v/>
      </c>
      <c r="J87" s="38" t="str">
        <f>IF(Progetti!E85="","",Progetti!I85)</f>
        <v/>
      </c>
      <c r="K87" s="39" t="str">
        <f>IF(OR(Progetti!E85="",Progetti!Q85=""),"",Progetti!Q85)</f>
        <v/>
      </c>
      <c r="L87" s="39" t="str">
        <f>IF(OR(Progetti!E85="",Progetti!R85=""),"",Progetti!R85)</f>
        <v/>
      </c>
      <c r="M87" s="14" t="str">
        <f>IF(OR(Progetti!E85="",Progetti!V85=""),"",Progetti!V85)</f>
        <v/>
      </c>
      <c r="N87" s="14" t="str">
        <f>IF(OR(Progetti!E85="",Progetti!W85=""),"",Progetti!W85)</f>
        <v/>
      </c>
      <c r="O87" s="14" t="str">
        <f>IF(OR(Progetti!E85="",Progetti!X85=""),"",Progetti!X85)</f>
        <v/>
      </c>
      <c r="P87" s="14" t="str">
        <f>IF(OR(Progetti!E85="",Progetti!Y85=""),"",Progetti!Y85)</f>
        <v/>
      </c>
      <c r="Q87" s="14" t="str">
        <f>IF(OR(Progetti!E85="",Progetti!Z85=""),"",Progetti!Z85)</f>
        <v/>
      </c>
      <c r="R87" s="14" t="str">
        <f>IF(OR(Progetti!E85="",Progetti!AA85=""),"",Progetti!AA85)</f>
        <v/>
      </c>
      <c r="S87" s="14" t="str">
        <f>IF(OR(Progetti!E85="",Progetti!AB85=""),"",Progetti!AB85)</f>
        <v/>
      </c>
      <c r="T87" s="14" t="str">
        <f>IF(OR(Progetti!E85="",Progetti!AC85=""),"",Progetti!AC85)</f>
        <v/>
      </c>
      <c r="U87" s="14" t="str">
        <f>IF(OR(Progetti!E85="",Progetti!AD85=""),"",Progetti!AD85)</f>
        <v/>
      </c>
      <c r="V87" s="14" t="str">
        <f>IF(OR(Progetti!E85="",Progetti!AE85=""),"",Progetti!AE85)</f>
        <v/>
      </c>
      <c r="W87" s="14" t="str">
        <f>IF(OR(Progetti!E85="",Progetti!AF85=""),"",Progetti!AF85)</f>
        <v/>
      </c>
      <c r="X87" s="14" t="str">
        <f>IF(OR(Progetti!E85="",Progetti!AG85=""),"",Progetti!AG85)</f>
        <v/>
      </c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</row>
    <row r="88" spans="1:84" x14ac:dyDescent="0.35">
      <c r="A88" s="29" t="str">
        <f>IF(Progetti!E86="","",Progetti!A86)</f>
        <v/>
      </c>
      <c r="B88" s="29" t="str">
        <f>IF(Progetti!F86="","",Progetti!B86)</f>
        <v/>
      </c>
      <c r="C88" s="29" t="str">
        <f>IF(Progetti!E86="","",Progetti!C86)</f>
        <v/>
      </c>
      <c r="D88" s="29" t="str">
        <f>IF(Progetti!F86="","",Progetti!D86)</f>
        <v/>
      </c>
      <c r="E88" s="29" t="str">
        <f>IF(Progetti!E86="","",Progetti!E86)</f>
        <v/>
      </c>
      <c r="F88" s="40" t="str">
        <f>IF(Progetti!K86="","",Progetti!K86)</f>
        <v/>
      </c>
      <c r="G88" s="40" t="str">
        <f>IF(Progetti!L86="","",Progetti!L86)</f>
        <v/>
      </c>
      <c r="H88" s="29" t="str">
        <f>IF(Progetti!E86="","",Progetti!N86)</f>
        <v/>
      </c>
      <c r="I88" s="29" t="str">
        <f>IF(Progetti!E86="","",Progetti!M86)</f>
        <v/>
      </c>
      <c r="J88" s="38" t="str">
        <f>IF(Progetti!E86="","",Progetti!I86)</f>
        <v/>
      </c>
      <c r="K88" s="39" t="str">
        <f>IF(OR(Progetti!E86="",Progetti!Q86=""),"",Progetti!Q86)</f>
        <v/>
      </c>
      <c r="L88" s="39" t="str">
        <f>IF(OR(Progetti!E86="",Progetti!R86=""),"",Progetti!R86)</f>
        <v/>
      </c>
      <c r="M88" s="14" t="str">
        <f>IF(OR(Progetti!E86="",Progetti!V86=""),"",Progetti!V86)</f>
        <v/>
      </c>
      <c r="N88" s="14" t="str">
        <f>IF(OR(Progetti!E86="",Progetti!W86=""),"",Progetti!W86)</f>
        <v/>
      </c>
      <c r="O88" s="14" t="str">
        <f>IF(OR(Progetti!E86="",Progetti!X86=""),"",Progetti!X86)</f>
        <v/>
      </c>
      <c r="P88" s="14" t="str">
        <f>IF(OR(Progetti!E86="",Progetti!Y86=""),"",Progetti!Y86)</f>
        <v/>
      </c>
      <c r="Q88" s="14" t="str">
        <f>IF(OR(Progetti!E86="",Progetti!Z86=""),"",Progetti!Z86)</f>
        <v/>
      </c>
      <c r="R88" s="14" t="str">
        <f>IF(OR(Progetti!E86="",Progetti!AA86=""),"",Progetti!AA86)</f>
        <v/>
      </c>
      <c r="S88" s="14" t="str">
        <f>IF(OR(Progetti!E86="",Progetti!AB86=""),"",Progetti!AB86)</f>
        <v/>
      </c>
      <c r="T88" s="14" t="str">
        <f>IF(OR(Progetti!E86="",Progetti!AC86=""),"",Progetti!AC86)</f>
        <v/>
      </c>
      <c r="U88" s="14" t="str">
        <f>IF(OR(Progetti!E86="",Progetti!AD86=""),"",Progetti!AD86)</f>
        <v/>
      </c>
      <c r="V88" s="14" t="str">
        <f>IF(OR(Progetti!E86="",Progetti!AE86=""),"",Progetti!AE86)</f>
        <v/>
      </c>
      <c r="W88" s="14" t="str">
        <f>IF(OR(Progetti!E86="",Progetti!AF86=""),"",Progetti!AF86)</f>
        <v/>
      </c>
      <c r="X88" s="14" t="str">
        <f>IF(OR(Progetti!E86="",Progetti!AG86=""),"",Progetti!AG86)</f>
        <v/>
      </c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</row>
    <row r="89" spans="1:84" x14ac:dyDescent="0.35">
      <c r="A89" s="29" t="str">
        <f>IF(Progetti!E87="","",Progetti!A87)</f>
        <v/>
      </c>
      <c r="B89" s="29" t="str">
        <f>IF(Progetti!F87="","",Progetti!B87)</f>
        <v/>
      </c>
      <c r="C89" s="29" t="str">
        <f>IF(Progetti!E87="","",Progetti!C87)</f>
        <v/>
      </c>
      <c r="D89" s="29" t="str">
        <f>IF(Progetti!F87="","",Progetti!D87)</f>
        <v/>
      </c>
      <c r="E89" s="29" t="str">
        <f>IF(Progetti!E87="","",Progetti!E87)</f>
        <v/>
      </c>
      <c r="F89" s="40" t="str">
        <f>IF(Progetti!K87="","",Progetti!K87)</f>
        <v/>
      </c>
      <c r="G89" s="40" t="str">
        <f>IF(Progetti!L87="","",Progetti!L87)</f>
        <v/>
      </c>
      <c r="H89" s="29" t="str">
        <f>IF(Progetti!E87="","",Progetti!N87)</f>
        <v/>
      </c>
      <c r="I89" s="29" t="str">
        <f>IF(Progetti!E87="","",Progetti!M87)</f>
        <v/>
      </c>
      <c r="J89" s="38" t="str">
        <f>IF(Progetti!E87="","",Progetti!I87)</f>
        <v/>
      </c>
      <c r="K89" s="39" t="str">
        <f>IF(OR(Progetti!E87="",Progetti!Q87=""),"",Progetti!Q87)</f>
        <v/>
      </c>
      <c r="L89" s="39" t="str">
        <f>IF(OR(Progetti!E87="",Progetti!R87=""),"",Progetti!R87)</f>
        <v/>
      </c>
      <c r="M89" s="14" t="str">
        <f>IF(OR(Progetti!E87="",Progetti!V87=""),"",Progetti!V87)</f>
        <v/>
      </c>
      <c r="N89" s="14" t="str">
        <f>IF(OR(Progetti!E87="",Progetti!W87=""),"",Progetti!W87)</f>
        <v/>
      </c>
      <c r="O89" s="14" t="str">
        <f>IF(OR(Progetti!E87="",Progetti!X87=""),"",Progetti!X87)</f>
        <v/>
      </c>
      <c r="P89" s="14" t="str">
        <f>IF(OR(Progetti!E87="",Progetti!Y87=""),"",Progetti!Y87)</f>
        <v/>
      </c>
      <c r="Q89" s="14" t="str">
        <f>IF(OR(Progetti!E87="",Progetti!Z87=""),"",Progetti!Z87)</f>
        <v/>
      </c>
      <c r="R89" s="14" t="str">
        <f>IF(OR(Progetti!E87="",Progetti!AA87=""),"",Progetti!AA87)</f>
        <v/>
      </c>
      <c r="S89" s="14" t="str">
        <f>IF(OR(Progetti!E87="",Progetti!AB87=""),"",Progetti!AB87)</f>
        <v/>
      </c>
      <c r="T89" s="14" t="str">
        <f>IF(OR(Progetti!E87="",Progetti!AC87=""),"",Progetti!AC87)</f>
        <v/>
      </c>
      <c r="U89" s="14" t="str">
        <f>IF(OR(Progetti!E87="",Progetti!AD87=""),"",Progetti!AD87)</f>
        <v/>
      </c>
      <c r="V89" s="14" t="str">
        <f>IF(OR(Progetti!E87="",Progetti!AE87=""),"",Progetti!AE87)</f>
        <v/>
      </c>
      <c r="W89" s="14" t="str">
        <f>IF(OR(Progetti!E87="",Progetti!AF87=""),"",Progetti!AF87)</f>
        <v/>
      </c>
      <c r="X89" s="14" t="str">
        <f>IF(OR(Progetti!E87="",Progetti!AG87=""),"",Progetti!AG87)</f>
        <v/>
      </c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</row>
    <row r="90" spans="1:84" x14ac:dyDescent="0.35">
      <c r="A90" s="29" t="str">
        <f>IF(Progetti!E88="","",Progetti!A88)</f>
        <v/>
      </c>
      <c r="B90" s="29" t="str">
        <f>IF(Progetti!F88="","",Progetti!B88)</f>
        <v/>
      </c>
      <c r="C90" s="29" t="str">
        <f>IF(Progetti!E88="","",Progetti!C88)</f>
        <v/>
      </c>
      <c r="D90" s="29" t="str">
        <f>IF(Progetti!F88="","",Progetti!D88)</f>
        <v/>
      </c>
      <c r="E90" s="29" t="str">
        <f>IF(Progetti!E88="","",Progetti!E88)</f>
        <v/>
      </c>
      <c r="F90" s="40" t="str">
        <f>IF(Progetti!K88="","",Progetti!K88)</f>
        <v/>
      </c>
      <c r="G90" s="40" t="str">
        <f>IF(Progetti!L88="","",Progetti!L88)</f>
        <v/>
      </c>
      <c r="H90" s="29" t="str">
        <f>IF(Progetti!E88="","",Progetti!N88)</f>
        <v/>
      </c>
      <c r="I90" s="29" t="str">
        <f>IF(Progetti!E88="","",Progetti!M88)</f>
        <v/>
      </c>
      <c r="J90" s="38" t="str">
        <f>IF(Progetti!E88="","",Progetti!I88)</f>
        <v/>
      </c>
      <c r="K90" s="39" t="str">
        <f>IF(OR(Progetti!E88="",Progetti!Q88=""),"",Progetti!Q88)</f>
        <v/>
      </c>
      <c r="L90" s="39" t="str">
        <f>IF(OR(Progetti!E88="",Progetti!R88=""),"",Progetti!R88)</f>
        <v/>
      </c>
      <c r="M90" s="14" t="str">
        <f>IF(OR(Progetti!E88="",Progetti!V88=""),"",Progetti!V88)</f>
        <v/>
      </c>
      <c r="N90" s="14" t="str">
        <f>IF(OR(Progetti!E88="",Progetti!W88=""),"",Progetti!W88)</f>
        <v/>
      </c>
      <c r="O90" s="14" t="str">
        <f>IF(OR(Progetti!E88="",Progetti!X88=""),"",Progetti!X88)</f>
        <v/>
      </c>
      <c r="P90" s="14" t="str">
        <f>IF(OR(Progetti!E88="",Progetti!Y88=""),"",Progetti!Y88)</f>
        <v/>
      </c>
      <c r="Q90" s="14" t="str">
        <f>IF(OR(Progetti!E88="",Progetti!Z88=""),"",Progetti!Z88)</f>
        <v/>
      </c>
      <c r="R90" s="14" t="str">
        <f>IF(OR(Progetti!E88="",Progetti!AA88=""),"",Progetti!AA88)</f>
        <v/>
      </c>
      <c r="S90" s="14" t="str">
        <f>IF(OR(Progetti!E88="",Progetti!AB88=""),"",Progetti!AB88)</f>
        <v/>
      </c>
      <c r="T90" s="14" t="str">
        <f>IF(OR(Progetti!E88="",Progetti!AC88=""),"",Progetti!AC88)</f>
        <v/>
      </c>
      <c r="U90" s="14" t="str">
        <f>IF(OR(Progetti!E88="",Progetti!AD88=""),"",Progetti!AD88)</f>
        <v/>
      </c>
      <c r="V90" s="14" t="str">
        <f>IF(OR(Progetti!E88="",Progetti!AE88=""),"",Progetti!AE88)</f>
        <v/>
      </c>
      <c r="W90" s="14" t="str">
        <f>IF(OR(Progetti!E88="",Progetti!AF88=""),"",Progetti!AF88)</f>
        <v/>
      </c>
      <c r="X90" s="14" t="str">
        <f>IF(OR(Progetti!E88="",Progetti!AG88=""),"",Progetti!AG88)</f>
        <v/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</row>
    <row r="91" spans="1:84" x14ac:dyDescent="0.35">
      <c r="A91" s="29" t="str">
        <f>IF(Progetti!E89="","",Progetti!A89)</f>
        <v/>
      </c>
      <c r="B91" s="29" t="str">
        <f>IF(Progetti!F89="","",Progetti!B89)</f>
        <v/>
      </c>
      <c r="C91" s="29" t="str">
        <f>IF(Progetti!E89="","",Progetti!C89)</f>
        <v/>
      </c>
      <c r="D91" s="29" t="str">
        <f>IF(Progetti!F89="","",Progetti!D89)</f>
        <v/>
      </c>
      <c r="E91" s="29" t="str">
        <f>IF(Progetti!E89="","",Progetti!E89)</f>
        <v/>
      </c>
      <c r="F91" s="40" t="str">
        <f>IF(Progetti!K89="","",Progetti!K89)</f>
        <v/>
      </c>
      <c r="G91" s="40" t="str">
        <f>IF(Progetti!L89="","",Progetti!L89)</f>
        <v/>
      </c>
      <c r="H91" s="29" t="str">
        <f>IF(Progetti!E89="","",Progetti!N89)</f>
        <v/>
      </c>
      <c r="I91" s="29" t="str">
        <f>IF(Progetti!E89="","",Progetti!M89)</f>
        <v/>
      </c>
      <c r="J91" s="38" t="str">
        <f>IF(Progetti!E89="","",Progetti!I89)</f>
        <v/>
      </c>
      <c r="K91" s="39" t="str">
        <f>IF(OR(Progetti!E89="",Progetti!Q89=""),"",Progetti!Q89)</f>
        <v/>
      </c>
      <c r="L91" s="39" t="str">
        <f>IF(OR(Progetti!E89="",Progetti!R89=""),"",Progetti!R89)</f>
        <v/>
      </c>
      <c r="M91" s="14" t="str">
        <f>IF(OR(Progetti!E89="",Progetti!V89=""),"",Progetti!V89)</f>
        <v/>
      </c>
      <c r="N91" s="14" t="str">
        <f>IF(OR(Progetti!E89="",Progetti!W89=""),"",Progetti!W89)</f>
        <v/>
      </c>
      <c r="O91" s="14" t="str">
        <f>IF(OR(Progetti!E89="",Progetti!X89=""),"",Progetti!X89)</f>
        <v/>
      </c>
      <c r="P91" s="14" t="str">
        <f>IF(OR(Progetti!E89="",Progetti!Y89=""),"",Progetti!Y89)</f>
        <v/>
      </c>
      <c r="Q91" s="14" t="str">
        <f>IF(OR(Progetti!E89="",Progetti!Z89=""),"",Progetti!Z89)</f>
        <v/>
      </c>
      <c r="R91" s="14" t="str">
        <f>IF(OR(Progetti!E89="",Progetti!AA89=""),"",Progetti!AA89)</f>
        <v/>
      </c>
      <c r="S91" s="14" t="str">
        <f>IF(OR(Progetti!E89="",Progetti!AB89=""),"",Progetti!AB89)</f>
        <v/>
      </c>
      <c r="T91" s="14" t="str">
        <f>IF(OR(Progetti!E89="",Progetti!AC89=""),"",Progetti!AC89)</f>
        <v/>
      </c>
      <c r="U91" s="14" t="str">
        <f>IF(OR(Progetti!E89="",Progetti!AD89=""),"",Progetti!AD89)</f>
        <v/>
      </c>
      <c r="V91" s="14" t="str">
        <f>IF(OR(Progetti!E89="",Progetti!AE89=""),"",Progetti!AE89)</f>
        <v/>
      </c>
      <c r="W91" s="14" t="str">
        <f>IF(OR(Progetti!E89="",Progetti!AF89=""),"",Progetti!AF89)</f>
        <v/>
      </c>
      <c r="X91" s="14" t="str">
        <f>IF(OR(Progetti!E89="",Progetti!AG89=""),"",Progetti!AG89)</f>
        <v/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</row>
    <row r="92" spans="1:84" x14ac:dyDescent="0.35">
      <c r="A92" s="29" t="str">
        <f>IF(Progetti!E90="","",Progetti!A90)</f>
        <v/>
      </c>
      <c r="B92" s="29" t="str">
        <f>IF(Progetti!F90="","",Progetti!B90)</f>
        <v/>
      </c>
      <c r="C92" s="29" t="str">
        <f>IF(Progetti!E90="","",Progetti!C90)</f>
        <v/>
      </c>
      <c r="D92" s="29" t="str">
        <f>IF(Progetti!F90="","",Progetti!D90)</f>
        <v/>
      </c>
      <c r="E92" s="29" t="str">
        <f>IF(Progetti!E90="","",Progetti!E90)</f>
        <v/>
      </c>
      <c r="F92" s="40" t="str">
        <f>IF(Progetti!K90="","",Progetti!K90)</f>
        <v/>
      </c>
      <c r="G92" s="40" t="str">
        <f>IF(Progetti!L90="","",Progetti!L90)</f>
        <v/>
      </c>
      <c r="H92" s="29" t="str">
        <f>IF(Progetti!E90="","",Progetti!N90)</f>
        <v/>
      </c>
      <c r="I92" s="29" t="str">
        <f>IF(Progetti!E90="","",Progetti!M90)</f>
        <v/>
      </c>
      <c r="J92" s="38" t="str">
        <f>IF(Progetti!E90="","",Progetti!I90)</f>
        <v/>
      </c>
      <c r="K92" s="39" t="str">
        <f>IF(OR(Progetti!E90="",Progetti!Q90=""),"",Progetti!Q90)</f>
        <v/>
      </c>
      <c r="L92" s="39" t="str">
        <f>IF(OR(Progetti!E90="",Progetti!R90=""),"",Progetti!R90)</f>
        <v/>
      </c>
      <c r="M92" s="14" t="str">
        <f>IF(OR(Progetti!E90="",Progetti!V90=""),"",Progetti!V90)</f>
        <v/>
      </c>
      <c r="N92" s="14" t="str">
        <f>IF(OR(Progetti!E90="",Progetti!W90=""),"",Progetti!W90)</f>
        <v/>
      </c>
      <c r="O92" s="14" t="str">
        <f>IF(OR(Progetti!E90="",Progetti!X90=""),"",Progetti!X90)</f>
        <v/>
      </c>
      <c r="P92" s="14" t="str">
        <f>IF(OR(Progetti!E90="",Progetti!Y90=""),"",Progetti!Y90)</f>
        <v/>
      </c>
      <c r="Q92" s="14" t="str">
        <f>IF(OR(Progetti!E90="",Progetti!Z90=""),"",Progetti!Z90)</f>
        <v/>
      </c>
      <c r="R92" s="14" t="str">
        <f>IF(OR(Progetti!E90="",Progetti!AA90=""),"",Progetti!AA90)</f>
        <v/>
      </c>
      <c r="S92" s="14" t="str">
        <f>IF(OR(Progetti!E90="",Progetti!AB90=""),"",Progetti!AB90)</f>
        <v/>
      </c>
      <c r="T92" s="14" t="str">
        <f>IF(OR(Progetti!E90="",Progetti!AC90=""),"",Progetti!AC90)</f>
        <v/>
      </c>
      <c r="U92" s="14" t="str">
        <f>IF(OR(Progetti!E90="",Progetti!AD90=""),"",Progetti!AD90)</f>
        <v/>
      </c>
      <c r="V92" s="14" t="str">
        <f>IF(OR(Progetti!E90="",Progetti!AE90=""),"",Progetti!AE90)</f>
        <v/>
      </c>
      <c r="W92" s="14" t="str">
        <f>IF(OR(Progetti!E90="",Progetti!AF90=""),"",Progetti!AF90)</f>
        <v/>
      </c>
      <c r="X92" s="14" t="str">
        <f>IF(OR(Progetti!E90="",Progetti!AG90=""),"",Progetti!AG90)</f>
        <v/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</row>
    <row r="93" spans="1:84" x14ac:dyDescent="0.35">
      <c r="A93" s="29" t="str">
        <f>IF(Progetti!E91="","",Progetti!A91)</f>
        <v/>
      </c>
      <c r="B93" s="29" t="str">
        <f>IF(Progetti!F91="","",Progetti!B91)</f>
        <v/>
      </c>
      <c r="C93" s="29" t="str">
        <f>IF(Progetti!E91="","",Progetti!C91)</f>
        <v/>
      </c>
      <c r="D93" s="29" t="str">
        <f>IF(Progetti!F91="","",Progetti!D91)</f>
        <v/>
      </c>
      <c r="E93" s="29" t="str">
        <f>IF(Progetti!E91="","",Progetti!E91)</f>
        <v/>
      </c>
      <c r="F93" s="40" t="str">
        <f>IF(Progetti!K91="","",Progetti!K91)</f>
        <v/>
      </c>
      <c r="G93" s="40" t="str">
        <f>IF(Progetti!L91="","",Progetti!L91)</f>
        <v/>
      </c>
      <c r="H93" s="29" t="str">
        <f>IF(Progetti!E91="","",Progetti!N91)</f>
        <v/>
      </c>
      <c r="I93" s="29" t="str">
        <f>IF(Progetti!E91="","",Progetti!M91)</f>
        <v/>
      </c>
      <c r="J93" s="38" t="str">
        <f>IF(Progetti!E91="","",Progetti!I91)</f>
        <v/>
      </c>
      <c r="K93" s="39" t="str">
        <f>IF(OR(Progetti!E91="",Progetti!Q91=""),"",Progetti!Q91)</f>
        <v/>
      </c>
      <c r="L93" s="39" t="str">
        <f>IF(OR(Progetti!E91="",Progetti!R91=""),"",Progetti!R91)</f>
        <v/>
      </c>
      <c r="M93" s="14" t="str">
        <f>IF(OR(Progetti!E91="",Progetti!V91=""),"",Progetti!V91)</f>
        <v/>
      </c>
      <c r="N93" s="14" t="str">
        <f>IF(OR(Progetti!E91="",Progetti!W91=""),"",Progetti!W91)</f>
        <v/>
      </c>
      <c r="O93" s="14" t="str">
        <f>IF(OR(Progetti!E91="",Progetti!X91=""),"",Progetti!X91)</f>
        <v/>
      </c>
      <c r="P93" s="14" t="str">
        <f>IF(OR(Progetti!E91="",Progetti!Y91=""),"",Progetti!Y91)</f>
        <v/>
      </c>
      <c r="Q93" s="14" t="str">
        <f>IF(OR(Progetti!E91="",Progetti!Z91=""),"",Progetti!Z91)</f>
        <v/>
      </c>
      <c r="R93" s="14" t="str">
        <f>IF(OR(Progetti!E91="",Progetti!AA91=""),"",Progetti!AA91)</f>
        <v/>
      </c>
      <c r="S93" s="14" t="str">
        <f>IF(OR(Progetti!E91="",Progetti!AB91=""),"",Progetti!AB91)</f>
        <v/>
      </c>
      <c r="T93" s="14" t="str">
        <f>IF(OR(Progetti!E91="",Progetti!AC91=""),"",Progetti!AC91)</f>
        <v/>
      </c>
      <c r="U93" s="14" t="str">
        <f>IF(OR(Progetti!E91="",Progetti!AD91=""),"",Progetti!AD91)</f>
        <v/>
      </c>
      <c r="V93" s="14" t="str">
        <f>IF(OR(Progetti!E91="",Progetti!AE91=""),"",Progetti!AE91)</f>
        <v/>
      </c>
      <c r="W93" s="14" t="str">
        <f>IF(OR(Progetti!E91="",Progetti!AF91=""),"",Progetti!AF91)</f>
        <v/>
      </c>
      <c r="X93" s="14" t="str">
        <f>IF(OR(Progetti!E91="",Progetti!AG91=""),"",Progetti!AG91)</f>
        <v/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</row>
    <row r="94" spans="1:84" x14ac:dyDescent="0.35">
      <c r="A94" s="29" t="str">
        <f>IF(Progetti!E92="","",Progetti!A92)</f>
        <v/>
      </c>
      <c r="B94" s="29" t="str">
        <f>IF(Progetti!F92="","",Progetti!B92)</f>
        <v/>
      </c>
      <c r="C94" s="29" t="str">
        <f>IF(Progetti!E92="","",Progetti!C92)</f>
        <v/>
      </c>
      <c r="D94" s="29" t="str">
        <f>IF(Progetti!F92="","",Progetti!D92)</f>
        <v/>
      </c>
      <c r="E94" s="29" t="str">
        <f>IF(Progetti!E92="","",Progetti!E92)</f>
        <v/>
      </c>
      <c r="F94" s="40" t="str">
        <f>IF(Progetti!K92="","",Progetti!K92)</f>
        <v/>
      </c>
      <c r="G94" s="40" t="str">
        <f>IF(Progetti!L92="","",Progetti!L92)</f>
        <v/>
      </c>
      <c r="H94" s="29" t="str">
        <f>IF(Progetti!E92="","",Progetti!N92)</f>
        <v/>
      </c>
      <c r="I94" s="29" t="str">
        <f>IF(Progetti!E92="","",Progetti!M92)</f>
        <v/>
      </c>
      <c r="J94" s="38" t="str">
        <f>IF(Progetti!E92="","",Progetti!I92)</f>
        <v/>
      </c>
      <c r="K94" s="39" t="str">
        <f>IF(OR(Progetti!E92="",Progetti!Q92=""),"",Progetti!Q92)</f>
        <v/>
      </c>
      <c r="L94" s="39" t="str">
        <f>IF(OR(Progetti!E92="",Progetti!R92=""),"",Progetti!R92)</f>
        <v/>
      </c>
      <c r="M94" s="14" t="str">
        <f>IF(OR(Progetti!E92="",Progetti!V92=""),"",Progetti!V92)</f>
        <v/>
      </c>
      <c r="N94" s="14" t="str">
        <f>IF(OR(Progetti!E92="",Progetti!W92=""),"",Progetti!W92)</f>
        <v/>
      </c>
      <c r="O94" s="14" t="str">
        <f>IF(OR(Progetti!E92="",Progetti!X92=""),"",Progetti!X92)</f>
        <v/>
      </c>
      <c r="P94" s="14" t="str">
        <f>IF(OR(Progetti!E92="",Progetti!Y92=""),"",Progetti!Y92)</f>
        <v/>
      </c>
      <c r="Q94" s="14" t="str">
        <f>IF(OR(Progetti!E92="",Progetti!Z92=""),"",Progetti!Z92)</f>
        <v/>
      </c>
      <c r="R94" s="14" t="str">
        <f>IF(OR(Progetti!E92="",Progetti!AA92=""),"",Progetti!AA92)</f>
        <v/>
      </c>
      <c r="S94" s="14" t="str">
        <f>IF(OR(Progetti!E92="",Progetti!AB92=""),"",Progetti!AB92)</f>
        <v/>
      </c>
      <c r="T94" s="14" t="str">
        <f>IF(OR(Progetti!E92="",Progetti!AC92=""),"",Progetti!AC92)</f>
        <v/>
      </c>
      <c r="U94" s="14" t="str">
        <f>IF(OR(Progetti!E92="",Progetti!AD92=""),"",Progetti!AD92)</f>
        <v/>
      </c>
      <c r="V94" s="14" t="str">
        <f>IF(OR(Progetti!E92="",Progetti!AE92=""),"",Progetti!AE92)</f>
        <v/>
      </c>
      <c r="W94" s="14" t="str">
        <f>IF(OR(Progetti!E92="",Progetti!AF92=""),"",Progetti!AF92)</f>
        <v/>
      </c>
      <c r="X94" s="14" t="str">
        <f>IF(OR(Progetti!E92="",Progetti!AG92=""),"",Progetti!AG92)</f>
        <v/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</row>
    <row r="95" spans="1:84" x14ac:dyDescent="0.35">
      <c r="A95" s="29" t="str">
        <f>IF(Progetti!E93="","",Progetti!A93)</f>
        <v/>
      </c>
      <c r="B95" s="29" t="str">
        <f>IF(Progetti!F93="","",Progetti!B93)</f>
        <v/>
      </c>
      <c r="C95" s="29" t="str">
        <f>IF(Progetti!E93="","",Progetti!C93)</f>
        <v/>
      </c>
      <c r="D95" s="29" t="str">
        <f>IF(Progetti!F93="","",Progetti!D93)</f>
        <v/>
      </c>
      <c r="E95" s="29" t="str">
        <f>IF(Progetti!E93="","",Progetti!E93)</f>
        <v/>
      </c>
      <c r="F95" s="40" t="str">
        <f>IF(Progetti!K93="","",Progetti!K93)</f>
        <v/>
      </c>
      <c r="G95" s="40" t="str">
        <f>IF(Progetti!L93="","",Progetti!L93)</f>
        <v/>
      </c>
      <c r="H95" s="29" t="str">
        <f>IF(Progetti!E93="","",Progetti!N93)</f>
        <v/>
      </c>
      <c r="I95" s="29" t="str">
        <f>IF(Progetti!E93="","",Progetti!M93)</f>
        <v/>
      </c>
      <c r="J95" s="38" t="str">
        <f>IF(Progetti!E93="","",Progetti!I93)</f>
        <v/>
      </c>
      <c r="K95" s="39" t="str">
        <f>IF(OR(Progetti!E93="",Progetti!Q93=""),"",Progetti!Q93)</f>
        <v/>
      </c>
      <c r="L95" s="39" t="str">
        <f>IF(OR(Progetti!E93="",Progetti!R93=""),"",Progetti!R93)</f>
        <v/>
      </c>
      <c r="M95" s="14" t="str">
        <f>IF(OR(Progetti!E93="",Progetti!V93=""),"",Progetti!V93)</f>
        <v/>
      </c>
      <c r="N95" s="14" t="str">
        <f>IF(OR(Progetti!E93="",Progetti!W93=""),"",Progetti!W93)</f>
        <v/>
      </c>
      <c r="O95" s="14" t="str">
        <f>IF(OR(Progetti!E93="",Progetti!X93=""),"",Progetti!X93)</f>
        <v/>
      </c>
      <c r="P95" s="14" t="str">
        <f>IF(OR(Progetti!E93="",Progetti!Y93=""),"",Progetti!Y93)</f>
        <v/>
      </c>
      <c r="Q95" s="14" t="str">
        <f>IF(OR(Progetti!E93="",Progetti!Z93=""),"",Progetti!Z93)</f>
        <v/>
      </c>
      <c r="R95" s="14" t="str">
        <f>IF(OR(Progetti!E93="",Progetti!AA93=""),"",Progetti!AA93)</f>
        <v/>
      </c>
      <c r="S95" s="14" t="str">
        <f>IF(OR(Progetti!E93="",Progetti!AB93=""),"",Progetti!AB93)</f>
        <v/>
      </c>
      <c r="T95" s="14" t="str">
        <f>IF(OR(Progetti!E93="",Progetti!AC93=""),"",Progetti!AC93)</f>
        <v/>
      </c>
      <c r="U95" s="14" t="str">
        <f>IF(OR(Progetti!E93="",Progetti!AD93=""),"",Progetti!AD93)</f>
        <v/>
      </c>
      <c r="V95" s="14" t="str">
        <f>IF(OR(Progetti!E93="",Progetti!AE93=""),"",Progetti!AE93)</f>
        <v/>
      </c>
      <c r="W95" s="14" t="str">
        <f>IF(OR(Progetti!E93="",Progetti!AF93=""),"",Progetti!AF93)</f>
        <v/>
      </c>
      <c r="X95" s="14" t="str">
        <f>IF(OR(Progetti!E93="",Progetti!AG93=""),"",Progetti!AG93)</f>
        <v/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</row>
    <row r="96" spans="1:84" x14ac:dyDescent="0.35">
      <c r="A96" s="29" t="str">
        <f>IF(Progetti!E94="","",Progetti!A94)</f>
        <v/>
      </c>
      <c r="B96" s="29" t="str">
        <f>IF(Progetti!F94="","",Progetti!B94)</f>
        <v/>
      </c>
      <c r="C96" s="29" t="str">
        <f>IF(Progetti!E94="","",Progetti!C94)</f>
        <v/>
      </c>
      <c r="D96" s="29" t="str">
        <f>IF(Progetti!F94="","",Progetti!D94)</f>
        <v/>
      </c>
      <c r="E96" s="29" t="str">
        <f>IF(Progetti!E94="","",Progetti!E94)</f>
        <v/>
      </c>
      <c r="F96" s="40" t="str">
        <f>IF(Progetti!K94="","",Progetti!K94)</f>
        <v/>
      </c>
      <c r="G96" s="40" t="str">
        <f>IF(Progetti!L94="","",Progetti!L94)</f>
        <v/>
      </c>
      <c r="H96" s="29" t="str">
        <f>IF(Progetti!E94="","",Progetti!N94)</f>
        <v/>
      </c>
      <c r="I96" s="29" t="str">
        <f>IF(Progetti!E94="","",Progetti!M94)</f>
        <v/>
      </c>
      <c r="J96" s="38" t="str">
        <f>IF(Progetti!E94="","",Progetti!I94)</f>
        <v/>
      </c>
      <c r="K96" s="39" t="str">
        <f>IF(OR(Progetti!E94="",Progetti!Q94=""),"",Progetti!Q94)</f>
        <v/>
      </c>
      <c r="L96" s="39" t="str">
        <f>IF(OR(Progetti!E94="",Progetti!R94=""),"",Progetti!R94)</f>
        <v/>
      </c>
      <c r="M96" s="14" t="str">
        <f>IF(OR(Progetti!E94="",Progetti!V94=""),"",Progetti!V94)</f>
        <v/>
      </c>
      <c r="N96" s="14" t="str">
        <f>IF(OR(Progetti!E94="",Progetti!W94=""),"",Progetti!W94)</f>
        <v/>
      </c>
      <c r="O96" s="14" t="str">
        <f>IF(OR(Progetti!E94="",Progetti!X94=""),"",Progetti!X94)</f>
        <v/>
      </c>
      <c r="P96" s="14" t="str">
        <f>IF(OR(Progetti!E94="",Progetti!Y94=""),"",Progetti!Y94)</f>
        <v/>
      </c>
      <c r="Q96" s="14" t="str">
        <f>IF(OR(Progetti!E94="",Progetti!Z94=""),"",Progetti!Z94)</f>
        <v/>
      </c>
      <c r="R96" s="14" t="str">
        <f>IF(OR(Progetti!E94="",Progetti!AA94=""),"",Progetti!AA94)</f>
        <v/>
      </c>
      <c r="S96" s="14" t="str">
        <f>IF(OR(Progetti!E94="",Progetti!AB94=""),"",Progetti!AB94)</f>
        <v/>
      </c>
      <c r="T96" s="14" t="str">
        <f>IF(OR(Progetti!E94="",Progetti!AC94=""),"",Progetti!AC94)</f>
        <v/>
      </c>
      <c r="U96" s="14" t="str">
        <f>IF(OR(Progetti!E94="",Progetti!AD94=""),"",Progetti!AD94)</f>
        <v/>
      </c>
      <c r="V96" s="14" t="str">
        <f>IF(OR(Progetti!E94="",Progetti!AE94=""),"",Progetti!AE94)</f>
        <v/>
      </c>
      <c r="W96" s="14" t="str">
        <f>IF(OR(Progetti!E94="",Progetti!AF94=""),"",Progetti!AF94)</f>
        <v/>
      </c>
      <c r="X96" s="14" t="str">
        <f>IF(OR(Progetti!E94="",Progetti!AG94=""),"",Progetti!AG94)</f>
        <v/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</row>
    <row r="97" spans="1:84" x14ac:dyDescent="0.35">
      <c r="A97" s="29" t="str">
        <f>IF(Progetti!E95="","",Progetti!A95)</f>
        <v/>
      </c>
      <c r="B97" s="29" t="str">
        <f>IF(Progetti!F95="","",Progetti!B95)</f>
        <v/>
      </c>
      <c r="C97" s="29" t="str">
        <f>IF(Progetti!E95="","",Progetti!C95)</f>
        <v/>
      </c>
      <c r="D97" s="29" t="str">
        <f>IF(Progetti!F95="","",Progetti!D95)</f>
        <v/>
      </c>
      <c r="E97" s="29" t="str">
        <f>IF(Progetti!E95="","",Progetti!E95)</f>
        <v/>
      </c>
      <c r="F97" s="40" t="str">
        <f>IF(Progetti!K95="","",Progetti!K95)</f>
        <v/>
      </c>
      <c r="G97" s="40" t="str">
        <f>IF(Progetti!L95="","",Progetti!L95)</f>
        <v/>
      </c>
      <c r="H97" s="29" t="str">
        <f>IF(Progetti!E95="","",Progetti!N95)</f>
        <v/>
      </c>
      <c r="I97" s="29" t="str">
        <f>IF(Progetti!E95="","",Progetti!M95)</f>
        <v/>
      </c>
      <c r="J97" s="38" t="str">
        <f>IF(Progetti!E95="","",Progetti!I95)</f>
        <v/>
      </c>
      <c r="K97" s="39" t="str">
        <f>IF(OR(Progetti!E95="",Progetti!Q95=""),"",Progetti!Q95)</f>
        <v/>
      </c>
      <c r="L97" s="39" t="str">
        <f>IF(OR(Progetti!E95="",Progetti!R95=""),"",Progetti!R95)</f>
        <v/>
      </c>
      <c r="M97" s="14" t="str">
        <f>IF(OR(Progetti!E95="",Progetti!V95=""),"",Progetti!V95)</f>
        <v/>
      </c>
      <c r="N97" s="14" t="str">
        <f>IF(OR(Progetti!E95="",Progetti!W95=""),"",Progetti!W95)</f>
        <v/>
      </c>
      <c r="O97" s="14" t="str">
        <f>IF(OR(Progetti!E95="",Progetti!X95=""),"",Progetti!X95)</f>
        <v/>
      </c>
      <c r="P97" s="14" t="str">
        <f>IF(OR(Progetti!E95="",Progetti!Y95=""),"",Progetti!Y95)</f>
        <v/>
      </c>
      <c r="Q97" s="14" t="str">
        <f>IF(OR(Progetti!E95="",Progetti!Z95=""),"",Progetti!Z95)</f>
        <v/>
      </c>
      <c r="R97" s="14" t="str">
        <f>IF(OR(Progetti!E95="",Progetti!AA95=""),"",Progetti!AA95)</f>
        <v/>
      </c>
      <c r="S97" s="14" t="str">
        <f>IF(OR(Progetti!E95="",Progetti!AB95=""),"",Progetti!AB95)</f>
        <v/>
      </c>
      <c r="T97" s="14" t="str">
        <f>IF(OR(Progetti!E95="",Progetti!AC95=""),"",Progetti!AC95)</f>
        <v/>
      </c>
      <c r="U97" s="14" t="str">
        <f>IF(OR(Progetti!E95="",Progetti!AD95=""),"",Progetti!AD95)</f>
        <v/>
      </c>
      <c r="V97" s="14" t="str">
        <f>IF(OR(Progetti!E95="",Progetti!AE95=""),"",Progetti!AE95)</f>
        <v/>
      </c>
      <c r="W97" s="14" t="str">
        <f>IF(OR(Progetti!E95="",Progetti!AF95=""),"",Progetti!AF95)</f>
        <v/>
      </c>
      <c r="X97" s="14" t="str">
        <f>IF(OR(Progetti!E95="",Progetti!AG95=""),"",Progetti!AG95)</f>
        <v/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</row>
    <row r="98" spans="1:84" x14ac:dyDescent="0.35">
      <c r="A98" s="29" t="str">
        <f>IF(Progetti!E96="","",Progetti!A96)</f>
        <v/>
      </c>
      <c r="B98" s="29" t="str">
        <f>IF(Progetti!F96="","",Progetti!B96)</f>
        <v/>
      </c>
      <c r="C98" s="29" t="str">
        <f>IF(Progetti!E96="","",Progetti!C96)</f>
        <v/>
      </c>
      <c r="D98" s="29" t="str">
        <f>IF(Progetti!F96="","",Progetti!D96)</f>
        <v/>
      </c>
      <c r="E98" s="29" t="str">
        <f>IF(Progetti!E96="","",Progetti!E96)</f>
        <v/>
      </c>
      <c r="F98" s="40" t="str">
        <f>IF(Progetti!K96="","",Progetti!K96)</f>
        <v/>
      </c>
      <c r="G98" s="40" t="str">
        <f>IF(Progetti!L96="","",Progetti!L96)</f>
        <v/>
      </c>
      <c r="H98" s="29" t="str">
        <f>IF(Progetti!E96="","",Progetti!N96)</f>
        <v/>
      </c>
      <c r="I98" s="29" t="str">
        <f>IF(Progetti!E96="","",Progetti!M96)</f>
        <v/>
      </c>
      <c r="J98" s="38" t="str">
        <f>IF(Progetti!E96="","",Progetti!I96)</f>
        <v/>
      </c>
      <c r="K98" s="39" t="str">
        <f>IF(OR(Progetti!E96="",Progetti!Q96=""),"",Progetti!Q96)</f>
        <v/>
      </c>
      <c r="L98" s="39" t="str">
        <f>IF(OR(Progetti!E96="",Progetti!R96=""),"",Progetti!R96)</f>
        <v/>
      </c>
      <c r="M98" s="14" t="str">
        <f>IF(OR(Progetti!E96="",Progetti!V96=""),"",Progetti!V96)</f>
        <v/>
      </c>
      <c r="N98" s="14" t="str">
        <f>IF(OR(Progetti!E96="",Progetti!W96=""),"",Progetti!W96)</f>
        <v/>
      </c>
      <c r="O98" s="14" t="str">
        <f>IF(OR(Progetti!E96="",Progetti!X96=""),"",Progetti!X96)</f>
        <v/>
      </c>
      <c r="P98" s="14" t="str">
        <f>IF(OR(Progetti!E96="",Progetti!Y96=""),"",Progetti!Y96)</f>
        <v/>
      </c>
      <c r="Q98" s="14" t="str">
        <f>IF(OR(Progetti!E96="",Progetti!Z96=""),"",Progetti!Z96)</f>
        <v/>
      </c>
      <c r="R98" s="14" t="str">
        <f>IF(OR(Progetti!E96="",Progetti!AA96=""),"",Progetti!AA96)</f>
        <v/>
      </c>
      <c r="S98" s="14" t="str">
        <f>IF(OR(Progetti!E96="",Progetti!AB96=""),"",Progetti!AB96)</f>
        <v/>
      </c>
      <c r="T98" s="14" t="str">
        <f>IF(OR(Progetti!E96="",Progetti!AC96=""),"",Progetti!AC96)</f>
        <v/>
      </c>
      <c r="U98" s="14" t="str">
        <f>IF(OR(Progetti!E96="",Progetti!AD96=""),"",Progetti!AD96)</f>
        <v/>
      </c>
      <c r="V98" s="14" t="str">
        <f>IF(OR(Progetti!E96="",Progetti!AE96=""),"",Progetti!AE96)</f>
        <v/>
      </c>
      <c r="W98" s="14" t="str">
        <f>IF(OR(Progetti!E96="",Progetti!AF96=""),"",Progetti!AF96)</f>
        <v/>
      </c>
      <c r="X98" s="14" t="str">
        <f>IF(OR(Progetti!E96="",Progetti!AG96=""),"",Progetti!AG96)</f>
        <v/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</row>
    <row r="99" spans="1:84" x14ac:dyDescent="0.35">
      <c r="A99" s="29" t="str">
        <f>IF(Progetti!E97="","",Progetti!A97)</f>
        <v/>
      </c>
      <c r="B99" s="29" t="str">
        <f>IF(Progetti!F97="","",Progetti!B97)</f>
        <v/>
      </c>
      <c r="C99" s="29" t="str">
        <f>IF(Progetti!E97="","",Progetti!C97)</f>
        <v/>
      </c>
      <c r="D99" s="29" t="str">
        <f>IF(Progetti!F97="","",Progetti!D97)</f>
        <v/>
      </c>
      <c r="E99" s="29" t="str">
        <f>IF(Progetti!E97="","",Progetti!E97)</f>
        <v/>
      </c>
      <c r="F99" s="40" t="str">
        <f>IF(Progetti!K97="","",Progetti!K97)</f>
        <v/>
      </c>
      <c r="G99" s="40" t="str">
        <f>IF(Progetti!L97="","",Progetti!L97)</f>
        <v/>
      </c>
      <c r="H99" s="29" t="str">
        <f>IF(Progetti!E97="","",Progetti!N97)</f>
        <v/>
      </c>
      <c r="I99" s="29" t="str">
        <f>IF(Progetti!E97="","",Progetti!M97)</f>
        <v/>
      </c>
      <c r="J99" s="38" t="str">
        <f>IF(Progetti!E97="","",Progetti!I97)</f>
        <v/>
      </c>
      <c r="K99" s="39" t="str">
        <f>IF(OR(Progetti!E97="",Progetti!Q97=""),"",Progetti!Q97)</f>
        <v/>
      </c>
      <c r="L99" s="39" t="str">
        <f>IF(OR(Progetti!E97="",Progetti!R97=""),"",Progetti!R97)</f>
        <v/>
      </c>
      <c r="M99" s="14" t="str">
        <f>IF(OR(Progetti!E97="",Progetti!V97=""),"",Progetti!V97)</f>
        <v/>
      </c>
      <c r="N99" s="14" t="str">
        <f>IF(OR(Progetti!E97="",Progetti!W97=""),"",Progetti!W97)</f>
        <v/>
      </c>
      <c r="O99" s="14" t="str">
        <f>IF(OR(Progetti!E97="",Progetti!X97=""),"",Progetti!X97)</f>
        <v/>
      </c>
      <c r="P99" s="14" t="str">
        <f>IF(OR(Progetti!E97="",Progetti!Y97=""),"",Progetti!Y97)</f>
        <v/>
      </c>
      <c r="Q99" s="14" t="str">
        <f>IF(OR(Progetti!E97="",Progetti!Z97=""),"",Progetti!Z97)</f>
        <v/>
      </c>
      <c r="R99" s="14" t="str">
        <f>IF(OR(Progetti!E97="",Progetti!AA97=""),"",Progetti!AA97)</f>
        <v/>
      </c>
      <c r="S99" s="14" t="str">
        <f>IF(OR(Progetti!E97="",Progetti!AB97=""),"",Progetti!AB97)</f>
        <v/>
      </c>
      <c r="T99" s="14" t="str">
        <f>IF(OR(Progetti!E97="",Progetti!AC97=""),"",Progetti!AC97)</f>
        <v/>
      </c>
      <c r="U99" s="14" t="str">
        <f>IF(OR(Progetti!E97="",Progetti!AD97=""),"",Progetti!AD97)</f>
        <v/>
      </c>
      <c r="V99" s="14" t="str">
        <f>IF(OR(Progetti!E97="",Progetti!AE97=""),"",Progetti!AE97)</f>
        <v/>
      </c>
      <c r="W99" s="14" t="str">
        <f>IF(OR(Progetti!E97="",Progetti!AF97=""),"",Progetti!AF97)</f>
        <v/>
      </c>
      <c r="X99" s="14" t="str">
        <f>IF(OR(Progetti!E97="",Progetti!AG97=""),"",Progetti!AG97)</f>
        <v/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</row>
    <row r="100" spans="1:84" x14ac:dyDescent="0.35">
      <c r="A100" s="29" t="str">
        <f>IF(Progetti!E98="","",Progetti!A98)</f>
        <v/>
      </c>
      <c r="B100" s="29" t="str">
        <f>IF(Progetti!F98="","",Progetti!B98)</f>
        <v/>
      </c>
      <c r="C100" s="29" t="str">
        <f>IF(Progetti!E98="","",Progetti!C98)</f>
        <v/>
      </c>
      <c r="D100" s="29" t="str">
        <f>IF(Progetti!F98="","",Progetti!D98)</f>
        <v/>
      </c>
      <c r="E100" s="29" t="str">
        <f>IF(Progetti!E98="","",Progetti!E98)</f>
        <v/>
      </c>
      <c r="F100" s="40" t="str">
        <f>IF(Progetti!K98="","",Progetti!K98)</f>
        <v/>
      </c>
      <c r="G100" s="40" t="str">
        <f>IF(Progetti!L98="","",Progetti!L98)</f>
        <v/>
      </c>
      <c r="H100" s="29" t="str">
        <f>IF(Progetti!E98="","",Progetti!N98)</f>
        <v/>
      </c>
      <c r="I100" s="29" t="str">
        <f>IF(Progetti!E98="","",Progetti!M98)</f>
        <v/>
      </c>
      <c r="J100" s="38" t="str">
        <f>IF(Progetti!E98="","",Progetti!I98)</f>
        <v/>
      </c>
      <c r="K100" s="39" t="str">
        <f>IF(OR(Progetti!E98="",Progetti!Q98=""),"",Progetti!Q98)</f>
        <v/>
      </c>
      <c r="L100" s="39" t="str">
        <f>IF(OR(Progetti!E98="",Progetti!R98=""),"",Progetti!R98)</f>
        <v/>
      </c>
      <c r="M100" s="14" t="str">
        <f>IF(OR(Progetti!E98="",Progetti!V98=""),"",Progetti!V98)</f>
        <v/>
      </c>
      <c r="N100" s="14" t="str">
        <f>IF(OR(Progetti!E98="",Progetti!W98=""),"",Progetti!W98)</f>
        <v/>
      </c>
      <c r="O100" s="14" t="str">
        <f>IF(OR(Progetti!E98="",Progetti!X98=""),"",Progetti!X98)</f>
        <v/>
      </c>
      <c r="P100" s="14" t="str">
        <f>IF(OR(Progetti!E98="",Progetti!Y98=""),"",Progetti!Y98)</f>
        <v/>
      </c>
      <c r="Q100" s="14" t="str">
        <f>IF(OR(Progetti!E98="",Progetti!Z98=""),"",Progetti!Z98)</f>
        <v/>
      </c>
      <c r="R100" s="14" t="str">
        <f>IF(OR(Progetti!E98="",Progetti!AA98=""),"",Progetti!AA98)</f>
        <v/>
      </c>
      <c r="S100" s="14" t="str">
        <f>IF(OR(Progetti!E98="",Progetti!AB98=""),"",Progetti!AB98)</f>
        <v/>
      </c>
      <c r="T100" s="14" t="str">
        <f>IF(OR(Progetti!E98="",Progetti!AC98=""),"",Progetti!AC98)</f>
        <v/>
      </c>
      <c r="U100" s="14" t="str">
        <f>IF(OR(Progetti!E98="",Progetti!AD98=""),"",Progetti!AD98)</f>
        <v/>
      </c>
      <c r="V100" s="14" t="str">
        <f>IF(OR(Progetti!E98="",Progetti!AE98=""),"",Progetti!AE98)</f>
        <v/>
      </c>
      <c r="W100" s="14" t="str">
        <f>IF(OR(Progetti!E98="",Progetti!AF98=""),"",Progetti!AF98)</f>
        <v/>
      </c>
      <c r="X100" s="14" t="str">
        <f>IF(OR(Progetti!E98="",Progetti!AG98=""),"",Progetti!AG98)</f>
        <v/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</row>
    <row r="101" spans="1:84" x14ac:dyDescent="0.35">
      <c r="A101" s="29" t="str">
        <f>IF(Progetti!E99="","",Progetti!A99)</f>
        <v/>
      </c>
      <c r="B101" s="29" t="str">
        <f>IF(Progetti!F99="","",Progetti!B99)</f>
        <v/>
      </c>
      <c r="C101" s="29" t="str">
        <f>IF(Progetti!E99="","",Progetti!C99)</f>
        <v/>
      </c>
      <c r="D101" s="29" t="str">
        <f>IF(Progetti!F99="","",Progetti!D99)</f>
        <v/>
      </c>
      <c r="E101" s="29" t="str">
        <f>IF(Progetti!E99="","",Progetti!E99)</f>
        <v/>
      </c>
      <c r="F101" s="40" t="str">
        <f>IF(Progetti!K99="","",Progetti!K99)</f>
        <v/>
      </c>
      <c r="G101" s="40" t="str">
        <f>IF(Progetti!L99="","",Progetti!L99)</f>
        <v/>
      </c>
      <c r="H101" s="29" t="str">
        <f>IF(Progetti!E99="","",Progetti!N99)</f>
        <v/>
      </c>
      <c r="I101" s="29" t="str">
        <f>IF(Progetti!E99="","",Progetti!M99)</f>
        <v/>
      </c>
      <c r="J101" s="38" t="str">
        <f>IF(Progetti!E99="","",Progetti!I99)</f>
        <v/>
      </c>
      <c r="K101" s="39" t="str">
        <f>IF(OR(Progetti!E99="",Progetti!Q99=""),"",Progetti!Q99)</f>
        <v/>
      </c>
      <c r="L101" s="39" t="str">
        <f>IF(OR(Progetti!E99="",Progetti!R99=""),"",Progetti!R99)</f>
        <v/>
      </c>
      <c r="M101" s="14" t="str">
        <f>IF(OR(Progetti!E99="",Progetti!V99=""),"",Progetti!V99)</f>
        <v/>
      </c>
      <c r="N101" s="14" t="str">
        <f>IF(OR(Progetti!E99="",Progetti!W99=""),"",Progetti!W99)</f>
        <v/>
      </c>
      <c r="O101" s="14" t="str">
        <f>IF(OR(Progetti!E99="",Progetti!X99=""),"",Progetti!X99)</f>
        <v/>
      </c>
      <c r="P101" s="14" t="str">
        <f>IF(OR(Progetti!E99="",Progetti!Y99=""),"",Progetti!Y99)</f>
        <v/>
      </c>
      <c r="Q101" s="14" t="str">
        <f>IF(OR(Progetti!E99="",Progetti!Z99=""),"",Progetti!Z99)</f>
        <v/>
      </c>
      <c r="R101" s="14" t="str">
        <f>IF(OR(Progetti!E99="",Progetti!AA99=""),"",Progetti!AA99)</f>
        <v/>
      </c>
      <c r="S101" s="14" t="str">
        <f>IF(OR(Progetti!E99="",Progetti!AB99=""),"",Progetti!AB99)</f>
        <v/>
      </c>
      <c r="T101" s="14" t="str">
        <f>IF(OR(Progetti!E99="",Progetti!AC99=""),"",Progetti!AC99)</f>
        <v/>
      </c>
      <c r="U101" s="14" t="str">
        <f>IF(OR(Progetti!E99="",Progetti!AD99=""),"",Progetti!AD99)</f>
        <v/>
      </c>
      <c r="V101" s="14" t="str">
        <f>IF(OR(Progetti!E99="",Progetti!AE99=""),"",Progetti!AE99)</f>
        <v/>
      </c>
      <c r="W101" s="14" t="str">
        <f>IF(OR(Progetti!E99="",Progetti!AF99=""),"",Progetti!AF99)</f>
        <v/>
      </c>
      <c r="X101" s="14" t="str">
        <f>IF(OR(Progetti!E99="",Progetti!AG99=""),"",Progetti!AG99)</f>
        <v/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</row>
    <row r="102" spans="1:84" x14ac:dyDescent="0.35">
      <c r="A102" s="29" t="str">
        <f>IF(Progetti!E100="","",Progetti!A100)</f>
        <v/>
      </c>
      <c r="B102" s="29" t="str">
        <f>IF(Progetti!F100="","",Progetti!B100)</f>
        <v/>
      </c>
      <c r="C102" s="29" t="str">
        <f>IF(Progetti!E100="","",Progetti!C100)</f>
        <v/>
      </c>
      <c r="D102" s="29" t="str">
        <f>IF(Progetti!F100="","",Progetti!D100)</f>
        <v/>
      </c>
      <c r="E102" s="29" t="str">
        <f>IF(Progetti!E100="","",Progetti!E100)</f>
        <v/>
      </c>
      <c r="F102" s="40" t="str">
        <f>IF(Progetti!K100="","",Progetti!K100)</f>
        <v/>
      </c>
      <c r="G102" s="40" t="str">
        <f>IF(Progetti!L100="","",Progetti!L100)</f>
        <v/>
      </c>
      <c r="H102" s="29" t="str">
        <f>IF(Progetti!E100="","",Progetti!N100)</f>
        <v/>
      </c>
      <c r="I102" s="29" t="str">
        <f>IF(Progetti!E100="","",Progetti!M100)</f>
        <v/>
      </c>
      <c r="J102" s="38" t="str">
        <f>IF(Progetti!E100="","",Progetti!I100)</f>
        <v/>
      </c>
      <c r="K102" s="39" t="str">
        <f>IF(OR(Progetti!E100="",Progetti!Q100=""),"",Progetti!Q100)</f>
        <v/>
      </c>
      <c r="L102" s="39" t="str">
        <f>IF(OR(Progetti!E100="",Progetti!R100=""),"",Progetti!R100)</f>
        <v/>
      </c>
      <c r="M102" s="14" t="str">
        <f>IF(OR(Progetti!E100="",Progetti!V100=""),"",Progetti!V100)</f>
        <v/>
      </c>
      <c r="N102" s="14" t="str">
        <f>IF(OR(Progetti!E100="",Progetti!W100=""),"",Progetti!W100)</f>
        <v/>
      </c>
      <c r="O102" s="14" t="str">
        <f>IF(OR(Progetti!E100="",Progetti!X100=""),"",Progetti!X100)</f>
        <v/>
      </c>
      <c r="P102" s="14" t="str">
        <f>IF(OR(Progetti!E100="",Progetti!Y100=""),"",Progetti!Y100)</f>
        <v/>
      </c>
      <c r="Q102" s="14" t="str">
        <f>IF(OR(Progetti!E100="",Progetti!Z100=""),"",Progetti!Z100)</f>
        <v/>
      </c>
      <c r="R102" s="14" t="str">
        <f>IF(OR(Progetti!E100="",Progetti!AA100=""),"",Progetti!AA100)</f>
        <v/>
      </c>
      <c r="S102" s="14" t="str">
        <f>IF(OR(Progetti!E100="",Progetti!AB100=""),"",Progetti!AB100)</f>
        <v/>
      </c>
      <c r="T102" s="14" t="str">
        <f>IF(OR(Progetti!E100="",Progetti!AC100=""),"",Progetti!AC100)</f>
        <v/>
      </c>
      <c r="U102" s="14" t="str">
        <f>IF(OR(Progetti!E100="",Progetti!AD100=""),"",Progetti!AD100)</f>
        <v/>
      </c>
      <c r="V102" s="14" t="str">
        <f>IF(OR(Progetti!E100="",Progetti!AE100=""),"",Progetti!AE100)</f>
        <v/>
      </c>
      <c r="W102" s="14" t="str">
        <f>IF(OR(Progetti!E100="",Progetti!AF100=""),"",Progetti!AF100)</f>
        <v/>
      </c>
      <c r="X102" s="14" t="str">
        <f>IF(OR(Progetti!E100="",Progetti!AG100=""),"",Progetti!AG100)</f>
        <v/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</row>
    <row r="103" spans="1:84" x14ac:dyDescent="0.35">
      <c r="A103" s="29" t="str">
        <f>IF(Progetti!E101="","",Progetti!A101)</f>
        <v/>
      </c>
      <c r="B103" s="29" t="str">
        <f>IF(Progetti!F101="","",Progetti!B101)</f>
        <v/>
      </c>
      <c r="C103" s="29" t="str">
        <f>IF(Progetti!E101="","",Progetti!C101)</f>
        <v/>
      </c>
      <c r="D103" s="29" t="str">
        <f>IF(Progetti!F101="","",Progetti!D101)</f>
        <v/>
      </c>
      <c r="E103" s="29" t="str">
        <f>IF(Progetti!E101="","",Progetti!E101)</f>
        <v/>
      </c>
      <c r="F103" s="40" t="str">
        <f>IF(Progetti!K101="","",Progetti!K101)</f>
        <v/>
      </c>
      <c r="G103" s="40" t="str">
        <f>IF(Progetti!L101="","",Progetti!L101)</f>
        <v/>
      </c>
      <c r="H103" s="29" t="str">
        <f>IF(Progetti!E101="","",Progetti!N101)</f>
        <v/>
      </c>
      <c r="I103" s="29" t="str">
        <f>IF(Progetti!E101="","",Progetti!M101)</f>
        <v/>
      </c>
      <c r="J103" s="38" t="str">
        <f>IF(Progetti!E101="","",Progetti!I101)</f>
        <v/>
      </c>
      <c r="K103" s="39" t="str">
        <f>IF(OR(Progetti!E101="",Progetti!Q101=""),"",Progetti!Q101)</f>
        <v/>
      </c>
      <c r="L103" s="39" t="str">
        <f>IF(OR(Progetti!E101="",Progetti!R101=""),"",Progetti!R101)</f>
        <v/>
      </c>
      <c r="M103" s="14" t="str">
        <f>IF(OR(Progetti!E101="",Progetti!V101=""),"",Progetti!V101)</f>
        <v/>
      </c>
      <c r="N103" s="14" t="str">
        <f>IF(OR(Progetti!E101="",Progetti!W101=""),"",Progetti!W101)</f>
        <v/>
      </c>
      <c r="O103" s="14" t="str">
        <f>IF(OR(Progetti!E101="",Progetti!X101=""),"",Progetti!X101)</f>
        <v/>
      </c>
      <c r="P103" s="14" t="str">
        <f>IF(OR(Progetti!E101="",Progetti!Y101=""),"",Progetti!Y101)</f>
        <v/>
      </c>
      <c r="Q103" s="14" t="str">
        <f>IF(OR(Progetti!E101="",Progetti!Z101=""),"",Progetti!Z101)</f>
        <v/>
      </c>
      <c r="R103" s="14" t="str">
        <f>IF(OR(Progetti!E101="",Progetti!AA101=""),"",Progetti!AA101)</f>
        <v/>
      </c>
      <c r="S103" s="14" t="str">
        <f>IF(OR(Progetti!E101="",Progetti!AB101=""),"",Progetti!AB101)</f>
        <v/>
      </c>
      <c r="T103" s="14" t="str">
        <f>IF(OR(Progetti!E101="",Progetti!AC101=""),"",Progetti!AC101)</f>
        <v/>
      </c>
      <c r="U103" s="14" t="str">
        <f>IF(OR(Progetti!E101="",Progetti!AD101=""),"",Progetti!AD101)</f>
        <v/>
      </c>
      <c r="V103" s="14" t="str">
        <f>IF(OR(Progetti!E101="",Progetti!AE101=""),"",Progetti!AE101)</f>
        <v/>
      </c>
      <c r="W103" s="14" t="str">
        <f>IF(OR(Progetti!E101="",Progetti!AF101=""),"",Progetti!AF101)</f>
        <v/>
      </c>
      <c r="X103" s="14" t="str">
        <f>IF(OR(Progetti!E101="",Progetti!AG101=""),"",Progetti!AG101)</f>
        <v/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</row>
    <row r="104" spans="1:84" x14ac:dyDescent="0.35">
      <c r="A104" s="29" t="str">
        <f>IF(Progetti!E102="","",Progetti!A102)</f>
        <v/>
      </c>
      <c r="B104" s="29" t="str">
        <f>IF(Progetti!F102="","",Progetti!B102)</f>
        <v/>
      </c>
      <c r="C104" s="29" t="str">
        <f>IF(Progetti!E102="","",Progetti!C102)</f>
        <v/>
      </c>
      <c r="D104" s="29" t="str">
        <f>IF(Progetti!F102="","",Progetti!D102)</f>
        <v/>
      </c>
      <c r="E104" s="29" t="str">
        <f>IF(Progetti!E102="","",Progetti!E102)</f>
        <v/>
      </c>
      <c r="F104" s="40" t="str">
        <f>IF(Progetti!K102="","",Progetti!K102)</f>
        <v/>
      </c>
      <c r="G104" s="40" t="str">
        <f>IF(Progetti!L102="","",Progetti!L102)</f>
        <v/>
      </c>
      <c r="H104" s="29" t="str">
        <f>IF(Progetti!E102="","",Progetti!N102)</f>
        <v/>
      </c>
      <c r="I104" s="29" t="str">
        <f>IF(Progetti!E102="","",Progetti!M102)</f>
        <v/>
      </c>
      <c r="J104" s="38" t="str">
        <f>IF(Progetti!E102="","",Progetti!I102)</f>
        <v/>
      </c>
      <c r="K104" s="39" t="str">
        <f>IF(OR(Progetti!E102="",Progetti!Q102=""),"",Progetti!Q102)</f>
        <v/>
      </c>
      <c r="L104" s="39" t="str">
        <f>IF(OR(Progetti!E102="",Progetti!R102=""),"",Progetti!R102)</f>
        <v/>
      </c>
      <c r="M104" s="14" t="str">
        <f>IF(OR(Progetti!E102="",Progetti!V102=""),"",Progetti!V102)</f>
        <v/>
      </c>
      <c r="N104" s="14" t="str">
        <f>IF(OR(Progetti!E102="",Progetti!W102=""),"",Progetti!W102)</f>
        <v/>
      </c>
      <c r="O104" s="14" t="str">
        <f>IF(OR(Progetti!E102="",Progetti!X102=""),"",Progetti!X102)</f>
        <v/>
      </c>
      <c r="P104" s="14" t="str">
        <f>IF(OR(Progetti!E102="",Progetti!Y102=""),"",Progetti!Y102)</f>
        <v/>
      </c>
      <c r="Q104" s="14" t="str">
        <f>IF(OR(Progetti!E102="",Progetti!Z102=""),"",Progetti!Z102)</f>
        <v/>
      </c>
      <c r="R104" s="14" t="str">
        <f>IF(OR(Progetti!E102="",Progetti!AA102=""),"",Progetti!AA102)</f>
        <v/>
      </c>
      <c r="S104" s="14" t="str">
        <f>IF(OR(Progetti!E102="",Progetti!AB102=""),"",Progetti!AB102)</f>
        <v/>
      </c>
      <c r="T104" s="14" t="str">
        <f>IF(OR(Progetti!E102="",Progetti!AC102=""),"",Progetti!AC102)</f>
        <v/>
      </c>
      <c r="U104" s="14" t="str">
        <f>IF(OR(Progetti!E102="",Progetti!AD102=""),"",Progetti!AD102)</f>
        <v/>
      </c>
      <c r="V104" s="14" t="str">
        <f>IF(OR(Progetti!E102="",Progetti!AE102=""),"",Progetti!AE102)</f>
        <v/>
      </c>
      <c r="W104" s="14" t="str">
        <f>IF(OR(Progetti!E102="",Progetti!AF102=""),"",Progetti!AF102)</f>
        <v/>
      </c>
      <c r="X104" s="14" t="str">
        <f>IF(OR(Progetti!E102="",Progetti!AG102=""),"",Progetti!AG102)</f>
        <v/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</row>
    <row r="105" spans="1:84" x14ac:dyDescent="0.35">
      <c r="A105" s="29" t="str">
        <f>IF(Progetti!E103="","",Progetti!A103)</f>
        <v/>
      </c>
      <c r="B105" s="29" t="str">
        <f>IF(Progetti!F103="","",Progetti!B103)</f>
        <v/>
      </c>
      <c r="C105" s="29" t="str">
        <f>IF(Progetti!E103="","",Progetti!C103)</f>
        <v/>
      </c>
      <c r="D105" s="29" t="str">
        <f>IF(Progetti!F103="","",Progetti!D103)</f>
        <v/>
      </c>
      <c r="E105" s="29" t="str">
        <f>IF(Progetti!E103="","",Progetti!E103)</f>
        <v/>
      </c>
      <c r="F105" s="40" t="str">
        <f>IF(Progetti!K103="","",Progetti!K103)</f>
        <v/>
      </c>
      <c r="G105" s="40" t="str">
        <f>IF(Progetti!L103="","",Progetti!L103)</f>
        <v/>
      </c>
      <c r="H105" s="29" t="str">
        <f>IF(Progetti!E103="","",Progetti!N103)</f>
        <v/>
      </c>
      <c r="I105" s="29" t="str">
        <f>IF(Progetti!E103="","",Progetti!M103)</f>
        <v/>
      </c>
      <c r="J105" s="38" t="str">
        <f>IF(Progetti!E103="","",Progetti!I103)</f>
        <v/>
      </c>
      <c r="K105" s="39" t="str">
        <f>IF(OR(Progetti!E103="",Progetti!Q103=""),"",Progetti!Q103)</f>
        <v/>
      </c>
      <c r="L105" s="39" t="str">
        <f>IF(OR(Progetti!E103="",Progetti!R103=""),"",Progetti!R103)</f>
        <v/>
      </c>
      <c r="M105" s="14" t="str">
        <f>IF(OR(Progetti!E103="",Progetti!V103=""),"",Progetti!V103)</f>
        <v/>
      </c>
      <c r="N105" s="14" t="str">
        <f>IF(OR(Progetti!E103="",Progetti!W103=""),"",Progetti!W103)</f>
        <v/>
      </c>
      <c r="O105" s="14" t="str">
        <f>IF(OR(Progetti!E103="",Progetti!X103=""),"",Progetti!X103)</f>
        <v/>
      </c>
      <c r="P105" s="14" t="str">
        <f>IF(OR(Progetti!E103="",Progetti!Y103=""),"",Progetti!Y103)</f>
        <v/>
      </c>
      <c r="Q105" s="14" t="str">
        <f>IF(OR(Progetti!E103="",Progetti!Z103=""),"",Progetti!Z103)</f>
        <v/>
      </c>
      <c r="R105" s="14" t="str">
        <f>IF(OR(Progetti!E103="",Progetti!AA103=""),"",Progetti!AA103)</f>
        <v/>
      </c>
      <c r="S105" s="14" t="str">
        <f>IF(OR(Progetti!E103="",Progetti!AB103=""),"",Progetti!AB103)</f>
        <v/>
      </c>
      <c r="T105" s="14" t="str">
        <f>IF(OR(Progetti!E103="",Progetti!AC103=""),"",Progetti!AC103)</f>
        <v/>
      </c>
      <c r="U105" s="14" t="str">
        <f>IF(OR(Progetti!E103="",Progetti!AD103=""),"",Progetti!AD103)</f>
        <v/>
      </c>
      <c r="V105" s="14" t="str">
        <f>IF(OR(Progetti!E103="",Progetti!AE103=""),"",Progetti!AE103)</f>
        <v/>
      </c>
      <c r="W105" s="14" t="str">
        <f>IF(OR(Progetti!E103="",Progetti!AF103=""),"",Progetti!AF103)</f>
        <v/>
      </c>
      <c r="X105" s="14" t="str">
        <f>IF(OR(Progetti!E103="",Progetti!AG103=""),"",Progetti!AG103)</f>
        <v/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</row>
    <row r="106" spans="1:84" x14ac:dyDescent="0.35">
      <c r="A106" s="29" t="str">
        <f>IF(Progetti!E104="","",Progetti!A104)</f>
        <v/>
      </c>
      <c r="B106" s="29" t="str">
        <f>IF(Progetti!F104="","",Progetti!B104)</f>
        <v/>
      </c>
      <c r="C106" s="29" t="str">
        <f>IF(Progetti!E104="","",Progetti!C104)</f>
        <v/>
      </c>
      <c r="D106" s="29" t="str">
        <f>IF(Progetti!F104="","",Progetti!D104)</f>
        <v/>
      </c>
      <c r="E106" s="29" t="str">
        <f>IF(Progetti!E104="","",Progetti!E104)</f>
        <v/>
      </c>
      <c r="F106" s="40" t="str">
        <f>IF(Progetti!K104="","",Progetti!K104)</f>
        <v/>
      </c>
      <c r="G106" s="40" t="str">
        <f>IF(Progetti!L104="","",Progetti!L104)</f>
        <v/>
      </c>
      <c r="H106" s="29" t="str">
        <f>IF(Progetti!E104="","",Progetti!N104)</f>
        <v/>
      </c>
      <c r="I106" s="29" t="str">
        <f>IF(Progetti!E104="","",Progetti!M104)</f>
        <v/>
      </c>
      <c r="J106" s="38" t="str">
        <f>IF(Progetti!E104="","",Progetti!I104)</f>
        <v/>
      </c>
      <c r="K106" s="39" t="str">
        <f>IF(OR(Progetti!E104="",Progetti!Q104=""),"",Progetti!Q104)</f>
        <v/>
      </c>
      <c r="L106" s="39" t="str">
        <f>IF(OR(Progetti!E104="",Progetti!R104=""),"",Progetti!R104)</f>
        <v/>
      </c>
      <c r="M106" s="14" t="str">
        <f>IF(OR(Progetti!E104="",Progetti!V104=""),"",Progetti!V104)</f>
        <v/>
      </c>
      <c r="N106" s="14" t="str">
        <f>IF(OR(Progetti!E104="",Progetti!W104=""),"",Progetti!W104)</f>
        <v/>
      </c>
      <c r="O106" s="14" t="str">
        <f>IF(OR(Progetti!E104="",Progetti!X104=""),"",Progetti!X104)</f>
        <v/>
      </c>
      <c r="P106" s="14" t="str">
        <f>IF(OR(Progetti!E104="",Progetti!Y104=""),"",Progetti!Y104)</f>
        <v/>
      </c>
      <c r="Q106" s="14" t="str">
        <f>IF(OR(Progetti!E104="",Progetti!Z104=""),"",Progetti!Z104)</f>
        <v/>
      </c>
      <c r="R106" s="14" t="str">
        <f>IF(OR(Progetti!E104="",Progetti!AA104=""),"",Progetti!AA104)</f>
        <v/>
      </c>
      <c r="S106" s="14" t="str">
        <f>IF(OR(Progetti!E104="",Progetti!AB104=""),"",Progetti!AB104)</f>
        <v/>
      </c>
      <c r="T106" s="14" t="str">
        <f>IF(OR(Progetti!E104="",Progetti!AC104=""),"",Progetti!AC104)</f>
        <v/>
      </c>
      <c r="U106" s="14" t="str">
        <f>IF(OR(Progetti!E104="",Progetti!AD104=""),"",Progetti!AD104)</f>
        <v/>
      </c>
      <c r="V106" s="14" t="str">
        <f>IF(OR(Progetti!E104="",Progetti!AE104=""),"",Progetti!AE104)</f>
        <v/>
      </c>
      <c r="W106" s="14" t="str">
        <f>IF(OR(Progetti!E104="",Progetti!AF104=""),"",Progetti!AF104)</f>
        <v/>
      </c>
      <c r="X106" s="14" t="str">
        <f>IF(OR(Progetti!E104="",Progetti!AG104=""),"",Progetti!AG104)</f>
        <v/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</row>
    <row r="107" spans="1:84" x14ac:dyDescent="0.35">
      <c r="A107" s="29" t="str">
        <f>IF(Progetti!E105="","",Progetti!A105)</f>
        <v/>
      </c>
      <c r="B107" s="29" t="str">
        <f>IF(Progetti!F105="","",Progetti!B105)</f>
        <v/>
      </c>
      <c r="C107" s="29" t="str">
        <f>IF(Progetti!E105="","",Progetti!C105)</f>
        <v/>
      </c>
      <c r="D107" s="29" t="str">
        <f>IF(Progetti!F105="","",Progetti!D105)</f>
        <v/>
      </c>
      <c r="E107" s="29" t="str">
        <f>IF(Progetti!E105="","",Progetti!E105)</f>
        <v/>
      </c>
      <c r="F107" s="40" t="str">
        <f>IF(Progetti!K105="","",Progetti!K105)</f>
        <v/>
      </c>
      <c r="G107" s="40" t="str">
        <f>IF(Progetti!L105="","",Progetti!L105)</f>
        <v/>
      </c>
      <c r="H107" s="29" t="str">
        <f>IF(Progetti!E105="","",Progetti!N105)</f>
        <v/>
      </c>
      <c r="I107" s="29" t="str">
        <f>IF(Progetti!E105="","",Progetti!M105)</f>
        <v/>
      </c>
      <c r="J107" s="38" t="str">
        <f>IF(Progetti!E105="","",Progetti!I105)</f>
        <v/>
      </c>
      <c r="K107" s="39" t="str">
        <f>IF(OR(Progetti!E105="",Progetti!Q105=""),"",Progetti!Q105)</f>
        <v/>
      </c>
      <c r="L107" s="39" t="str">
        <f>IF(OR(Progetti!E105="",Progetti!R105=""),"",Progetti!R105)</f>
        <v/>
      </c>
      <c r="M107" s="14" t="str">
        <f>IF(OR(Progetti!E105="",Progetti!V105=""),"",Progetti!V105)</f>
        <v/>
      </c>
      <c r="N107" s="14" t="str">
        <f>IF(OR(Progetti!E105="",Progetti!W105=""),"",Progetti!W105)</f>
        <v/>
      </c>
      <c r="O107" s="14" t="str">
        <f>IF(OR(Progetti!E105="",Progetti!X105=""),"",Progetti!X105)</f>
        <v/>
      </c>
      <c r="P107" s="14" t="str">
        <f>IF(OR(Progetti!E105="",Progetti!Y105=""),"",Progetti!Y105)</f>
        <v/>
      </c>
      <c r="Q107" s="14" t="str">
        <f>IF(OR(Progetti!E105="",Progetti!Z105=""),"",Progetti!Z105)</f>
        <v/>
      </c>
      <c r="R107" s="14" t="str">
        <f>IF(OR(Progetti!E105="",Progetti!AA105=""),"",Progetti!AA105)</f>
        <v/>
      </c>
      <c r="S107" s="14" t="str">
        <f>IF(OR(Progetti!E105="",Progetti!AB105=""),"",Progetti!AB105)</f>
        <v/>
      </c>
      <c r="T107" s="14" t="str">
        <f>IF(OR(Progetti!E105="",Progetti!AC105=""),"",Progetti!AC105)</f>
        <v/>
      </c>
      <c r="U107" s="14" t="str">
        <f>IF(OR(Progetti!E105="",Progetti!AD105=""),"",Progetti!AD105)</f>
        <v/>
      </c>
      <c r="V107" s="14" t="str">
        <f>IF(OR(Progetti!E105="",Progetti!AE105=""),"",Progetti!AE105)</f>
        <v/>
      </c>
      <c r="W107" s="14" t="str">
        <f>IF(OR(Progetti!E105="",Progetti!AF105=""),"",Progetti!AF105)</f>
        <v/>
      </c>
      <c r="X107" s="14" t="str">
        <f>IF(OR(Progetti!E105="",Progetti!AG105=""),"",Progetti!AG105)</f>
        <v/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</row>
    <row r="108" spans="1:84" x14ac:dyDescent="0.35">
      <c r="A108" s="29" t="str">
        <f>IF(Progetti!E106="","",Progetti!A106)</f>
        <v/>
      </c>
      <c r="B108" s="29" t="str">
        <f>IF(Progetti!F106="","",Progetti!B106)</f>
        <v/>
      </c>
      <c r="C108" s="29" t="str">
        <f>IF(Progetti!E106="","",Progetti!C106)</f>
        <v/>
      </c>
      <c r="D108" s="29" t="str">
        <f>IF(Progetti!F106="","",Progetti!D106)</f>
        <v/>
      </c>
      <c r="E108" s="29" t="str">
        <f>IF(Progetti!E106="","",Progetti!E106)</f>
        <v/>
      </c>
      <c r="F108" s="40" t="str">
        <f>IF(Progetti!K106="","",Progetti!K106)</f>
        <v/>
      </c>
      <c r="G108" s="40" t="str">
        <f>IF(Progetti!L106="","",Progetti!L106)</f>
        <v/>
      </c>
      <c r="H108" s="29" t="str">
        <f>IF(Progetti!E106="","",Progetti!N106)</f>
        <v/>
      </c>
      <c r="I108" s="29" t="str">
        <f>IF(Progetti!E106="","",Progetti!M106)</f>
        <v/>
      </c>
      <c r="J108" s="38" t="str">
        <f>IF(Progetti!E106="","",Progetti!I106)</f>
        <v/>
      </c>
      <c r="K108" s="39" t="str">
        <f>IF(OR(Progetti!E106="",Progetti!Q106=""),"",Progetti!Q106)</f>
        <v/>
      </c>
      <c r="L108" s="39" t="str">
        <f>IF(OR(Progetti!E106="",Progetti!R106=""),"",Progetti!R106)</f>
        <v/>
      </c>
      <c r="M108" s="14" t="str">
        <f>IF(OR(Progetti!E106="",Progetti!V106=""),"",Progetti!V106)</f>
        <v/>
      </c>
      <c r="N108" s="14" t="str">
        <f>IF(OR(Progetti!E106="",Progetti!W106=""),"",Progetti!W106)</f>
        <v/>
      </c>
      <c r="O108" s="14" t="str">
        <f>IF(OR(Progetti!E106="",Progetti!X106=""),"",Progetti!X106)</f>
        <v/>
      </c>
      <c r="P108" s="14" t="str">
        <f>IF(OR(Progetti!E106="",Progetti!Y106=""),"",Progetti!Y106)</f>
        <v/>
      </c>
      <c r="Q108" s="14" t="str">
        <f>IF(OR(Progetti!E106="",Progetti!Z106=""),"",Progetti!Z106)</f>
        <v/>
      </c>
      <c r="R108" s="14" t="str">
        <f>IF(OR(Progetti!E106="",Progetti!AA106=""),"",Progetti!AA106)</f>
        <v/>
      </c>
      <c r="S108" s="14" t="str">
        <f>IF(OR(Progetti!E106="",Progetti!AB106=""),"",Progetti!AB106)</f>
        <v/>
      </c>
      <c r="T108" s="14" t="str">
        <f>IF(OR(Progetti!E106="",Progetti!AC106=""),"",Progetti!AC106)</f>
        <v/>
      </c>
      <c r="U108" s="14" t="str">
        <f>IF(OR(Progetti!E106="",Progetti!AD106=""),"",Progetti!AD106)</f>
        <v/>
      </c>
      <c r="V108" s="14" t="str">
        <f>IF(OR(Progetti!E106="",Progetti!AE106=""),"",Progetti!AE106)</f>
        <v/>
      </c>
      <c r="W108" s="14" t="str">
        <f>IF(OR(Progetti!E106="",Progetti!AF106=""),"",Progetti!AF106)</f>
        <v/>
      </c>
      <c r="X108" s="14" t="str">
        <f>IF(OR(Progetti!E106="",Progetti!AG106=""),"",Progetti!AG106)</f>
        <v/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</row>
    <row r="109" spans="1:84" x14ac:dyDescent="0.35">
      <c r="A109" s="29" t="str">
        <f>IF(Progetti!E107="","",Progetti!A107)</f>
        <v/>
      </c>
      <c r="B109" s="29" t="str">
        <f>IF(Progetti!F107="","",Progetti!B107)</f>
        <v/>
      </c>
      <c r="C109" s="29" t="str">
        <f>IF(Progetti!E107="","",Progetti!C107)</f>
        <v/>
      </c>
      <c r="D109" s="29" t="str">
        <f>IF(Progetti!F107="","",Progetti!D107)</f>
        <v/>
      </c>
      <c r="E109" s="29" t="str">
        <f>IF(Progetti!E107="","",Progetti!E107)</f>
        <v/>
      </c>
      <c r="F109" s="40" t="str">
        <f>IF(Progetti!K107="","",Progetti!K107)</f>
        <v/>
      </c>
      <c r="G109" s="40" t="str">
        <f>IF(Progetti!L107="","",Progetti!L107)</f>
        <v/>
      </c>
      <c r="H109" s="29" t="str">
        <f>IF(Progetti!E107="","",Progetti!N107)</f>
        <v/>
      </c>
      <c r="I109" s="29" t="str">
        <f>IF(Progetti!E107="","",Progetti!M107)</f>
        <v/>
      </c>
      <c r="J109" s="38" t="str">
        <f>IF(Progetti!E107="","",Progetti!I107)</f>
        <v/>
      </c>
      <c r="K109" s="39" t="str">
        <f>IF(OR(Progetti!E107="",Progetti!Q107=""),"",Progetti!Q107)</f>
        <v/>
      </c>
      <c r="L109" s="39" t="str">
        <f>IF(OR(Progetti!E107="",Progetti!R107=""),"",Progetti!R107)</f>
        <v/>
      </c>
      <c r="M109" s="14" t="str">
        <f>IF(OR(Progetti!E107="",Progetti!V107=""),"",Progetti!V107)</f>
        <v/>
      </c>
      <c r="N109" s="14" t="str">
        <f>IF(OR(Progetti!E107="",Progetti!W107=""),"",Progetti!W107)</f>
        <v/>
      </c>
      <c r="O109" s="14" t="str">
        <f>IF(OR(Progetti!E107="",Progetti!X107=""),"",Progetti!X107)</f>
        <v/>
      </c>
      <c r="P109" s="14" t="str">
        <f>IF(OR(Progetti!E107="",Progetti!Y107=""),"",Progetti!Y107)</f>
        <v/>
      </c>
      <c r="Q109" s="14" t="str">
        <f>IF(OR(Progetti!E107="",Progetti!Z107=""),"",Progetti!Z107)</f>
        <v/>
      </c>
      <c r="R109" s="14" t="str">
        <f>IF(OR(Progetti!E107="",Progetti!AA107=""),"",Progetti!AA107)</f>
        <v/>
      </c>
      <c r="S109" s="14" t="str">
        <f>IF(OR(Progetti!E107="",Progetti!AB107=""),"",Progetti!AB107)</f>
        <v/>
      </c>
      <c r="T109" s="14" t="str">
        <f>IF(OR(Progetti!E107="",Progetti!AC107=""),"",Progetti!AC107)</f>
        <v/>
      </c>
      <c r="U109" s="14" t="str">
        <f>IF(OR(Progetti!E107="",Progetti!AD107=""),"",Progetti!AD107)</f>
        <v/>
      </c>
      <c r="V109" s="14" t="str">
        <f>IF(OR(Progetti!E107="",Progetti!AE107=""),"",Progetti!AE107)</f>
        <v/>
      </c>
      <c r="W109" s="14" t="str">
        <f>IF(OR(Progetti!E107="",Progetti!AF107=""),"",Progetti!AF107)</f>
        <v/>
      </c>
      <c r="X109" s="14" t="str">
        <f>IF(OR(Progetti!E107="",Progetti!AG107=""),"",Progetti!AG107)</f>
        <v/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</row>
    <row r="110" spans="1:84" x14ac:dyDescent="0.35">
      <c r="A110" s="29" t="str">
        <f>IF(Progetti!E108="","",Progetti!A108)</f>
        <v/>
      </c>
      <c r="B110" s="29" t="str">
        <f>IF(Progetti!F108="","",Progetti!B108)</f>
        <v/>
      </c>
      <c r="C110" s="29" t="str">
        <f>IF(Progetti!E108="","",Progetti!C108)</f>
        <v/>
      </c>
      <c r="D110" s="29" t="str">
        <f>IF(Progetti!F108="","",Progetti!D108)</f>
        <v/>
      </c>
      <c r="E110" s="29" t="str">
        <f>IF(Progetti!E108="","",Progetti!E108)</f>
        <v/>
      </c>
      <c r="F110" s="40" t="str">
        <f>IF(Progetti!K108="","",Progetti!K108)</f>
        <v/>
      </c>
      <c r="G110" s="40" t="str">
        <f>IF(Progetti!L108="","",Progetti!L108)</f>
        <v/>
      </c>
      <c r="H110" s="29" t="str">
        <f>IF(Progetti!E108="","",Progetti!N108)</f>
        <v/>
      </c>
      <c r="I110" s="29" t="str">
        <f>IF(Progetti!E108="","",Progetti!M108)</f>
        <v/>
      </c>
      <c r="J110" s="38" t="str">
        <f>IF(Progetti!E108="","",Progetti!I108)</f>
        <v/>
      </c>
      <c r="K110" s="39" t="str">
        <f>IF(OR(Progetti!E108="",Progetti!Q108=""),"",Progetti!Q108)</f>
        <v/>
      </c>
      <c r="L110" s="39" t="str">
        <f>IF(OR(Progetti!E108="",Progetti!R108=""),"",Progetti!R108)</f>
        <v/>
      </c>
      <c r="M110" s="14" t="str">
        <f>IF(OR(Progetti!E108="",Progetti!V108=""),"",Progetti!V108)</f>
        <v/>
      </c>
      <c r="N110" s="14" t="str">
        <f>IF(OR(Progetti!E108="",Progetti!W108=""),"",Progetti!W108)</f>
        <v/>
      </c>
      <c r="O110" s="14" t="str">
        <f>IF(OR(Progetti!E108="",Progetti!X108=""),"",Progetti!X108)</f>
        <v/>
      </c>
      <c r="P110" s="14" t="str">
        <f>IF(OR(Progetti!E108="",Progetti!Y108=""),"",Progetti!Y108)</f>
        <v/>
      </c>
      <c r="Q110" s="14" t="str">
        <f>IF(OR(Progetti!E108="",Progetti!Z108=""),"",Progetti!Z108)</f>
        <v/>
      </c>
      <c r="R110" s="14" t="str">
        <f>IF(OR(Progetti!E108="",Progetti!AA108=""),"",Progetti!AA108)</f>
        <v/>
      </c>
      <c r="S110" s="14" t="str">
        <f>IF(OR(Progetti!E108="",Progetti!AB108=""),"",Progetti!AB108)</f>
        <v/>
      </c>
      <c r="T110" s="14" t="str">
        <f>IF(OR(Progetti!E108="",Progetti!AC108=""),"",Progetti!AC108)</f>
        <v/>
      </c>
      <c r="U110" s="14" t="str">
        <f>IF(OR(Progetti!E108="",Progetti!AD108=""),"",Progetti!AD108)</f>
        <v/>
      </c>
      <c r="V110" s="14" t="str">
        <f>IF(OR(Progetti!E108="",Progetti!AE108=""),"",Progetti!AE108)</f>
        <v/>
      </c>
      <c r="W110" s="14" t="str">
        <f>IF(OR(Progetti!E108="",Progetti!AF108=""),"",Progetti!AF108)</f>
        <v/>
      </c>
      <c r="X110" s="14" t="str">
        <f>IF(OR(Progetti!E108="",Progetti!AG108=""),"",Progetti!AG108)</f>
        <v/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</row>
    <row r="111" spans="1:84" x14ac:dyDescent="0.35">
      <c r="A111" s="29" t="str">
        <f>IF(Progetti!E109="","",Progetti!A109)</f>
        <v/>
      </c>
      <c r="B111" s="29" t="str">
        <f>IF(Progetti!F109="","",Progetti!B109)</f>
        <v/>
      </c>
      <c r="C111" s="29" t="str">
        <f>IF(Progetti!E109="","",Progetti!C109)</f>
        <v/>
      </c>
      <c r="D111" s="29" t="str">
        <f>IF(Progetti!F109="","",Progetti!D109)</f>
        <v/>
      </c>
      <c r="E111" s="29" t="str">
        <f>IF(Progetti!E109="","",Progetti!E109)</f>
        <v/>
      </c>
      <c r="F111" s="40" t="str">
        <f>IF(Progetti!K109="","",Progetti!K109)</f>
        <v/>
      </c>
      <c r="G111" s="40" t="str">
        <f>IF(Progetti!L109="","",Progetti!L109)</f>
        <v/>
      </c>
      <c r="H111" s="29" t="str">
        <f>IF(Progetti!E109="","",Progetti!N109)</f>
        <v/>
      </c>
      <c r="I111" s="29" t="str">
        <f>IF(Progetti!E109="","",Progetti!M109)</f>
        <v/>
      </c>
      <c r="J111" s="38" t="str">
        <f>IF(Progetti!E109="","",Progetti!I109)</f>
        <v/>
      </c>
      <c r="K111" s="39" t="str">
        <f>IF(OR(Progetti!E109="",Progetti!Q109=""),"",Progetti!Q109)</f>
        <v/>
      </c>
      <c r="L111" s="39" t="str">
        <f>IF(OR(Progetti!E109="",Progetti!R109=""),"",Progetti!R109)</f>
        <v/>
      </c>
      <c r="M111" s="14" t="str">
        <f>IF(OR(Progetti!E109="",Progetti!V109=""),"",Progetti!V109)</f>
        <v/>
      </c>
      <c r="N111" s="14" t="str">
        <f>IF(OR(Progetti!E109="",Progetti!W109=""),"",Progetti!W109)</f>
        <v/>
      </c>
      <c r="O111" s="14" t="str">
        <f>IF(OR(Progetti!E109="",Progetti!X109=""),"",Progetti!X109)</f>
        <v/>
      </c>
      <c r="P111" s="14" t="str">
        <f>IF(OR(Progetti!E109="",Progetti!Y109=""),"",Progetti!Y109)</f>
        <v/>
      </c>
      <c r="Q111" s="14" t="str">
        <f>IF(OR(Progetti!E109="",Progetti!Z109=""),"",Progetti!Z109)</f>
        <v/>
      </c>
      <c r="R111" s="14" t="str">
        <f>IF(OR(Progetti!E109="",Progetti!AA109=""),"",Progetti!AA109)</f>
        <v/>
      </c>
      <c r="S111" s="14" t="str">
        <f>IF(OR(Progetti!E109="",Progetti!AB109=""),"",Progetti!AB109)</f>
        <v/>
      </c>
      <c r="T111" s="14" t="str">
        <f>IF(OR(Progetti!E109="",Progetti!AC109=""),"",Progetti!AC109)</f>
        <v/>
      </c>
      <c r="U111" s="14" t="str">
        <f>IF(OR(Progetti!E109="",Progetti!AD109=""),"",Progetti!AD109)</f>
        <v/>
      </c>
      <c r="V111" s="14" t="str">
        <f>IF(OR(Progetti!E109="",Progetti!AE109=""),"",Progetti!AE109)</f>
        <v/>
      </c>
      <c r="W111" s="14" t="str">
        <f>IF(OR(Progetti!E109="",Progetti!AF109=""),"",Progetti!AF109)</f>
        <v/>
      </c>
      <c r="X111" s="14" t="str">
        <f>IF(OR(Progetti!E109="",Progetti!AG109=""),"",Progetti!AG109)</f>
        <v/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</row>
    <row r="112" spans="1:84" x14ac:dyDescent="0.35">
      <c r="A112" s="29" t="str">
        <f>IF(Progetti!E110="","",Progetti!A110)</f>
        <v/>
      </c>
      <c r="B112" s="29" t="str">
        <f>IF(Progetti!F110="","",Progetti!B110)</f>
        <v/>
      </c>
      <c r="C112" s="29" t="str">
        <f>IF(Progetti!E110="","",Progetti!C110)</f>
        <v/>
      </c>
      <c r="D112" s="29" t="str">
        <f>IF(Progetti!F110="","",Progetti!D110)</f>
        <v/>
      </c>
      <c r="E112" s="29" t="str">
        <f>IF(Progetti!E110="","",Progetti!E110)</f>
        <v/>
      </c>
      <c r="F112" s="40" t="str">
        <f>IF(Progetti!K110="","",Progetti!K110)</f>
        <v/>
      </c>
      <c r="G112" s="40" t="str">
        <f>IF(Progetti!L110="","",Progetti!L110)</f>
        <v/>
      </c>
      <c r="H112" s="29" t="str">
        <f>IF(Progetti!E110="","",Progetti!N110)</f>
        <v/>
      </c>
      <c r="I112" s="29" t="str">
        <f>IF(Progetti!E110="","",Progetti!M110)</f>
        <v/>
      </c>
      <c r="J112" s="38" t="str">
        <f>IF(Progetti!E110="","",Progetti!I110)</f>
        <v/>
      </c>
      <c r="K112" s="39" t="str">
        <f>IF(OR(Progetti!E110="",Progetti!Q110=""),"",Progetti!Q110)</f>
        <v/>
      </c>
      <c r="L112" s="39" t="str">
        <f>IF(OR(Progetti!E110="",Progetti!R110=""),"",Progetti!R110)</f>
        <v/>
      </c>
      <c r="M112" s="14" t="str">
        <f>IF(OR(Progetti!E110="",Progetti!V110=""),"",Progetti!V110)</f>
        <v/>
      </c>
      <c r="N112" s="14" t="str">
        <f>IF(OR(Progetti!E110="",Progetti!W110=""),"",Progetti!W110)</f>
        <v/>
      </c>
      <c r="O112" s="14" t="str">
        <f>IF(OR(Progetti!E110="",Progetti!X110=""),"",Progetti!X110)</f>
        <v/>
      </c>
      <c r="P112" s="14" t="str">
        <f>IF(OR(Progetti!E110="",Progetti!Y110=""),"",Progetti!Y110)</f>
        <v/>
      </c>
      <c r="Q112" s="14" t="str">
        <f>IF(OR(Progetti!E110="",Progetti!Z110=""),"",Progetti!Z110)</f>
        <v/>
      </c>
      <c r="R112" s="14" t="str">
        <f>IF(OR(Progetti!E110="",Progetti!AA110=""),"",Progetti!AA110)</f>
        <v/>
      </c>
      <c r="S112" s="14" t="str">
        <f>IF(OR(Progetti!E110="",Progetti!AB110=""),"",Progetti!AB110)</f>
        <v/>
      </c>
      <c r="T112" s="14" t="str">
        <f>IF(OR(Progetti!E110="",Progetti!AC110=""),"",Progetti!AC110)</f>
        <v/>
      </c>
      <c r="U112" s="14" t="str">
        <f>IF(OR(Progetti!E110="",Progetti!AD110=""),"",Progetti!AD110)</f>
        <v/>
      </c>
      <c r="V112" s="14" t="str">
        <f>IF(OR(Progetti!E110="",Progetti!AE110=""),"",Progetti!AE110)</f>
        <v/>
      </c>
      <c r="W112" s="14" t="str">
        <f>IF(OR(Progetti!E110="",Progetti!AF110=""),"",Progetti!AF110)</f>
        <v/>
      </c>
      <c r="X112" s="14" t="str">
        <f>IF(OR(Progetti!E110="",Progetti!AG110=""),"",Progetti!AG110)</f>
        <v/>
      </c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</row>
    <row r="113" spans="1:84" x14ac:dyDescent="0.35">
      <c r="A113" s="29" t="str">
        <f>IF(Progetti!E111="","",Progetti!A111)</f>
        <v/>
      </c>
      <c r="B113" s="29" t="str">
        <f>IF(Progetti!F111="","",Progetti!B111)</f>
        <v/>
      </c>
      <c r="C113" s="29" t="str">
        <f>IF(Progetti!E111="","",Progetti!C111)</f>
        <v/>
      </c>
      <c r="D113" s="29" t="str">
        <f>IF(Progetti!F111="","",Progetti!D111)</f>
        <v/>
      </c>
      <c r="E113" s="29" t="str">
        <f>IF(Progetti!E111="","",Progetti!E111)</f>
        <v/>
      </c>
      <c r="F113" s="40" t="str">
        <f>IF(Progetti!K111="","",Progetti!K111)</f>
        <v/>
      </c>
      <c r="G113" s="40" t="str">
        <f>IF(Progetti!L111="","",Progetti!L111)</f>
        <v/>
      </c>
      <c r="H113" s="29" t="str">
        <f>IF(Progetti!E111="","",Progetti!N111)</f>
        <v/>
      </c>
      <c r="I113" s="29" t="str">
        <f>IF(Progetti!E111="","",Progetti!M111)</f>
        <v/>
      </c>
      <c r="J113" s="38" t="str">
        <f>IF(Progetti!E111="","",Progetti!I111)</f>
        <v/>
      </c>
      <c r="K113" s="39" t="str">
        <f>IF(OR(Progetti!E111="",Progetti!Q111=""),"",Progetti!Q111)</f>
        <v/>
      </c>
      <c r="L113" s="39" t="str">
        <f>IF(OR(Progetti!E111="",Progetti!R111=""),"",Progetti!R111)</f>
        <v/>
      </c>
      <c r="M113" s="14" t="str">
        <f>IF(OR(Progetti!E111="",Progetti!V111=""),"",Progetti!V111)</f>
        <v/>
      </c>
      <c r="N113" s="14" t="str">
        <f>IF(OR(Progetti!E111="",Progetti!W111=""),"",Progetti!W111)</f>
        <v/>
      </c>
      <c r="O113" s="14" t="str">
        <f>IF(OR(Progetti!E111="",Progetti!X111=""),"",Progetti!X111)</f>
        <v/>
      </c>
      <c r="P113" s="14" t="str">
        <f>IF(OR(Progetti!E111="",Progetti!Y111=""),"",Progetti!Y111)</f>
        <v/>
      </c>
      <c r="Q113" s="14" t="str">
        <f>IF(OR(Progetti!E111="",Progetti!Z111=""),"",Progetti!Z111)</f>
        <v/>
      </c>
      <c r="R113" s="14" t="str">
        <f>IF(OR(Progetti!E111="",Progetti!AA111=""),"",Progetti!AA111)</f>
        <v/>
      </c>
      <c r="S113" s="14" t="str">
        <f>IF(OR(Progetti!E111="",Progetti!AB111=""),"",Progetti!AB111)</f>
        <v/>
      </c>
      <c r="T113" s="14" t="str">
        <f>IF(OR(Progetti!E111="",Progetti!AC111=""),"",Progetti!AC111)</f>
        <v/>
      </c>
      <c r="U113" s="14" t="str">
        <f>IF(OR(Progetti!E111="",Progetti!AD111=""),"",Progetti!AD111)</f>
        <v/>
      </c>
      <c r="V113" s="14" t="str">
        <f>IF(OR(Progetti!E111="",Progetti!AE111=""),"",Progetti!AE111)</f>
        <v/>
      </c>
      <c r="W113" s="14" t="str">
        <f>IF(OR(Progetti!E111="",Progetti!AF111=""),"",Progetti!AF111)</f>
        <v/>
      </c>
      <c r="X113" s="14" t="str">
        <f>IF(OR(Progetti!E111="",Progetti!AG111=""),"",Progetti!AG111)</f>
        <v/>
      </c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</row>
    <row r="114" spans="1:84" x14ac:dyDescent="0.35">
      <c r="A114" s="29" t="str">
        <f>IF(Progetti!E112="","",Progetti!A112)</f>
        <v/>
      </c>
      <c r="B114" s="29" t="str">
        <f>IF(Progetti!F112="","",Progetti!B112)</f>
        <v/>
      </c>
      <c r="C114" s="29" t="str">
        <f>IF(Progetti!E112="","",Progetti!C112)</f>
        <v/>
      </c>
      <c r="D114" s="29" t="str">
        <f>IF(Progetti!F112="","",Progetti!D112)</f>
        <v/>
      </c>
      <c r="E114" s="29" t="str">
        <f>IF(Progetti!E112="","",Progetti!E112)</f>
        <v/>
      </c>
      <c r="F114" s="40" t="str">
        <f>IF(Progetti!K112="","",Progetti!K112)</f>
        <v/>
      </c>
      <c r="G114" s="40" t="str">
        <f>IF(Progetti!L112="","",Progetti!L112)</f>
        <v/>
      </c>
      <c r="H114" s="29" t="str">
        <f>IF(Progetti!E112="","",Progetti!N112)</f>
        <v/>
      </c>
      <c r="I114" s="29" t="str">
        <f>IF(Progetti!E112="","",Progetti!M112)</f>
        <v/>
      </c>
      <c r="J114" s="38" t="str">
        <f>IF(Progetti!E112="","",Progetti!I112)</f>
        <v/>
      </c>
      <c r="K114" s="39" t="str">
        <f>IF(OR(Progetti!E112="",Progetti!Q112=""),"",Progetti!Q112)</f>
        <v/>
      </c>
      <c r="L114" s="39" t="str">
        <f>IF(OR(Progetti!E112="",Progetti!R112=""),"",Progetti!R112)</f>
        <v/>
      </c>
      <c r="M114" s="14" t="str">
        <f>IF(OR(Progetti!E112="",Progetti!V112=""),"",Progetti!V112)</f>
        <v/>
      </c>
      <c r="N114" s="14" t="str">
        <f>IF(OR(Progetti!E112="",Progetti!W112=""),"",Progetti!W112)</f>
        <v/>
      </c>
      <c r="O114" s="14" t="str">
        <f>IF(OR(Progetti!E112="",Progetti!X112=""),"",Progetti!X112)</f>
        <v/>
      </c>
      <c r="P114" s="14" t="str">
        <f>IF(OR(Progetti!E112="",Progetti!Y112=""),"",Progetti!Y112)</f>
        <v/>
      </c>
      <c r="Q114" s="14" t="str">
        <f>IF(OR(Progetti!E112="",Progetti!Z112=""),"",Progetti!Z112)</f>
        <v/>
      </c>
      <c r="R114" s="14" t="str">
        <f>IF(OR(Progetti!E112="",Progetti!AA112=""),"",Progetti!AA112)</f>
        <v/>
      </c>
      <c r="S114" s="14" t="str">
        <f>IF(OR(Progetti!E112="",Progetti!AB112=""),"",Progetti!AB112)</f>
        <v/>
      </c>
      <c r="T114" s="14" t="str">
        <f>IF(OR(Progetti!E112="",Progetti!AC112=""),"",Progetti!AC112)</f>
        <v/>
      </c>
      <c r="U114" s="14" t="str">
        <f>IF(OR(Progetti!E112="",Progetti!AD112=""),"",Progetti!AD112)</f>
        <v/>
      </c>
      <c r="V114" s="14" t="str">
        <f>IF(OR(Progetti!E112="",Progetti!AE112=""),"",Progetti!AE112)</f>
        <v/>
      </c>
      <c r="W114" s="14" t="str">
        <f>IF(OR(Progetti!E112="",Progetti!AF112=""),"",Progetti!AF112)</f>
        <v/>
      </c>
      <c r="X114" s="14" t="str">
        <f>IF(OR(Progetti!E112="",Progetti!AG112=""),"",Progetti!AG112)</f>
        <v/>
      </c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</row>
    <row r="115" spans="1:84" x14ac:dyDescent="0.35">
      <c r="A115" s="29" t="str">
        <f>IF(Progetti!E113="","",Progetti!A113)</f>
        <v/>
      </c>
      <c r="B115" s="29" t="str">
        <f>IF(Progetti!F113="","",Progetti!B113)</f>
        <v/>
      </c>
      <c r="C115" s="29" t="str">
        <f>IF(Progetti!E113="","",Progetti!C113)</f>
        <v/>
      </c>
      <c r="D115" s="29" t="str">
        <f>IF(Progetti!F113="","",Progetti!D113)</f>
        <v/>
      </c>
      <c r="E115" s="29" t="str">
        <f>IF(Progetti!E113="","",Progetti!E113)</f>
        <v/>
      </c>
      <c r="F115" s="40" t="str">
        <f>IF(Progetti!K113="","",Progetti!K113)</f>
        <v/>
      </c>
      <c r="G115" s="40" t="str">
        <f>IF(Progetti!L113="","",Progetti!L113)</f>
        <v/>
      </c>
      <c r="H115" s="29" t="str">
        <f>IF(Progetti!E113="","",Progetti!N113)</f>
        <v/>
      </c>
      <c r="I115" s="29" t="str">
        <f>IF(Progetti!E113="","",Progetti!M113)</f>
        <v/>
      </c>
      <c r="J115" s="38" t="str">
        <f>IF(Progetti!E113="","",Progetti!I113)</f>
        <v/>
      </c>
      <c r="K115" s="39" t="str">
        <f>IF(OR(Progetti!E113="",Progetti!Q113=""),"",Progetti!Q113)</f>
        <v/>
      </c>
      <c r="L115" s="39" t="str">
        <f>IF(OR(Progetti!E113="",Progetti!R113=""),"",Progetti!R113)</f>
        <v/>
      </c>
      <c r="M115" s="14" t="str">
        <f>IF(OR(Progetti!E113="",Progetti!V113=""),"",Progetti!V113)</f>
        <v/>
      </c>
      <c r="N115" s="14" t="str">
        <f>IF(OR(Progetti!E113="",Progetti!W113=""),"",Progetti!W113)</f>
        <v/>
      </c>
      <c r="O115" s="14" t="str">
        <f>IF(OR(Progetti!E113="",Progetti!X113=""),"",Progetti!X113)</f>
        <v/>
      </c>
      <c r="P115" s="14" t="str">
        <f>IF(OR(Progetti!E113="",Progetti!Y113=""),"",Progetti!Y113)</f>
        <v/>
      </c>
      <c r="Q115" s="14" t="str">
        <f>IF(OR(Progetti!E113="",Progetti!Z113=""),"",Progetti!Z113)</f>
        <v/>
      </c>
      <c r="R115" s="14" t="str">
        <f>IF(OR(Progetti!E113="",Progetti!AA113=""),"",Progetti!AA113)</f>
        <v/>
      </c>
      <c r="S115" s="14" t="str">
        <f>IF(OR(Progetti!E113="",Progetti!AB113=""),"",Progetti!AB113)</f>
        <v/>
      </c>
      <c r="T115" s="14" t="str">
        <f>IF(OR(Progetti!E113="",Progetti!AC113=""),"",Progetti!AC113)</f>
        <v/>
      </c>
      <c r="U115" s="14" t="str">
        <f>IF(OR(Progetti!E113="",Progetti!AD113=""),"",Progetti!AD113)</f>
        <v/>
      </c>
      <c r="V115" s="14" t="str">
        <f>IF(OR(Progetti!E113="",Progetti!AE113=""),"",Progetti!AE113)</f>
        <v/>
      </c>
      <c r="W115" s="14" t="str">
        <f>IF(OR(Progetti!E113="",Progetti!AF113=""),"",Progetti!AF113)</f>
        <v/>
      </c>
      <c r="X115" s="14" t="str">
        <f>IF(OR(Progetti!E113="",Progetti!AG113=""),"",Progetti!AG113)</f>
        <v/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</row>
    <row r="116" spans="1:84" x14ac:dyDescent="0.35">
      <c r="A116" s="29" t="str">
        <f>IF(Progetti!E114="","",Progetti!A114)</f>
        <v/>
      </c>
      <c r="B116" s="29" t="str">
        <f>IF(Progetti!F114="","",Progetti!B114)</f>
        <v/>
      </c>
      <c r="C116" s="29" t="str">
        <f>IF(Progetti!E114="","",Progetti!C114)</f>
        <v/>
      </c>
      <c r="D116" s="29" t="str">
        <f>IF(Progetti!F114="","",Progetti!D114)</f>
        <v/>
      </c>
      <c r="E116" s="29" t="str">
        <f>IF(Progetti!E114="","",Progetti!E114)</f>
        <v/>
      </c>
      <c r="F116" s="40" t="str">
        <f>IF(Progetti!K114="","",Progetti!K114)</f>
        <v/>
      </c>
      <c r="G116" s="40" t="str">
        <f>IF(Progetti!L114="","",Progetti!L114)</f>
        <v/>
      </c>
      <c r="H116" s="29" t="str">
        <f>IF(Progetti!E114="","",Progetti!N114)</f>
        <v/>
      </c>
      <c r="I116" s="29" t="str">
        <f>IF(Progetti!E114="","",Progetti!M114)</f>
        <v/>
      </c>
      <c r="J116" s="38" t="str">
        <f>IF(Progetti!E114="","",Progetti!I114)</f>
        <v/>
      </c>
      <c r="K116" s="39" t="str">
        <f>IF(OR(Progetti!E114="",Progetti!Q114=""),"",Progetti!Q114)</f>
        <v/>
      </c>
      <c r="L116" s="39" t="str">
        <f>IF(OR(Progetti!E114="",Progetti!R114=""),"",Progetti!R114)</f>
        <v/>
      </c>
      <c r="M116" s="14" t="str">
        <f>IF(OR(Progetti!E114="",Progetti!V114=""),"",Progetti!V114)</f>
        <v/>
      </c>
      <c r="N116" s="14" t="str">
        <f>IF(OR(Progetti!E114="",Progetti!W114=""),"",Progetti!W114)</f>
        <v/>
      </c>
      <c r="O116" s="14" t="str">
        <f>IF(OR(Progetti!E114="",Progetti!X114=""),"",Progetti!X114)</f>
        <v/>
      </c>
      <c r="P116" s="14" t="str">
        <f>IF(OR(Progetti!E114="",Progetti!Y114=""),"",Progetti!Y114)</f>
        <v/>
      </c>
      <c r="Q116" s="14" t="str">
        <f>IF(OR(Progetti!E114="",Progetti!Z114=""),"",Progetti!Z114)</f>
        <v/>
      </c>
      <c r="R116" s="14" t="str">
        <f>IF(OR(Progetti!E114="",Progetti!AA114=""),"",Progetti!AA114)</f>
        <v/>
      </c>
      <c r="S116" s="14" t="str">
        <f>IF(OR(Progetti!E114="",Progetti!AB114=""),"",Progetti!AB114)</f>
        <v/>
      </c>
      <c r="T116" s="14" t="str">
        <f>IF(OR(Progetti!E114="",Progetti!AC114=""),"",Progetti!AC114)</f>
        <v/>
      </c>
      <c r="U116" s="14" t="str">
        <f>IF(OR(Progetti!E114="",Progetti!AD114=""),"",Progetti!AD114)</f>
        <v/>
      </c>
      <c r="V116" s="14" t="str">
        <f>IF(OR(Progetti!E114="",Progetti!AE114=""),"",Progetti!AE114)</f>
        <v/>
      </c>
      <c r="W116" s="14" t="str">
        <f>IF(OR(Progetti!E114="",Progetti!AF114=""),"",Progetti!AF114)</f>
        <v/>
      </c>
      <c r="X116" s="14" t="str">
        <f>IF(OR(Progetti!E114="",Progetti!AG114=""),"",Progetti!AG114)</f>
        <v/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</row>
    <row r="117" spans="1:84" x14ac:dyDescent="0.35">
      <c r="A117" s="29" t="str">
        <f>IF(Progetti!E115="","",Progetti!A115)</f>
        <v/>
      </c>
      <c r="B117" s="29" t="str">
        <f>IF(Progetti!F115="","",Progetti!B115)</f>
        <v/>
      </c>
      <c r="C117" s="29" t="str">
        <f>IF(Progetti!E115="","",Progetti!C115)</f>
        <v/>
      </c>
      <c r="D117" s="29" t="str">
        <f>IF(Progetti!F115="","",Progetti!D115)</f>
        <v/>
      </c>
      <c r="E117" s="29" t="str">
        <f>IF(Progetti!E115="","",Progetti!E115)</f>
        <v/>
      </c>
      <c r="F117" s="40" t="str">
        <f>IF(Progetti!K115="","",Progetti!K115)</f>
        <v/>
      </c>
      <c r="G117" s="40" t="str">
        <f>IF(Progetti!L115="","",Progetti!L115)</f>
        <v/>
      </c>
      <c r="H117" s="29" t="str">
        <f>IF(Progetti!E115="","",Progetti!N115)</f>
        <v/>
      </c>
      <c r="I117" s="29" t="str">
        <f>IF(Progetti!E115="","",Progetti!M115)</f>
        <v/>
      </c>
      <c r="J117" s="38" t="str">
        <f>IF(Progetti!E115="","",Progetti!I115)</f>
        <v/>
      </c>
      <c r="K117" s="39" t="str">
        <f>IF(OR(Progetti!E115="",Progetti!Q115=""),"",Progetti!Q115)</f>
        <v/>
      </c>
      <c r="L117" s="39" t="str">
        <f>IF(OR(Progetti!E115="",Progetti!R115=""),"",Progetti!R115)</f>
        <v/>
      </c>
      <c r="M117" s="14" t="str">
        <f>IF(OR(Progetti!E115="",Progetti!V115=""),"",Progetti!V115)</f>
        <v/>
      </c>
      <c r="N117" s="14" t="str">
        <f>IF(OR(Progetti!E115="",Progetti!W115=""),"",Progetti!W115)</f>
        <v/>
      </c>
      <c r="O117" s="14" t="str">
        <f>IF(OR(Progetti!E115="",Progetti!X115=""),"",Progetti!X115)</f>
        <v/>
      </c>
      <c r="P117" s="14" t="str">
        <f>IF(OR(Progetti!E115="",Progetti!Y115=""),"",Progetti!Y115)</f>
        <v/>
      </c>
      <c r="Q117" s="14" t="str">
        <f>IF(OR(Progetti!E115="",Progetti!Z115=""),"",Progetti!Z115)</f>
        <v/>
      </c>
      <c r="R117" s="14" t="str">
        <f>IF(OR(Progetti!E115="",Progetti!AA115=""),"",Progetti!AA115)</f>
        <v/>
      </c>
      <c r="S117" s="14" t="str">
        <f>IF(OR(Progetti!E115="",Progetti!AB115=""),"",Progetti!AB115)</f>
        <v/>
      </c>
      <c r="T117" s="14" t="str">
        <f>IF(OR(Progetti!E115="",Progetti!AC115=""),"",Progetti!AC115)</f>
        <v/>
      </c>
      <c r="U117" s="14" t="str">
        <f>IF(OR(Progetti!E115="",Progetti!AD115=""),"",Progetti!AD115)</f>
        <v/>
      </c>
      <c r="V117" s="14" t="str">
        <f>IF(OR(Progetti!E115="",Progetti!AE115=""),"",Progetti!AE115)</f>
        <v/>
      </c>
      <c r="W117" s="14" t="str">
        <f>IF(OR(Progetti!E115="",Progetti!AF115=""),"",Progetti!AF115)</f>
        <v/>
      </c>
      <c r="X117" s="14" t="str">
        <f>IF(OR(Progetti!E115="",Progetti!AG115=""),"",Progetti!AG115)</f>
        <v/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</row>
    <row r="118" spans="1:84" x14ac:dyDescent="0.35">
      <c r="A118" s="29" t="str">
        <f>IF(Progetti!E116="","",Progetti!A116)</f>
        <v/>
      </c>
      <c r="B118" s="29" t="str">
        <f>IF(Progetti!F116="","",Progetti!B116)</f>
        <v/>
      </c>
      <c r="C118" s="29" t="str">
        <f>IF(Progetti!E116="","",Progetti!C116)</f>
        <v/>
      </c>
      <c r="D118" s="29" t="str">
        <f>IF(Progetti!F116="","",Progetti!D116)</f>
        <v/>
      </c>
      <c r="E118" s="29" t="str">
        <f>IF(Progetti!E116="","",Progetti!E116)</f>
        <v/>
      </c>
      <c r="F118" s="40" t="str">
        <f>IF(Progetti!K116="","",Progetti!K116)</f>
        <v/>
      </c>
      <c r="G118" s="40" t="str">
        <f>IF(Progetti!L116="","",Progetti!L116)</f>
        <v/>
      </c>
      <c r="H118" s="29" t="str">
        <f>IF(Progetti!E116="","",Progetti!N116)</f>
        <v/>
      </c>
      <c r="I118" s="29" t="str">
        <f>IF(Progetti!E116="","",Progetti!M116)</f>
        <v/>
      </c>
      <c r="J118" s="38" t="str">
        <f>IF(Progetti!E116="","",Progetti!I116)</f>
        <v/>
      </c>
      <c r="K118" s="39" t="str">
        <f>IF(OR(Progetti!E116="",Progetti!Q116=""),"",Progetti!Q116)</f>
        <v/>
      </c>
      <c r="L118" s="39" t="str">
        <f>IF(OR(Progetti!E116="",Progetti!R116=""),"",Progetti!R116)</f>
        <v/>
      </c>
      <c r="M118" s="14" t="str">
        <f>IF(OR(Progetti!E116="",Progetti!V116=""),"",Progetti!V116)</f>
        <v/>
      </c>
      <c r="N118" s="14" t="str">
        <f>IF(OR(Progetti!E116="",Progetti!W116=""),"",Progetti!W116)</f>
        <v/>
      </c>
      <c r="O118" s="14" t="str">
        <f>IF(OR(Progetti!E116="",Progetti!X116=""),"",Progetti!X116)</f>
        <v/>
      </c>
      <c r="P118" s="14" t="str">
        <f>IF(OR(Progetti!E116="",Progetti!Y116=""),"",Progetti!Y116)</f>
        <v/>
      </c>
      <c r="Q118" s="14" t="str">
        <f>IF(OR(Progetti!E116="",Progetti!Z116=""),"",Progetti!Z116)</f>
        <v/>
      </c>
      <c r="R118" s="14" t="str">
        <f>IF(OR(Progetti!E116="",Progetti!AA116=""),"",Progetti!AA116)</f>
        <v/>
      </c>
      <c r="S118" s="14" t="str">
        <f>IF(OR(Progetti!E116="",Progetti!AB116=""),"",Progetti!AB116)</f>
        <v/>
      </c>
      <c r="T118" s="14" t="str">
        <f>IF(OR(Progetti!E116="",Progetti!AC116=""),"",Progetti!AC116)</f>
        <v/>
      </c>
      <c r="U118" s="14" t="str">
        <f>IF(OR(Progetti!E116="",Progetti!AD116=""),"",Progetti!AD116)</f>
        <v/>
      </c>
      <c r="V118" s="14" t="str">
        <f>IF(OR(Progetti!E116="",Progetti!AE116=""),"",Progetti!AE116)</f>
        <v/>
      </c>
      <c r="W118" s="14" t="str">
        <f>IF(OR(Progetti!E116="",Progetti!AF116=""),"",Progetti!AF116)</f>
        <v/>
      </c>
      <c r="X118" s="14" t="str">
        <f>IF(OR(Progetti!E116="",Progetti!AG116=""),"",Progetti!AG116)</f>
        <v/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</row>
    <row r="119" spans="1:84" x14ac:dyDescent="0.35">
      <c r="A119" s="29" t="str">
        <f>IF(Progetti!E117="","",Progetti!A117)</f>
        <v/>
      </c>
      <c r="B119" s="29" t="str">
        <f>IF(Progetti!F117="","",Progetti!B117)</f>
        <v/>
      </c>
      <c r="C119" s="29" t="str">
        <f>IF(Progetti!E117="","",Progetti!C117)</f>
        <v/>
      </c>
      <c r="D119" s="29" t="str">
        <f>IF(Progetti!F117="","",Progetti!D117)</f>
        <v/>
      </c>
      <c r="E119" s="29" t="str">
        <f>IF(Progetti!E117="","",Progetti!E117)</f>
        <v/>
      </c>
      <c r="F119" s="40" t="str">
        <f>IF(Progetti!K117="","",Progetti!K117)</f>
        <v/>
      </c>
      <c r="G119" s="40" t="str">
        <f>IF(Progetti!L117="","",Progetti!L117)</f>
        <v/>
      </c>
      <c r="H119" s="29" t="str">
        <f>IF(Progetti!E117="","",Progetti!N117)</f>
        <v/>
      </c>
      <c r="I119" s="29" t="str">
        <f>IF(Progetti!E117="","",Progetti!M117)</f>
        <v/>
      </c>
      <c r="J119" s="38" t="str">
        <f>IF(Progetti!E117="","",Progetti!I117)</f>
        <v/>
      </c>
      <c r="K119" s="39" t="str">
        <f>IF(OR(Progetti!E117="",Progetti!Q117=""),"",Progetti!Q117)</f>
        <v/>
      </c>
      <c r="L119" s="39" t="str">
        <f>IF(OR(Progetti!E117="",Progetti!R117=""),"",Progetti!R117)</f>
        <v/>
      </c>
      <c r="M119" s="14" t="str">
        <f>IF(OR(Progetti!E117="",Progetti!V117=""),"",Progetti!V117)</f>
        <v/>
      </c>
      <c r="N119" s="14" t="str">
        <f>IF(OR(Progetti!E117="",Progetti!W117=""),"",Progetti!W117)</f>
        <v/>
      </c>
      <c r="O119" s="14" t="str">
        <f>IF(OR(Progetti!E117="",Progetti!X117=""),"",Progetti!X117)</f>
        <v/>
      </c>
      <c r="P119" s="14" t="str">
        <f>IF(OR(Progetti!E117="",Progetti!Y117=""),"",Progetti!Y117)</f>
        <v/>
      </c>
      <c r="Q119" s="14" t="str">
        <f>IF(OR(Progetti!E117="",Progetti!Z117=""),"",Progetti!Z117)</f>
        <v/>
      </c>
      <c r="R119" s="14" t="str">
        <f>IF(OR(Progetti!E117="",Progetti!AA117=""),"",Progetti!AA117)</f>
        <v/>
      </c>
      <c r="S119" s="14" t="str">
        <f>IF(OR(Progetti!E117="",Progetti!AB117=""),"",Progetti!AB117)</f>
        <v/>
      </c>
      <c r="T119" s="14" t="str">
        <f>IF(OR(Progetti!E117="",Progetti!AC117=""),"",Progetti!AC117)</f>
        <v/>
      </c>
      <c r="U119" s="14" t="str">
        <f>IF(OR(Progetti!E117="",Progetti!AD117=""),"",Progetti!AD117)</f>
        <v/>
      </c>
      <c r="V119" s="14" t="str">
        <f>IF(OR(Progetti!E117="",Progetti!AE117=""),"",Progetti!AE117)</f>
        <v/>
      </c>
      <c r="W119" s="14" t="str">
        <f>IF(OR(Progetti!E117="",Progetti!AF117=""),"",Progetti!AF117)</f>
        <v/>
      </c>
      <c r="X119" s="14" t="str">
        <f>IF(OR(Progetti!E117="",Progetti!AG117=""),"",Progetti!AG117)</f>
        <v/>
      </c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</row>
    <row r="120" spans="1:84" x14ac:dyDescent="0.35">
      <c r="A120" s="29" t="str">
        <f>IF(Progetti!E118="","",Progetti!A118)</f>
        <v/>
      </c>
      <c r="B120" s="29" t="str">
        <f>IF(Progetti!F118="","",Progetti!B118)</f>
        <v/>
      </c>
      <c r="C120" s="29" t="str">
        <f>IF(Progetti!E118="","",Progetti!C118)</f>
        <v/>
      </c>
      <c r="D120" s="29" t="str">
        <f>IF(Progetti!F118="","",Progetti!D118)</f>
        <v/>
      </c>
      <c r="E120" s="29" t="str">
        <f>IF(Progetti!E118="","",Progetti!E118)</f>
        <v/>
      </c>
      <c r="F120" s="40" t="str">
        <f>IF(Progetti!K118="","",Progetti!K118)</f>
        <v/>
      </c>
      <c r="G120" s="40" t="str">
        <f>IF(Progetti!L118="","",Progetti!L118)</f>
        <v/>
      </c>
      <c r="H120" s="29" t="str">
        <f>IF(Progetti!E118="","",Progetti!N118)</f>
        <v/>
      </c>
      <c r="I120" s="29" t="str">
        <f>IF(Progetti!E118="","",Progetti!M118)</f>
        <v/>
      </c>
      <c r="J120" s="38" t="str">
        <f>IF(Progetti!E118="","",Progetti!I118)</f>
        <v/>
      </c>
      <c r="K120" s="39" t="str">
        <f>IF(OR(Progetti!E118="",Progetti!Q118=""),"",Progetti!Q118)</f>
        <v/>
      </c>
      <c r="L120" s="39" t="str">
        <f>IF(OR(Progetti!E118="",Progetti!R118=""),"",Progetti!R118)</f>
        <v/>
      </c>
      <c r="M120" s="14" t="str">
        <f>IF(OR(Progetti!E118="",Progetti!V118=""),"",Progetti!V118)</f>
        <v/>
      </c>
      <c r="N120" s="14" t="str">
        <f>IF(OR(Progetti!E118="",Progetti!W118=""),"",Progetti!W118)</f>
        <v/>
      </c>
      <c r="O120" s="14" t="str">
        <f>IF(OR(Progetti!E118="",Progetti!X118=""),"",Progetti!X118)</f>
        <v/>
      </c>
      <c r="P120" s="14" t="str">
        <f>IF(OR(Progetti!E118="",Progetti!Y118=""),"",Progetti!Y118)</f>
        <v/>
      </c>
      <c r="Q120" s="14" t="str">
        <f>IF(OR(Progetti!E118="",Progetti!Z118=""),"",Progetti!Z118)</f>
        <v/>
      </c>
      <c r="R120" s="14" t="str">
        <f>IF(OR(Progetti!E118="",Progetti!AA118=""),"",Progetti!AA118)</f>
        <v/>
      </c>
      <c r="S120" s="14" t="str">
        <f>IF(OR(Progetti!E118="",Progetti!AB118=""),"",Progetti!AB118)</f>
        <v/>
      </c>
      <c r="T120" s="14" t="str">
        <f>IF(OR(Progetti!E118="",Progetti!AC118=""),"",Progetti!AC118)</f>
        <v/>
      </c>
      <c r="U120" s="14" t="str">
        <f>IF(OR(Progetti!E118="",Progetti!AD118=""),"",Progetti!AD118)</f>
        <v/>
      </c>
      <c r="V120" s="14" t="str">
        <f>IF(OR(Progetti!E118="",Progetti!AE118=""),"",Progetti!AE118)</f>
        <v/>
      </c>
      <c r="W120" s="14" t="str">
        <f>IF(OR(Progetti!E118="",Progetti!AF118=""),"",Progetti!AF118)</f>
        <v/>
      </c>
      <c r="X120" s="14" t="str">
        <f>IF(OR(Progetti!E118="",Progetti!AG118=""),"",Progetti!AG118)</f>
        <v/>
      </c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</row>
    <row r="121" spans="1:84" x14ac:dyDescent="0.35">
      <c r="A121" s="29" t="str">
        <f>IF(Progetti!E119="","",Progetti!A119)</f>
        <v/>
      </c>
      <c r="B121" s="29" t="str">
        <f>IF(Progetti!F119="","",Progetti!B119)</f>
        <v/>
      </c>
      <c r="C121" s="29" t="str">
        <f>IF(Progetti!E119="","",Progetti!C119)</f>
        <v/>
      </c>
      <c r="D121" s="29" t="str">
        <f>IF(Progetti!F119="","",Progetti!D119)</f>
        <v/>
      </c>
      <c r="E121" s="29" t="str">
        <f>IF(Progetti!E119="","",Progetti!E119)</f>
        <v/>
      </c>
      <c r="F121" s="40" t="str">
        <f>IF(Progetti!K119="","",Progetti!K119)</f>
        <v/>
      </c>
      <c r="G121" s="40" t="str">
        <f>IF(Progetti!L119="","",Progetti!L119)</f>
        <v/>
      </c>
      <c r="H121" s="29" t="str">
        <f>IF(Progetti!E119="","",Progetti!N119)</f>
        <v/>
      </c>
      <c r="I121" s="29" t="str">
        <f>IF(Progetti!E119="","",Progetti!M119)</f>
        <v/>
      </c>
      <c r="J121" s="38" t="str">
        <f>IF(Progetti!E119="","",Progetti!I119)</f>
        <v/>
      </c>
      <c r="K121" s="39" t="str">
        <f>IF(OR(Progetti!E119="",Progetti!Q119=""),"",Progetti!Q119)</f>
        <v/>
      </c>
      <c r="L121" s="39" t="str">
        <f>IF(OR(Progetti!E119="",Progetti!R119=""),"",Progetti!R119)</f>
        <v/>
      </c>
      <c r="M121" s="14" t="str">
        <f>IF(OR(Progetti!E119="",Progetti!V119=""),"",Progetti!V119)</f>
        <v/>
      </c>
      <c r="N121" s="14" t="str">
        <f>IF(OR(Progetti!E119="",Progetti!W119=""),"",Progetti!W119)</f>
        <v/>
      </c>
      <c r="O121" s="14" t="str">
        <f>IF(OR(Progetti!E119="",Progetti!X119=""),"",Progetti!X119)</f>
        <v/>
      </c>
      <c r="P121" s="14" t="str">
        <f>IF(OR(Progetti!E119="",Progetti!Y119=""),"",Progetti!Y119)</f>
        <v/>
      </c>
      <c r="Q121" s="14" t="str">
        <f>IF(OR(Progetti!E119="",Progetti!Z119=""),"",Progetti!Z119)</f>
        <v/>
      </c>
      <c r="R121" s="14" t="str">
        <f>IF(OR(Progetti!E119="",Progetti!AA119=""),"",Progetti!AA119)</f>
        <v/>
      </c>
      <c r="S121" s="14" t="str">
        <f>IF(OR(Progetti!E119="",Progetti!AB119=""),"",Progetti!AB119)</f>
        <v/>
      </c>
      <c r="T121" s="14" t="str">
        <f>IF(OR(Progetti!E119="",Progetti!AC119=""),"",Progetti!AC119)</f>
        <v/>
      </c>
      <c r="U121" s="14" t="str">
        <f>IF(OR(Progetti!E119="",Progetti!AD119=""),"",Progetti!AD119)</f>
        <v/>
      </c>
      <c r="V121" s="14" t="str">
        <f>IF(OR(Progetti!E119="",Progetti!AE119=""),"",Progetti!AE119)</f>
        <v/>
      </c>
      <c r="W121" s="14" t="str">
        <f>IF(OR(Progetti!E119="",Progetti!AF119=""),"",Progetti!AF119)</f>
        <v/>
      </c>
      <c r="X121" s="14" t="str">
        <f>IF(OR(Progetti!E119="",Progetti!AG119=""),"",Progetti!AG119)</f>
        <v/>
      </c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</row>
    <row r="122" spans="1:84" x14ac:dyDescent="0.35">
      <c r="A122" s="29" t="str">
        <f>IF(Progetti!E120="","",Progetti!A120)</f>
        <v/>
      </c>
      <c r="B122" s="29" t="str">
        <f>IF(Progetti!F120="","",Progetti!B120)</f>
        <v/>
      </c>
      <c r="C122" s="29" t="str">
        <f>IF(Progetti!E120="","",Progetti!C120)</f>
        <v/>
      </c>
      <c r="D122" s="29" t="str">
        <f>IF(Progetti!F120="","",Progetti!D120)</f>
        <v/>
      </c>
      <c r="E122" s="29" t="str">
        <f>IF(Progetti!E120="","",Progetti!E120)</f>
        <v/>
      </c>
      <c r="F122" s="40" t="str">
        <f>IF(Progetti!K120="","",Progetti!K120)</f>
        <v/>
      </c>
      <c r="G122" s="40" t="str">
        <f>IF(Progetti!L120="","",Progetti!L120)</f>
        <v/>
      </c>
      <c r="H122" s="29" t="str">
        <f>IF(Progetti!E120="","",Progetti!N120)</f>
        <v/>
      </c>
      <c r="I122" s="29" t="str">
        <f>IF(Progetti!E120="","",Progetti!M120)</f>
        <v/>
      </c>
      <c r="J122" s="38" t="str">
        <f>IF(Progetti!E120="","",Progetti!I120)</f>
        <v/>
      </c>
      <c r="K122" s="39" t="str">
        <f>IF(OR(Progetti!E120="",Progetti!Q120=""),"",Progetti!Q120)</f>
        <v/>
      </c>
      <c r="L122" s="39" t="str">
        <f>IF(OR(Progetti!E120="",Progetti!R120=""),"",Progetti!R120)</f>
        <v/>
      </c>
      <c r="M122" s="14" t="str">
        <f>IF(OR(Progetti!E120="",Progetti!V120=""),"",Progetti!V120)</f>
        <v/>
      </c>
      <c r="N122" s="14" t="str">
        <f>IF(OR(Progetti!E120="",Progetti!W120=""),"",Progetti!W120)</f>
        <v/>
      </c>
      <c r="O122" s="14" t="str">
        <f>IF(OR(Progetti!E120="",Progetti!X120=""),"",Progetti!X120)</f>
        <v/>
      </c>
      <c r="P122" s="14" t="str">
        <f>IF(OR(Progetti!E120="",Progetti!Y120=""),"",Progetti!Y120)</f>
        <v/>
      </c>
      <c r="Q122" s="14" t="str">
        <f>IF(OR(Progetti!E120="",Progetti!Z120=""),"",Progetti!Z120)</f>
        <v/>
      </c>
      <c r="R122" s="14" t="str">
        <f>IF(OR(Progetti!E120="",Progetti!AA120=""),"",Progetti!AA120)</f>
        <v/>
      </c>
      <c r="S122" s="14" t="str">
        <f>IF(OR(Progetti!E120="",Progetti!AB120=""),"",Progetti!AB120)</f>
        <v/>
      </c>
      <c r="T122" s="14" t="str">
        <f>IF(OR(Progetti!E120="",Progetti!AC120=""),"",Progetti!AC120)</f>
        <v/>
      </c>
      <c r="U122" s="14" t="str">
        <f>IF(OR(Progetti!E120="",Progetti!AD120=""),"",Progetti!AD120)</f>
        <v/>
      </c>
      <c r="V122" s="14" t="str">
        <f>IF(OR(Progetti!E120="",Progetti!AE120=""),"",Progetti!AE120)</f>
        <v/>
      </c>
      <c r="W122" s="14" t="str">
        <f>IF(OR(Progetti!E120="",Progetti!AF120=""),"",Progetti!AF120)</f>
        <v/>
      </c>
      <c r="X122" s="14" t="str">
        <f>IF(OR(Progetti!E120="",Progetti!AG120=""),"",Progetti!AG120)</f>
        <v/>
      </c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</row>
    <row r="123" spans="1:84" x14ac:dyDescent="0.35">
      <c r="A123" s="29" t="str">
        <f>IF(Progetti!E121="","",Progetti!A121)</f>
        <v/>
      </c>
      <c r="B123" s="29" t="str">
        <f>IF(Progetti!F121="","",Progetti!B121)</f>
        <v/>
      </c>
      <c r="C123" s="29" t="str">
        <f>IF(Progetti!E121="","",Progetti!C121)</f>
        <v/>
      </c>
      <c r="D123" s="29" t="str">
        <f>IF(Progetti!F121="","",Progetti!D121)</f>
        <v/>
      </c>
      <c r="E123" s="29" t="str">
        <f>IF(Progetti!E121="","",Progetti!E121)</f>
        <v/>
      </c>
      <c r="F123" s="40" t="str">
        <f>IF(Progetti!K121="","",Progetti!K121)</f>
        <v/>
      </c>
      <c r="G123" s="40" t="str">
        <f>IF(Progetti!L121="","",Progetti!L121)</f>
        <v/>
      </c>
      <c r="H123" s="29" t="str">
        <f>IF(Progetti!E121="","",Progetti!N121)</f>
        <v/>
      </c>
      <c r="I123" s="29" t="str">
        <f>IF(Progetti!E121="","",Progetti!M121)</f>
        <v/>
      </c>
      <c r="J123" s="38" t="str">
        <f>IF(Progetti!E121="","",Progetti!I121)</f>
        <v/>
      </c>
      <c r="K123" s="39" t="str">
        <f>IF(OR(Progetti!E121="",Progetti!Q121=""),"",Progetti!Q121)</f>
        <v/>
      </c>
      <c r="L123" s="39" t="str">
        <f>IF(OR(Progetti!E121="",Progetti!R121=""),"",Progetti!R121)</f>
        <v/>
      </c>
      <c r="M123" s="14" t="str">
        <f>IF(OR(Progetti!E121="",Progetti!V121=""),"",Progetti!V121)</f>
        <v/>
      </c>
      <c r="N123" s="14" t="str">
        <f>IF(OR(Progetti!E121="",Progetti!W121=""),"",Progetti!W121)</f>
        <v/>
      </c>
      <c r="O123" s="14" t="str">
        <f>IF(OR(Progetti!E121="",Progetti!X121=""),"",Progetti!X121)</f>
        <v/>
      </c>
      <c r="P123" s="14" t="str">
        <f>IF(OR(Progetti!E121="",Progetti!Y121=""),"",Progetti!Y121)</f>
        <v/>
      </c>
      <c r="Q123" s="14" t="str">
        <f>IF(OR(Progetti!E121="",Progetti!Z121=""),"",Progetti!Z121)</f>
        <v/>
      </c>
      <c r="R123" s="14" t="str">
        <f>IF(OR(Progetti!E121="",Progetti!AA121=""),"",Progetti!AA121)</f>
        <v/>
      </c>
      <c r="S123" s="14" t="str">
        <f>IF(OR(Progetti!E121="",Progetti!AB121=""),"",Progetti!AB121)</f>
        <v/>
      </c>
      <c r="T123" s="14" t="str">
        <f>IF(OR(Progetti!E121="",Progetti!AC121=""),"",Progetti!AC121)</f>
        <v/>
      </c>
      <c r="U123" s="14" t="str">
        <f>IF(OR(Progetti!E121="",Progetti!AD121=""),"",Progetti!AD121)</f>
        <v/>
      </c>
      <c r="V123" s="14" t="str">
        <f>IF(OR(Progetti!E121="",Progetti!AE121=""),"",Progetti!AE121)</f>
        <v/>
      </c>
      <c r="W123" s="14" t="str">
        <f>IF(OR(Progetti!E121="",Progetti!AF121=""),"",Progetti!AF121)</f>
        <v/>
      </c>
      <c r="X123" s="14" t="str">
        <f>IF(OR(Progetti!E121="",Progetti!AG121=""),"",Progetti!AG121)</f>
        <v/>
      </c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</row>
    <row r="124" spans="1:84" x14ac:dyDescent="0.35">
      <c r="A124" s="29" t="str">
        <f>IF(Progetti!E122="","",Progetti!A122)</f>
        <v/>
      </c>
      <c r="B124" s="29" t="str">
        <f>IF(Progetti!F122="","",Progetti!B122)</f>
        <v/>
      </c>
      <c r="C124" s="29" t="str">
        <f>IF(Progetti!E122="","",Progetti!C122)</f>
        <v/>
      </c>
      <c r="D124" s="29" t="str">
        <f>IF(Progetti!F122="","",Progetti!D122)</f>
        <v/>
      </c>
      <c r="E124" s="29" t="str">
        <f>IF(Progetti!E122="","",Progetti!E122)</f>
        <v/>
      </c>
      <c r="F124" s="40" t="str">
        <f>IF(Progetti!K122="","",Progetti!K122)</f>
        <v/>
      </c>
      <c r="G124" s="40" t="str">
        <f>IF(Progetti!L122="","",Progetti!L122)</f>
        <v/>
      </c>
      <c r="H124" s="29" t="str">
        <f>IF(Progetti!E122="","",Progetti!N122)</f>
        <v/>
      </c>
      <c r="I124" s="29" t="str">
        <f>IF(Progetti!E122="","",Progetti!M122)</f>
        <v/>
      </c>
      <c r="J124" s="38" t="str">
        <f>IF(Progetti!E122="","",Progetti!I122)</f>
        <v/>
      </c>
      <c r="K124" s="39" t="str">
        <f>IF(OR(Progetti!E122="",Progetti!Q122=""),"",Progetti!Q122)</f>
        <v/>
      </c>
      <c r="L124" s="39" t="str">
        <f>IF(OR(Progetti!E122="",Progetti!R122=""),"",Progetti!R122)</f>
        <v/>
      </c>
      <c r="M124" s="14" t="str">
        <f>IF(OR(Progetti!E122="",Progetti!V122=""),"",Progetti!V122)</f>
        <v/>
      </c>
      <c r="N124" s="14" t="str">
        <f>IF(OR(Progetti!E122="",Progetti!W122=""),"",Progetti!W122)</f>
        <v/>
      </c>
      <c r="O124" s="14" t="str">
        <f>IF(OR(Progetti!E122="",Progetti!X122=""),"",Progetti!X122)</f>
        <v/>
      </c>
      <c r="P124" s="14" t="str">
        <f>IF(OR(Progetti!E122="",Progetti!Y122=""),"",Progetti!Y122)</f>
        <v/>
      </c>
      <c r="Q124" s="14" t="str">
        <f>IF(OR(Progetti!E122="",Progetti!Z122=""),"",Progetti!Z122)</f>
        <v/>
      </c>
      <c r="R124" s="14" t="str">
        <f>IF(OR(Progetti!E122="",Progetti!AA122=""),"",Progetti!AA122)</f>
        <v/>
      </c>
      <c r="S124" s="14" t="str">
        <f>IF(OR(Progetti!E122="",Progetti!AB122=""),"",Progetti!AB122)</f>
        <v/>
      </c>
      <c r="T124" s="14" t="str">
        <f>IF(OR(Progetti!E122="",Progetti!AC122=""),"",Progetti!AC122)</f>
        <v/>
      </c>
      <c r="U124" s="14" t="str">
        <f>IF(OR(Progetti!E122="",Progetti!AD122=""),"",Progetti!AD122)</f>
        <v/>
      </c>
      <c r="V124" s="14" t="str">
        <f>IF(OR(Progetti!E122="",Progetti!AE122=""),"",Progetti!AE122)</f>
        <v/>
      </c>
      <c r="W124" s="14" t="str">
        <f>IF(OR(Progetti!E122="",Progetti!AF122=""),"",Progetti!AF122)</f>
        <v/>
      </c>
      <c r="X124" s="14" t="str">
        <f>IF(OR(Progetti!E122="",Progetti!AG122=""),"",Progetti!AG122)</f>
        <v/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</row>
    <row r="125" spans="1:84" x14ac:dyDescent="0.35">
      <c r="A125" s="29" t="str">
        <f>IF(Progetti!E123="","",Progetti!A123)</f>
        <v/>
      </c>
      <c r="B125" s="29" t="str">
        <f>IF(Progetti!F123="","",Progetti!B123)</f>
        <v/>
      </c>
      <c r="C125" s="29" t="str">
        <f>IF(Progetti!E123="","",Progetti!C123)</f>
        <v/>
      </c>
      <c r="D125" s="29" t="str">
        <f>IF(Progetti!F123="","",Progetti!D123)</f>
        <v/>
      </c>
      <c r="E125" s="29" t="str">
        <f>IF(Progetti!E123="","",Progetti!E123)</f>
        <v/>
      </c>
      <c r="F125" s="40" t="str">
        <f>IF(Progetti!K123="","",Progetti!K123)</f>
        <v/>
      </c>
      <c r="G125" s="40" t="str">
        <f>IF(Progetti!L123="","",Progetti!L123)</f>
        <v/>
      </c>
      <c r="H125" s="29" t="str">
        <f>IF(Progetti!E123="","",Progetti!N123)</f>
        <v/>
      </c>
      <c r="I125" s="29" t="str">
        <f>IF(Progetti!E123="","",Progetti!M123)</f>
        <v/>
      </c>
      <c r="J125" s="38" t="str">
        <f>IF(Progetti!E123="","",Progetti!I123)</f>
        <v/>
      </c>
      <c r="K125" s="39" t="str">
        <f>IF(OR(Progetti!E123="",Progetti!Q123=""),"",Progetti!Q123)</f>
        <v/>
      </c>
      <c r="L125" s="39" t="str">
        <f>IF(OR(Progetti!E123="",Progetti!R123=""),"",Progetti!R123)</f>
        <v/>
      </c>
      <c r="M125" s="14" t="str">
        <f>IF(OR(Progetti!E123="",Progetti!V123=""),"",Progetti!V123)</f>
        <v/>
      </c>
      <c r="N125" s="14" t="str">
        <f>IF(OR(Progetti!E123="",Progetti!W123=""),"",Progetti!W123)</f>
        <v/>
      </c>
      <c r="O125" s="14" t="str">
        <f>IF(OR(Progetti!E123="",Progetti!X123=""),"",Progetti!X123)</f>
        <v/>
      </c>
      <c r="P125" s="14" t="str">
        <f>IF(OR(Progetti!E123="",Progetti!Y123=""),"",Progetti!Y123)</f>
        <v/>
      </c>
      <c r="Q125" s="14" t="str">
        <f>IF(OR(Progetti!E123="",Progetti!Z123=""),"",Progetti!Z123)</f>
        <v/>
      </c>
      <c r="R125" s="14" t="str">
        <f>IF(OR(Progetti!E123="",Progetti!AA123=""),"",Progetti!AA123)</f>
        <v/>
      </c>
      <c r="S125" s="14" t="str">
        <f>IF(OR(Progetti!E123="",Progetti!AB123=""),"",Progetti!AB123)</f>
        <v/>
      </c>
      <c r="T125" s="14" t="str">
        <f>IF(OR(Progetti!E123="",Progetti!AC123=""),"",Progetti!AC123)</f>
        <v/>
      </c>
      <c r="U125" s="14" t="str">
        <f>IF(OR(Progetti!E123="",Progetti!AD123=""),"",Progetti!AD123)</f>
        <v/>
      </c>
      <c r="V125" s="14" t="str">
        <f>IF(OR(Progetti!E123="",Progetti!AE123=""),"",Progetti!AE123)</f>
        <v/>
      </c>
      <c r="W125" s="14" t="str">
        <f>IF(OR(Progetti!E123="",Progetti!AF123=""),"",Progetti!AF123)</f>
        <v/>
      </c>
      <c r="X125" s="14" t="str">
        <f>IF(OR(Progetti!E123="",Progetti!AG123=""),"",Progetti!AG123)</f>
        <v/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</row>
    <row r="126" spans="1:84" x14ac:dyDescent="0.35">
      <c r="A126" s="29" t="str">
        <f>IF(Progetti!E124="","",Progetti!A124)</f>
        <v/>
      </c>
      <c r="B126" s="29" t="str">
        <f>IF(Progetti!F124="","",Progetti!B124)</f>
        <v/>
      </c>
      <c r="C126" s="29" t="str">
        <f>IF(Progetti!E124="","",Progetti!C124)</f>
        <v/>
      </c>
      <c r="D126" s="29" t="str">
        <f>IF(Progetti!F124="","",Progetti!D124)</f>
        <v/>
      </c>
      <c r="E126" s="29" t="str">
        <f>IF(Progetti!E124="","",Progetti!E124)</f>
        <v/>
      </c>
      <c r="F126" s="40" t="str">
        <f>IF(Progetti!K124="","",Progetti!K124)</f>
        <v/>
      </c>
      <c r="G126" s="40" t="str">
        <f>IF(Progetti!L124="","",Progetti!L124)</f>
        <v/>
      </c>
      <c r="H126" s="29" t="str">
        <f>IF(Progetti!E124="","",Progetti!N124)</f>
        <v/>
      </c>
      <c r="I126" s="29" t="str">
        <f>IF(Progetti!E124="","",Progetti!M124)</f>
        <v/>
      </c>
      <c r="J126" s="38" t="str">
        <f>IF(Progetti!E124="","",Progetti!I124)</f>
        <v/>
      </c>
      <c r="K126" s="39" t="str">
        <f>IF(OR(Progetti!E124="",Progetti!Q124=""),"",Progetti!Q124)</f>
        <v/>
      </c>
      <c r="L126" s="39" t="str">
        <f>IF(OR(Progetti!E124="",Progetti!R124=""),"",Progetti!R124)</f>
        <v/>
      </c>
      <c r="M126" s="14" t="str">
        <f>IF(OR(Progetti!E124="",Progetti!V124=""),"",Progetti!V124)</f>
        <v/>
      </c>
      <c r="N126" s="14" t="str">
        <f>IF(OR(Progetti!E124="",Progetti!W124=""),"",Progetti!W124)</f>
        <v/>
      </c>
      <c r="O126" s="14" t="str">
        <f>IF(OR(Progetti!E124="",Progetti!X124=""),"",Progetti!X124)</f>
        <v/>
      </c>
      <c r="P126" s="14" t="str">
        <f>IF(OR(Progetti!E124="",Progetti!Y124=""),"",Progetti!Y124)</f>
        <v/>
      </c>
      <c r="Q126" s="14" t="str">
        <f>IF(OR(Progetti!E124="",Progetti!Z124=""),"",Progetti!Z124)</f>
        <v/>
      </c>
      <c r="R126" s="14" t="str">
        <f>IF(OR(Progetti!E124="",Progetti!AA124=""),"",Progetti!AA124)</f>
        <v/>
      </c>
      <c r="S126" s="14" t="str">
        <f>IF(OR(Progetti!E124="",Progetti!AB124=""),"",Progetti!AB124)</f>
        <v/>
      </c>
      <c r="T126" s="14" t="str">
        <f>IF(OR(Progetti!E124="",Progetti!AC124=""),"",Progetti!AC124)</f>
        <v/>
      </c>
      <c r="U126" s="14" t="str">
        <f>IF(OR(Progetti!E124="",Progetti!AD124=""),"",Progetti!AD124)</f>
        <v/>
      </c>
      <c r="V126" s="14" t="str">
        <f>IF(OR(Progetti!E124="",Progetti!AE124=""),"",Progetti!AE124)</f>
        <v/>
      </c>
      <c r="W126" s="14" t="str">
        <f>IF(OR(Progetti!E124="",Progetti!AF124=""),"",Progetti!AF124)</f>
        <v/>
      </c>
      <c r="X126" s="14" t="str">
        <f>IF(OR(Progetti!E124="",Progetti!AG124=""),"",Progetti!AG124)</f>
        <v/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</row>
    <row r="127" spans="1:84" x14ac:dyDescent="0.35">
      <c r="A127" s="29" t="str">
        <f>IF(Progetti!E125="","",Progetti!A125)</f>
        <v/>
      </c>
      <c r="B127" s="29" t="str">
        <f>IF(Progetti!F125="","",Progetti!B125)</f>
        <v/>
      </c>
      <c r="C127" s="29" t="str">
        <f>IF(Progetti!E125="","",Progetti!C125)</f>
        <v/>
      </c>
      <c r="D127" s="29" t="str">
        <f>IF(Progetti!F125="","",Progetti!D125)</f>
        <v/>
      </c>
      <c r="E127" s="29" t="str">
        <f>IF(Progetti!E125="","",Progetti!E125)</f>
        <v/>
      </c>
      <c r="F127" s="40" t="str">
        <f>IF(Progetti!K125="","",Progetti!K125)</f>
        <v/>
      </c>
      <c r="G127" s="40" t="str">
        <f>IF(Progetti!L125="","",Progetti!L125)</f>
        <v/>
      </c>
      <c r="H127" s="29" t="str">
        <f>IF(Progetti!E125="","",Progetti!N125)</f>
        <v/>
      </c>
      <c r="I127" s="29" t="str">
        <f>IF(Progetti!E125="","",Progetti!M125)</f>
        <v/>
      </c>
      <c r="J127" s="38" t="str">
        <f>IF(Progetti!E125="","",Progetti!I125)</f>
        <v/>
      </c>
      <c r="K127" s="39" t="str">
        <f>IF(OR(Progetti!E125="",Progetti!Q125=""),"",Progetti!Q125)</f>
        <v/>
      </c>
      <c r="L127" s="39" t="str">
        <f>IF(OR(Progetti!E125="",Progetti!R125=""),"",Progetti!R125)</f>
        <v/>
      </c>
      <c r="M127" s="14" t="str">
        <f>IF(OR(Progetti!E125="",Progetti!V125=""),"",Progetti!V125)</f>
        <v/>
      </c>
      <c r="N127" s="14" t="str">
        <f>IF(OR(Progetti!E125="",Progetti!W125=""),"",Progetti!W125)</f>
        <v/>
      </c>
      <c r="O127" s="14" t="str">
        <f>IF(OR(Progetti!E125="",Progetti!X125=""),"",Progetti!X125)</f>
        <v/>
      </c>
      <c r="P127" s="14" t="str">
        <f>IF(OR(Progetti!E125="",Progetti!Y125=""),"",Progetti!Y125)</f>
        <v/>
      </c>
      <c r="Q127" s="14" t="str">
        <f>IF(OR(Progetti!E125="",Progetti!Z125=""),"",Progetti!Z125)</f>
        <v/>
      </c>
      <c r="R127" s="14" t="str">
        <f>IF(OR(Progetti!E125="",Progetti!AA125=""),"",Progetti!AA125)</f>
        <v/>
      </c>
      <c r="S127" s="14" t="str">
        <f>IF(OR(Progetti!E125="",Progetti!AB125=""),"",Progetti!AB125)</f>
        <v/>
      </c>
      <c r="T127" s="14" t="str">
        <f>IF(OR(Progetti!E125="",Progetti!AC125=""),"",Progetti!AC125)</f>
        <v/>
      </c>
      <c r="U127" s="14" t="str">
        <f>IF(OR(Progetti!E125="",Progetti!AD125=""),"",Progetti!AD125)</f>
        <v/>
      </c>
      <c r="V127" s="14" t="str">
        <f>IF(OR(Progetti!E125="",Progetti!AE125=""),"",Progetti!AE125)</f>
        <v/>
      </c>
      <c r="W127" s="14" t="str">
        <f>IF(OR(Progetti!E125="",Progetti!AF125=""),"",Progetti!AF125)</f>
        <v/>
      </c>
      <c r="X127" s="14" t="str">
        <f>IF(OR(Progetti!E125="",Progetti!AG125=""),"",Progetti!AG125)</f>
        <v/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</row>
    <row r="128" spans="1:84" x14ac:dyDescent="0.35">
      <c r="A128" s="29" t="str">
        <f>IF(Progetti!E126="","",Progetti!A126)</f>
        <v/>
      </c>
      <c r="B128" s="29" t="str">
        <f>IF(Progetti!F126="","",Progetti!B126)</f>
        <v/>
      </c>
      <c r="C128" s="29" t="str">
        <f>IF(Progetti!E126="","",Progetti!C126)</f>
        <v/>
      </c>
      <c r="D128" s="29" t="str">
        <f>IF(Progetti!F126="","",Progetti!D126)</f>
        <v/>
      </c>
      <c r="E128" s="29" t="str">
        <f>IF(Progetti!E126="","",Progetti!E126)</f>
        <v/>
      </c>
      <c r="F128" s="40" t="str">
        <f>IF(Progetti!K126="","",Progetti!K126)</f>
        <v/>
      </c>
      <c r="G128" s="40" t="str">
        <f>IF(Progetti!L126="","",Progetti!L126)</f>
        <v/>
      </c>
      <c r="H128" s="29" t="str">
        <f>IF(Progetti!E126="","",Progetti!N126)</f>
        <v/>
      </c>
      <c r="I128" s="29" t="str">
        <f>IF(Progetti!E126="","",Progetti!M126)</f>
        <v/>
      </c>
      <c r="J128" s="38" t="str">
        <f>IF(Progetti!E126="","",Progetti!I126)</f>
        <v/>
      </c>
      <c r="K128" s="39" t="str">
        <f>IF(OR(Progetti!E126="",Progetti!Q126=""),"",Progetti!Q126)</f>
        <v/>
      </c>
      <c r="L128" s="39" t="str">
        <f>IF(OR(Progetti!E126="",Progetti!R126=""),"",Progetti!R126)</f>
        <v/>
      </c>
      <c r="M128" s="14" t="str">
        <f>IF(OR(Progetti!E126="",Progetti!V126=""),"",Progetti!V126)</f>
        <v/>
      </c>
      <c r="N128" s="14" t="str">
        <f>IF(OR(Progetti!E126="",Progetti!W126=""),"",Progetti!W126)</f>
        <v/>
      </c>
      <c r="O128" s="14" t="str">
        <f>IF(OR(Progetti!E126="",Progetti!X126=""),"",Progetti!X126)</f>
        <v/>
      </c>
      <c r="P128" s="14" t="str">
        <f>IF(OR(Progetti!E126="",Progetti!Y126=""),"",Progetti!Y126)</f>
        <v/>
      </c>
      <c r="Q128" s="14" t="str">
        <f>IF(OR(Progetti!E126="",Progetti!Z126=""),"",Progetti!Z126)</f>
        <v/>
      </c>
      <c r="R128" s="14" t="str">
        <f>IF(OR(Progetti!E126="",Progetti!AA126=""),"",Progetti!AA126)</f>
        <v/>
      </c>
      <c r="S128" s="14" t="str">
        <f>IF(OR(Progetti!E126="",Progetti!AB126=""),"",Progetti!AB126)</f>
        <v/>
      </c>
      <c r="T128" s="14" t="str">
        <f>IF(OR(Progetti!E126="",Progetti!AC126=""),"",Progetti!AC126)</f>
        <v/>
      </c>
      <c r="U128" s="14" t="str">
        <f>IF(OR(Progetti!E126="",Progetti!AD126=""),"",Progetti!AD126)</f>
        <v/>
      </c>
      <c r="V128" s="14" t="str">
        <f>IF(OR(Progetti!E126="",Progetti!AE126=""),"",Progetti!AE126)</f>
        <v/>
      </c>
      <c r="W128" s="14" t="str">
        <f>IF(OR(Progetti!E126="",Progetti!AF126=""),"",Progetti!AF126)</f>
        <v/>
      </c>
      <c r="X128" s="14" t="str">
        <f>IF(OR(Progetti!E126="",Progetti!AG126=""),"",Progetti!AG126)</f>
        <v/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</row>
    <row r="129" spans="1:84" x14ac:dyDescent="0.35">
      <c r="A129" s="29" t="str">
        <f>IF(Progetti!E127="","",Progetti!A127)</f>
        <v/>
      </c>
      <c r="B129" s="29" t="str">
        <f>IF(Progetti!F127="","",Progetti!B127)</f>
        <v/>
      </c>
      <c r="C129" s="29" t="str">
        <f>IF(Progetti!E127="","",Progetti!C127)</f>
        <v/>
      </c>
      <c r="D129" s="29" t="str">
        <f>IF(Progetti!F127="","",Progetti!D127)</f>
        <v/>
      </c>
      <c r="E129" s="29" t="str">
        <f>IF(Progetti!E127="","",Progetti!E127)</f>
        <v/>
      </c>
      <c r="F129" s="40" t="str">
        <f>IF(Progetti!K127="","",Progetti!K127)</f>
        <v/>
      </c>
      <c r="G129" s="40" t="str">
        <f>IF(Progetti!L127="","",Progetti!L127)</f>
        <v/>
      </c>
      <c r="H129" s="29" t="str">
        <f>IF(Progetti!E127="","",Progetti!N127)</f>
        <v/>
      </c>
      <c r="I129" s="29" t="str">
        <f>IF(Progetti!E127="","",Progetti!M127)</f>
        <v/>
      </c>
      <c r="J129" s="38" t="str">
        <f>IF(Progetti!E127="","",Progetti!I127)</f>
        <v/>
      </c>
      <c r="K129" s="39" t="str">
        <f>IF(OR(Progetti!E127="",Progetti!Q127=""),"",Progetti!Q127)</f>
        <v/>
      </c>
      <c r="L129" s="39" t="str">
        <f>IF(OR(Progetti!E127="",Progetti!R127=""),"",Progetti!R127)</f>
        <v/>
      </c>
      <c r="M129" s="14" t="str">
        <f>IF(OR(Progetti!E127="",Progetti!V127=""),"",Progetti!V127)</f>
        <v/>
      </c>
      <c r="N129" s="14" t="str">
        <f>IF(OR(Progetti!E127="",Progetti!W127=""),"",Progetti!W127)</f>
        <v/>
      </c>
      <c r="O129" s="14" t="str">
        <f>IF(OR(Progetti!E127="",Progetti!X127=""),"",Progetti!X127)</f>
        <v/>
      </c>
      <c r="P129" s="14" t="str">
        <f>IF(OR(Progetti!E127="",Progetti!Y127=""),"",Progetti!Y127)</f>
        <v/>
      </c>
      <c r="Q129" s="14" t="str">
        <f>IF(OR(Progetti!E127="",Progetti!Z127=""),"",Progetti!Z127)</f>
        <v/>
      </c>
      <c r="R129" s="14" t="str">
        <f>IF(OR(Progetti!E127="",Progetti!AA127=""),"",Progetti!AA127)</f>
        <v/>
      </c>
      <c r="S129" s="14" t="str">
        <f>IF(OR(Progetti!E127="",Progetti!AB127=""),"",Progetti!AB127)</f>
        <v/>
      </c>
      <c r="T129" s="14" t="str">
        <f>IF(OR(Progetti!E127="",Progetti!AC127=""),"",Progetti!AC127)</f>
        <v/>
      </c>
      <c r="U129" s="14" t="str">
        <f>IF(OR(Progetti!E127="",Progetti!AD127=""),"",Progetti!AD127)</f>
        <v/>
      </c>
      <c r="V129" s="14" t="str">
        <f>IF(OR(Progetti!E127="",Progetti!AE127=""),"",Progetti!AE127)</f>
        <v/>
      </c>
      <c r="W129" s="14" t="str">
        <f>IF(OR(Progetti!E127="",Progetti!AF127=""),"",Progetti!AF127)</f>
        <v/>
      </c>
      <c r="X129" s="14" t="str">
        <f>IF(OR(Progetti!E127="",Progetti!AG127=""),"",Progetti!AG127)</f>
        <v/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</row>
    <row r="130" spans="1:84" x14ac:dyDescent="0.35">
      <c r="A130" s="29" t="str">
        <f>IF(Progetti!E128="","",Progetti!A128)</f>
        <v/>
      </c>
      <c r="B130" s="29" t="str">
        <f>IF(Progetti!F128="","",Progetti!B128)</f>
        <v/>
      </c>
      <c r="C130" s="29" t="str">
        <f>IF(Progetti!E128="","",Progetti!C128)</f>
        <v/>
      </c>
      <c r="D130" s="29" t="str">
        <f>IF(Progetti!F128="","",Progetti!D128)</f>
        <v/>
      </c>
      <c r="E130" s="29" t="str">
        <f>IF(Progetti!E128="","",Progetti!E128)</f>
        <v/>
      </c>
      <c r="F130" s="40" t="str">
        <f>IF(Progetti!K128="","",Progetti!K128)</f>
        <v/>
      </c>
      <c r="G130" s="40" t="str">
        <f>IF(Progetti!L128="","",Progetti!L128)</f>
        <v/>
      </c>
      <c r="H130" s="29" t="str">
        <f>IF(Progetti!E128="","",Progetti!N128)</f>
        <v/>
      </c>
      <c r="I130" s="29" t="str">
        <f>IF(Progetti!E128="","",Progetti!M128)</f>
        <v/>
      </c>
      <c r="J130" s="38" t="str">
        <f>IF(Progetti!E128="","",Progetti!I128)</f>
        <v/>
      </c>
      <c r="K130" s="39" t="str">
        <f>IF(OR(Progetti!E128="",Progetti!Q128=""),"",Progetti!Q128)</f>
        <v/>
      </c>
      <c r="L130" s="39" t="str">
        <f>IF(OR(Progetti!E128="",Progetti!R128=""),"",Progetti!R128)</f>
        <v/>
      </c>
      <c r="M130" s="14" t="str">
        <f>IF(OR(Progetti!E128="",Progetti!V128=""),"",Progetti!V128)</f>
        <v/>
      </c>
      <c r="N130" s="14" t="str">
        <f>IF(OR(Progetti!E128="",Progetti!W128=""),"",Progetti!W128)</f>
        <v/>
      </c>
      <c r="O130" s="14" t="str">
        <f>IF(OR(Progetti!E128="",Progetti!X128=""),"",Progetti!X128)</f>
        <v/>
      </c>
      <c r="P130" s="14" t="str">
        <f>IF(OR(Progetti!E128="",Progetti!Y128=""),"",Progetti!Y128)</f>
        <v/>
      </c>
      <c r="Q130" s="14" t="str">
        <f>IF(OR(Progetti!E128="",Progetti!Z128=""),"",Progetti!Z128)</f>
        <v/>
      </c>
      <c r="R130" s="14" t="str">
        <f>IF(OR(Progetti!E128="",Progetti!AA128=""),"",Progetti!AA128)</f>
        <v/>
      </c>
      <c r="S130" s="14" t="str">
        <f>IF(OR(Progetti!E128="",Progetti!AB128=""),"",Progetti!AB128)</f>
        <v/>
      </c>
      <c r="T130" s="14" t="str">
        <f>IF(OR(Progetti!E128="",Progetti!AC128=""),"",Progetti!AC128)</f>
        <v/>
      </c>
      <c r="U130" s="14" t="str">
        <f>IF(OR(Progetti!E128="",Progetti!AD128=""),"",Progetti!AD128)</f>
        <v/>
      </c>
      <c r="V130" s="14" t="str">
        <f>IF(OR(Progetti!E128="",Progetti!AE128=""),"",Progetti!AE128)</f>
        <v/>
      </c>
      <c r="W130" s="14" t="str">
        <f>IF(OR(Progetti!E128="",Progetti!AF128=""),"",Progetti!AF128)</f>
        <v/>
      </c>
      <c r="X130" s="14" t="str">
        <f>IF(OR(Progetti!E128="",Progetti!AG128=""),"",Progetti!AG128)</f>
        <v/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</row>
    <row r="131" spans="1:84" x14ac:dyDescent="0.35">
      <c r="A131" s="29" t="str">
        <f>IF(Progetti!E129="","",Progetti!A129)</f>
        <v/>
      </c>
      <c r="B131" s="29" t="str">
        <f>IF(Progetti!F129="","",Progetti!B129)</f>
        <v/>
      </c>
      <c r="C131" s="29" t="str">
        <f>IF(Progetti!E129="","",Progetti!C129)</f>
        <v/>
      </c>
      <c r="D131" s="29" t="str">
        <f>IF(Progetti!F129="","",Progetti!D129)</f>
        <v/>
      </c>
      <c r="E131" s="29" t="str">
        <f>IF(Progetti!E129="","",Progetti!E129)</f>
        <v/>
      </c>
      <c r="F131" s="40" t="str">
        <f>IF(Progetti!K129="","",Progetti!K129)</f>
        <v/>
      </c>
      <c r="G131" s="40" t="str">
        <f>IF(Progetti!L129="","",Progetti!L129)</f>
        <v/>
      </c>
      <c r="H131" s="29" t="str">
        <f>IF(Progetti!E129="","",Progetti!N129)</f>
        <v/>
      </c>
      <c r="I131" s="29" t="str">
        <f>IF(Progetti!E129="","",Progetti!M129)</f>
        <v/>
      </c>
      <c r="J131" s="38" t="str">
        <f>IF(Progetti!E129="","",Progetti!I129)</f>
        <v/>
      </c>
      <c r="K131" s="39" t="str">
        <f>IF(OR(Progetti!E129="",Progetti!Q129=""),"",Progetti!Q129)</f>
        <v/>
      </c>
      <c r="L131" s="39" t="str">
        <f>IF(OR(Progetti!E129="",Progetti!R129=""),"",Progetti!R129)</f>
        <v/>
      </c>
      <c r="M131" s="14" t="str">
        <f>IF(OR(Progetti!E129="",Progetti!V129=""),"",Progetti!V129)</f>
        <v/>
      </c>
      <c r="N131" s="14" t="str">
        <f>IF(OR(Progetti!E129="",Progetti!W129=""),"",Progetti!W129)</f>
        <v/>
      </c>
      <c r="O131" s="14" t="str">
        <f>IF(OR(Progetti!E129="",Progetti!X129=""),"",Progetti!X129)</f>
        <v/>
      </c>
      <c r="P131" s="14" t="str">
        <f>IF(OR(Progetti!E129="",Progetti!Y129=""),"",Progetti!Y129)</f>
        <v/>
      </c>
      <c r="Q131" s="14" t="str">
        <f>IF(OR(Progetti!E129="",Progetti!Z129=""),"",Progetti!Z129)</f>
        <v/>
      </c>
      <c r="R131" s="14" t="str">
        <f>IF(OR(Progetti!E129="",Progetti!AA129=""),"",Progetti!AA129)</f>
        <v/>
      </c>
      <c r="S131" s="14" t="str">
        <f>IF(OR(Progetti!E129="",Progetti!AB129=""),"",Progetti!AB129)</f>
        <v/>
      </c>
      <c r="T131" s="14" t="str">
        <f>IF(OR(Progetti!E129="",Progetti!AC129=""),"",Progetti!AC129)</f>
        <v/>
      </c>
      <c r="U131" s="14" t="str">
        <f>IF(OR(Progetti!E129="",Progetti!AD129=""),"",Progetti!AD129)</f>
        <v/>
      </c>
      <c r="V131" s="14" t="str">
        <f>IF(OR(Progetti!E129="",Progetti!AE129=""),"",Progetti!AE129)</f>
        <v/>
      </c>
      <c r="W131" s="14" t="str">
        <f>IF(OR(Progetti!E129="",Progetti!AF129=""),"",Progetti!AF129)</f>
        <v/>
      </c>
      <c r="X131" s="14" t="str">
        <f>IF(OR(Progetti!E129="",Progetti!AG129=""),"",Progetti!AG129)</f>
        <v/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</row>
    <row r="132" spans="1:84" x14ac:dyDescent="0.35">
      <c r="A132" s="29" t="str">
        <f>IF(Progetti!E130="","",Progetti!A130)</f>
        <v/>
      </c>
      <c r="B132" s="29" t="str">
        <f>IF(Progetti!F130="","",Progetti!B130)</f>
        <v/>
      </c>
      <c r="C132" s="29" t="str">
        <f>IF(Progetti!E130="","",Progetti!C130)</f>
        <v/>
      </c>
      <c r="D132" s="29" t="str">
        <f>IF(Progetti!F130="","",Progetti!D130)</f>
        <v/>
      </c>
      <c r="E132" s="29" t="str">
        <f>IF(Progetti!E130="","",Progetti!E130)</f>
        <v/>
      </c>
      <c r="F132" s="40" t="str">
        <f>IF(Progetti!K130="","",Progetti!K130)</f>
        <v/>
      </c>
      <c r="G132" s="40" t="str">
        <f>IF(Progetti!L130="","",Progetti!L130)</f>
        <v/>
      </c>
      <c r="H132" s="29" t="str">
        <f>IF(Progetti!E130="","",Progetti!N130)</f>
        <v/>
      </c>
      <c r="I132" s="29" t="str">
        <f>IF(Progetti!E130="","",Progetti!M130)</f>
        <v/>
      </c>
      <c r="J132" s="38" t="str">
        <f>IF(Progetti!E130="","",Progetti!I130)</f>
        <v/>
      </c>
      <c r="K132" s="39" t="str">
        <f>IF(OR(Progetti!E130="",Progetti!Q130=""),"",Progetti!Q130)</f>
        <v/>
      </c>
      <c r="L132" s="39" t="str">
        <f>IF(OR(Progetti!E130="",Progetti!R130=""),"",Progetti!R130)</f>
        <v/>
      </c>
      <c r="M132" s="14" t="str">
        <f>IF(OR(Progetti!E130="",Progetti!V130=""),"",Progetti!V130)</f>
        <v/>
      </c>
      <c r="N132" s="14" t="str">
        <f>IF(OR(Progetti!E130="",Progetti!W130=""),"",Progetti!W130)</f>
        <v/>
      </c>
      <c r="O132" s="14" t="str">
        <f>IF(OR(Progetti!E130="",Progetti!X130=""),"",Progetti!X130)</f>
        <v/>
      </c>
      <c r="P132" s="14" t="str">
        <f>IF(OR(Progetti!E130="",Progetti!Y130=""),"",Progetti!Y130)</f>
        <v/>
      </c>
      <c r="Q132" s="14" t="str">
        <f>IF(OR(Progetti!E130="",Progetti!Z130=""),"",Progetti!Z130)</f>
        <v/>
      </c>
      <c r="R132" s="14" t="str">
        <f>IF(OR(Progetti!E130="",Progetti!AA130=""),"",Progetti!AA130)</f>
        <v/>
      </c>
      <c r="S132" s="14" t="str">
        <f>IF(OR(Progetti!E130="",Progetti!AB130=""),"",Progetti!AB130)</f>
        <v/>
      </c>
      <c r="T132" s="14" t="str">
        <f>IF(OR(Progetti!E130="",Progetti!AC130=""),"",Progetti!AC130)</f>
        <v/>
      </c>
      <c r="U132" s="14" t="str">
        <f>IF(OR(Progetti!E130="",Progetti!AD130=""),"",Progetti!AD130)</f>
        <v/>
      </c>
      <c r="V132" s="14" t="str">
        <f>IF(OR(Progetti!E130="",Progetti!AE130=""),"",Progetti!AE130)</f>
        <v/>
      </c>
      <c r="W132" s="14" t="str">
        <f>IF(OR(Progetti!E130="",Progetti!AF130=""),"",Progetti!AF130)</f>
        <v/>
      </c>
      <c r="X132" s="14" t="str">
        <f>IF(OR(Progetti!E130="",Progetti!AG130=""),"",Progetti!AG130)</f>
        <v/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</row>
    <row r="133" spans="1:84" x14ac:dyDescent="0.35">
      <c r="A133" s="29" t="str">
        <f>IF(Progetti!E131="","",Progetti!A131)</f>
        <v/>
      </c>
      <c r="B133" s="29" t="str">
        <f>IF(Progetti!F131="","",Progetti!B131)</f>
        <v/>
      </c>
      <c r="C133" s="29" t="str">
        <f>IF(Progetti!E131="","",Progetti!C131)</f>
        <v/>
      </c>
      <c r="D133" s="29" t="str">
        <f>IF(Progetti!F131="","",Progetti!D131)</f>
        <v/>
      </c>
      <c r="E133" s="29" t="str">
        <f>IF(Progetti!E131="","",Progetti!E131)</f>
        <v/>
      </c>
      <c r="F133" s="40" t="str">
        <f>IF(Progetti!K131="","",Progetti!K131)</f>
        <v/>
      </c>
      <c r="G133" s="40" t="str">
        <f>IF(Progetti!L131="","",Progetti!L131)</f>
        <v/>
      </c>
      <c r="H133" s="29" t="str">
        <f>IF(Progetti!E131="","",Progetti!N131)</f>
        <v/>
      </c>
      <c r="I133" s="29" t="str">
        <f>IF(Progetti!E131="","",Progetti!M131)</f>
        <v/>
      </c>
      <c r="J133" s="38" t="str">
        <f>IF(Progetti!E131="","",Progetti!I131)</f>
        <v/>
      </c>
      <c r="K133" s="39" t="str">
        <f>IF(OR(Progetti!E131="",Progetti!Q131=""),"",Progetti!Q131)</f>
        <v/>
      </c>
      <c r="L133" s="39" t="str">
        <f>IF(OR(Progetti!E131="",Progetti!R131=""),"",Progetti!R131)</f>
        <v/>
      </c>
      <c r="M133" s="14" t="str">
        <f>IF(OR(Progetti!E131="",Progetti!V131=""),"",Progetti!V131)</f>
        <v/>
      </c>
      <c r="N133" s="14" t="str">
        <f>IF(OR(Progetti!E131="",Progetti!W131=""),"",Progetti!W131)</f>
        <v/>
      </c>
      <c r="O133" s="14" t="str">
        <f>IF(OR(Progetti!E131="",Progetti!X131=""),"",Progetti!X131)</f>
        <v/>
      </c>
      <c r="P133" s="14" t="str">
        <f>IF(OR(Progetti!E131="",Progetti!Y131=""),"",Progetti!Y131)</f>
        <v/>
      </c>
      <c r="Q133" s="14" t="str">
        <f>IF(OR(Progetti!E131="",Progetti!Z131=""),"",Progetti!Z131)</f>
        <v/>
      </c>
      <c r="R133" s="14" t="str">
        <f>IF(OR(Progetti!E131="",Progetti!AA131=""),"",Progetti!AA131)</f>
        <v/>
      </c>
      <c r="S133" s="14" t="str">
        <f>IF(OR(Progetti!E131="",Progetti!AB131=""),"",Progetti!AB131)</f>
        <v/>
      </c>
      <c r="T133" s="14" t="str">
        <f>IF(OR(Progetti!E131="",Progetti!AC131=""),"",Progetti!AC131)</f>
        <v/>
      </c>
      <c r="U133" s="14" t="str">
        <f>IF(OR(Progetti!E131="",Progetti!AD131=""),"",Progetti!AD131)</f>
        <v/>
      </c>
      <c r="V133" s="14" t="str">
        <f>IF(OR(Progetti!E131="",Progetti!AE131=""),"",Progetti!AE131)</f>
        <v/>
      </c>
      <c r="W133" s="14" t="str">
        <f>IF(OR(Progetti!E131="",Progetti!AF131=""),"",Progetti!AF131)</f>
        <v/>
      </c>
      <c r="X133" s="14" t="str">
        <f>IF(OR(Progetti!E131="",Progetti!AG131=""),"",Progetti!AG131)</f>
        <v/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</row>
    <row r="134" spans="1:84" x14ac:dyDescent="0.35">
      <c r="A134" s="29" t="str">
        <f>IF(Progetti!E132="","",Progetti!A132)</f>
        <v/>
      </c>
      <c r="B134" s="29" t="str">
        <f>IF(Progetti!F132="","",Progetti!B132)</f>
        <v/>
      </c>
      <c r="C134" s="29" t="str">
        <f>IF(Progetti!E132="","",Progetti!C132)</f>
        <v/>
      </c>
      <c r="D134" s="29" t="str">
        <f>IF(Progetti!F132="","",Progetti!D132)</f>
        <v/>
      </c>
      <c r="E134" s="29" t="str">
        <f>IF(Progetti!E132="","",Progetti!E132)</f>
        <v/>
      </c>
      <c r="F134" s="40" t="str">
        <f>IF(Progetti!K132="","",Progetti!K132)</f>
        <v/>
      </c>
      <c r="G134" s="40" t="str">
        <f>IF(Progetti!L132="","",Progetti!L132)</f>
        <v/>
      </c>
      <c r="H134" s="29" t="str">
        <f>IF(Progetti!E132="","",Progetti!N132)</f>
        <v/>
      </c>
      <c r="I134" s="29" t="str">
        <f>IF(Progetti!E132="","",Progetti!M132)</f>
        <v/>
      </c>
      <c r="J134" s="38" t="str">
        <f>IF(Progetti!E132="","",Progetti!I132)</f>
        <v/>
      </c>
      <c r="K134" s="39" t="str">
        <f>IF(OR(Progetti!E132="",Progetti!Q132=""),"",Progetti!Q132)</f>
        <v/>
      </c>
      <c r="L134" s="39" t="str">
        <f>IF(OR(Progetti!E132="",Progetti!R132=""),"",Progetti!R132)</f>
        <v/>
      </c>
      <c r="M134" s="14" t="str">
        <f>IF(OR(Progetti!E132="",Progetti!V132=""),"",Progetti!V132)</f>
        <v/>
      </c>
      <c r="N134" s="14" t="str">
        <f>IF(OR(Progetti!E132="",Progetti!W132=""),"",Progetti!W132)</f>
        <v/>
      </c>
      <c r="O134" s="14" t="str">
        <f>IF(OR(Progetti!E132="",Progetti!X132=""),"",Progetti!X132)</f>
        <v/>
      </c>
      <c r="P134" s="14" t="str">
        <f>IF(OR(Progetti!E132="",Progetti!Y132=""),"",Progetti!Y132)</f>
        <v/>
      </c>
      <c r="Q134" s="14" t="str">
        <f>IF(OR(Progetti!E132="",Progetti!Z132=""),"",Progetti!Z132)</f>
        <v/>
      </c>
      <c r="R134" s="14" t="str">
        <f>IF(OR(Progetti!E132="",Progetti!AA132=""),"",Progetti!AA132)</f>
        <v/>
      </c>
      <c r="S134" s="14" t="str">
        <f>IF(OR(Progetti!E132="",Progetti!AB132=""),"",Progetti!AB132)</f>
        <v/>
      </c>
      <c r="T134" s="14" t="str">
        <f>IF(OR(Progetti!E132="",Progetti!AC132=""),"",Progetti!AC132)</f>
        <v/>
      </c>
      <c r="U134" s="14" t="str">
        <f>IF(OR(Progetti!E132="",Progetti!AD132=""),"",Progetti!AD132)</f>
        <v/>
      </c>
      <c r="V134" s="14" t="str">
        <f>IF(OR(Progetti!E132="",Progetti!AE132=""),"",Progetti!AE132)</f>
        <v/>
      </c>
      <c r="W134" s="14" t="str">
        <f>IF(OR(Progetti!E132="",Progetti!AF132=""),"",Progetti!AF132)</f>
        <v/>
      </c>
      <c r="X134" s="14" t="str">
        <f>IF(OR(Progetti!E132="",Progetti!AG132=""),"",Progetti!AG132)</f>
        <v/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</row>
    <row r="135" spans="1:84" x14ac:dyDescent="0.35">
      <c r="A135" s="29" t="str">
        <f>IF(Progetti!E133="","",Progetti!A133)</f>
        <v/>
      </c>
      <c r="B135" s="29" t="str">
        <f>IF(Progetti!F133="","",Progetti!B133)</f>
        <v/>
      </c>
      <c r="C135" s="29" t="str">
        <f>IF(Progetti!E133="","",Progetti!C133)</f>
        <v/>
      </c>
      <c r="D135" s="29" t="str">
        <f>IF(Progetti!F133="","",Progetti!D133)</f>
        <v/>
      </c>
      <c r="E135" s="29" t="str">
        <f>IF(Progetti!E133="","",Progetti!E133)</f>
        <v/>
      </c>
      <c r="F135" s="40" t="str">
        <f>IF(Progetti!K133="","",Progetti!K133)</f>
        <v/>
      </c>
      <c r="G135" s="40" t="str">
        <f>IF(Progetti!L133="","",Progetti!L133)</f>
        <v/>
      </c>
      <c r="H135" s="29" t="str">
        <f>IF(Progetti!E133="","",Progetti!N133)</f>
        <v/>
      </c>
      <c r="I135" s="29" t="str">
        <f>IF(Progetti!E133="","",Progetti!M133)</f>
        <v/>
      </c>
      <c r="J135" s="38" t="str">
        <f>IF(Progetti!E133="","",Progetti!I133)</f>
        <v/>
      </c>
      <c r="K135" s="39" t="str">
        <f>IF(OR(Progetti!E133="",Progetti!Q133=""),"",Progetti!Q133)</f>
        <v/>
      </c>
      <c r="L135" s="39" t="str">
        <f>IF(OR(Progetti!E133="",Progetti!R133=""),"",Progetti!R133)</f>
        <v/>
      </c>
      <c r="M135" s="14" t="str">
        <f>IF(OR(Progetti!E133="",Progetti!V133=""),"",Progetti!V133)</f>
        <v/>
      </c>
      <c r="N135" s="14" t="str">
        <f>IF(OR(Progetti!E133="",Progetti!W133=""),"",Progetti!W133)</f>
        <v/>
      </c>
      <c r="O135" s="14" t="str">
        <f>IF(OR(Progetti!E133="",Progetti!X133=""),"",Progetti!X133)</f>
        <v/>
      </c>
      <c r="P135" s="14" t="str">
        <f>IF(OR(Progetti!E133="",Progetti!Y133=""),"",Progetti!Y133)</f>
        <v/>
      </c>
      <c r="Q135" s="14" t="str">
        <f>IF(OR(Progetti!E133="",Progetti!Z133=""),"",Progetti!Z133)</f>
        <v/>
      </c>
      <c r="R135" s="14" t="str">
        <f>IF(OR(Progetti!E133="",Progetti!AA133=""),"",Progetti!AA133)</f>
        <v/>
      </c>
      <c r="S135" s="14" t="str">
        <f>IF(OR(Progetti!E133="",Progetti!AB133=""),"",Progetti!AB133)</f>
        <v/>
      </c>
      <c r="T135" s="14" t="str">
        <f>IF(OR(Progetti!E133="",Progetti!AC133=""),"",Progetti!AC133)</f>
        <v/>
      </c>
      <c r="U135" s="14" t="str">
        <f>IF(OR(Progetti!E133="",Progetti!AD133=""),"",Progetti!AD133)</f>
        <v/>
      </c>
      <c r="V135" s="14" t="str">
        <f>IF(OR(Progetti!E133="",Progetti!AE133=""),"",Progetti!AE133)</f>
        <v/>
      </c>
      <c r="W135" s="14" t="str">
        <f>IF(OR(Progetti!E133="",Progetti!AF133=""),"",Progetti!AF133)</f>
        <v/>
      </c>
      <c r="X135" s="14" t="str">
        <f>IF(OR(Progetti!E133="",Progetti!AG133=""),"",Progetti!AG133)</f>
        <v/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</row>
    <row r="136" spans="1:84" x14ac:dyDescent="0.35">
      <c r="A136" s="29" t="str">
        <f>IF(Progetti!E134="","",Progetti!A134)</f>
        <v/>
      </c>
      <c r="B136" s="29" t="str">
        <f>IF(Progetti!F134="","",Progetti!B134)</f>
        <v/>
      </c>
      <c r="C136" s="29" t="str">
        <f>IF(Progetti!E134="","",Progetti!C134)</f>
        <v/>
      </c>
      <c r="D136" s="29" t="str">
        <f>IF(Progetti!F134="","",Progetti!D134)</f>
        <v/>
      </c>
      <c r="E136" s="29" t="str">
        <f>IF(Progetti!E134="","",Progetti!E134)</f>
        <v/>
      </c>
      <c r="F136" s="40" t="str">
        <f>IF(Progetti!K134="","",Progetti!K134)</f>
        <v/>
      </c>
      <c r="G136" s="40" t="str">
        <f>IF(Progetti!L134="","",Progetti!L134)</f>
        <v/>
      </c>
      <c r="H136" s="29" t="str">
        <f>IF(Progetti!E134="","",Progetti!N134)</f>
        <v/>
      </c>
      <c r="I136" s="29" t="str">
        <f>IF(Progetti!E134="","",Progetti!M134)</f>
        <v/>
      </c>
      <c r="J136" s="38" t="str">
        <f>IF(Progetti!E134="","",Progetti!I134)</f>
        <v/>
      </c>
      <c r="K136" s="39" t="str">
        <f>IF(OR(Progetti!E134="",Progetti!Q134=""),"",Progetti!Q134)</f>
        <v/>
      </c>
      <c r="L136" s="39" t="str">
        <f>IF(OR(Progetti!E134="",Progetti!R134=""),"",Progetti!R134)</f>
        <v/>
      </c>
      <c r="M136" s="14" t="str">
        <f>IF(OR(Progetti!E134="",Progetti!V134=""),"",Progetti!V134)</f>
        <v/>
      </c>
      <c r="N136" s="14" t="str">
        <f>IF(OR(Progetti!E134="",Progetti!W134=""),"",Progetti!W134)</f>
        <v/>
      </c>
      <c r="O136" s="14" t="str">
        <f>IF(OR(Progetti!E134="",Progetti!X134=""),"",Progetti!X134)</f>
        <v/>
      </c>
      <c r="P136" s="14" t="str">
        <f>IF(OR(Progetti!E134="",Progetti!Y134=""),"",Progetti!Y134)</f>
        <v/>
      </c>
      <c r="Q136" s="14" t="str">
        <f>IF(OR(Progetti!E134="",Progetti!Z134=""),"",Progetti!Z134)</f>
        <v/>
      </c>
      <c r="R136" s="14" t="str">
        <f>IF(OR(Progetti!E134="",Progetti!AA134=""),"",Progetti!AA134)</f>
        <v/>
      </c>
      <c r="S136" s="14" t="str">
        <f>IF(OR(Progetti!E134="",Progetti!AB134=""),"",Progetti!AB134)</f>
        <v/>
      </c>
      <c r="T136" s="14" t="str">
        <f>IF(OR(Progetti!E134="",Progetti!AC134=""),"",Progetti!AC134)</f>
        <v/>
      </c>
      <c r="U136" s="14" t="str">
        <f>IF(OR(Progetti!E134="",Progetti!AD134=""),"",Progetti!AD134)</f>
        <v/>
      </c>
      <c r="V136" s="14" t="str">
        <f>IF(OR(Progetti!E134="",Progetti!AE134=""),"",Progetti!AE134)</f>
        <v/>
      </c>
      <c r="W136" s="14" t="str">
        <f>IF(OR(Progetti!E134="",Progetti!AF134=""),"",Progetti!AF134)</f>
        <v/>
      </c>
      <c r="X136" s="14" t="str">
        <f>IF(OR(Progetti!E134="",Progetti!AG134=""),"",Progetti!AG134)</f>
        <v/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</row>
    <row r="137" spans="1:84" x14ac:dyDescent="0.35">
      <c r="A137" s="29" t="str">
        <f>IF(Progetti!E135="","",Progetti!A135)</f>
        <v/>
      </c>
      <c r="B137" s="29" t="str">
        <f>IF(Progetti!F135="","",Progetti!B135)</f>
        <v/>
      </c>
      <c r="C137" s="29" t="str">
        <f>IF(Progetti!E135="","",Progetti!C135)</f>
        <v/>
      </c>
      <c r="D137" s="29" t="str">
        <f>IF(Progetti!F135="","",Progetti!D135)</f>
        <v/>
      </c>
      <c r="E137" s="29" t="str">
        <f>IF(Progetti!E135="","",Progetti!E135)</f>
        <v/>
      </c>
      <c r="F137" s="40" t="str">
        <f>IF(Progetti!K135="","",Progetti!K135)</f>
        <v/>
      </c>
      <c r="G137" s="40" t="str">
        <f>IF(Progetti!L135="","",Progetti!L135)</f>
        <v/>
      </c>
      <c r="H137" s="29" t="str">
        <f>IF(Progetti!E135="","",Progetti!N135)</f>
        <v/>
      </c>
      <c r="I137" s="29" t="str">
        <f>IF(Progetti!E135="","",Progetti!M135)</f>
        <v/>
      </c>
      <c r="J137" s="38" t="str">
        <f>IF(Progetti!E135="","",Progetti!I135)</f>
        <v/>
      </c>
      <c r="K137" s="39" t="str">
        <f>IF(OR(Progetti!E135="",Progetti!Q135=""),"",Progetti!Q135)</f>
        <v/>
      </c>
      <c r="L137" s="39" t="str">
        <f>IF(OR(Progetti!E135="",Progetti!R135=""),"",Progetti!R135)</f>
        <v/>
      </c>
      <c r="M137" s="14" t="str">
        <f>IF(OR(Progetti!E135="",Progetti!V135=""),"",Progetti!V135)</f>
        <v/>
      </c>
      <c r="N137" s="14" t="str">
        <f>IF(OR(Progetti!E135="",Progetti!W135=""),"",Progetti!W135)</f>
        <v/>
      </c>
      <c r="O137" s="14" t="str">
        <f>IF(OR(Progetti!E135="",Progetti!X135=""),"",Progetti!X135)</f>
        <v/>
      </c>
      <c r="P137" s="14" t="str">
        <f>IF(OR(Progetti!E135="",Progetti!Y135=""),"",Progetti!Y135)</f>
        <v/>
      </c>
      <c r="Q137" s="14" t="str">
        <f>IF(OR(Progetti!E135="",Progetti!Z135=""),"",Progetti!Z135)</f>
        <v/>
      </c>
      <c r="R137" s="14" t="str">
        <f>IF(OR(Progetti!E135="",Progetti!AA135=""),"",Progetti!AA135)</f>
        <v/>
      </c>
      <c r="S137" s="14" t="str">
        <f>IF(OR(Progetti!E135="",Progetti!AB135=""),"",Progetti!AB135)</f>
        <v/>
      </c>
      <c r="T137" s="14" t="str">
        <f>IF(OR(Progetti!E135="",Progetti!AC135=""),"",Progetti!AC135)</f>
        <v/>
      </c>
      <c r="U137" s="14" t="str">
        <f>IF(OR(Progetti!E135="",Progetti!AD135=""),"",Progetti!AD135)</f>
        <v/>
      </c>
      <c r="V137" s="14" t="str">
        <f>IF(OR(Progetti!E135="",Progetti!AE135=""),"",Progetti!AE135)</f>
        <v/>
      </c>
      <c r="W137" s="14" t="str">
        <f>IF(OR(Progetti!E135="",Progetti!AF135=""),"",Progetti!AF135)</f>
        <v/>
      </c>
      <c r="X137" s="14" t="str">
        <f>IF(OR(Progetti!E135="",Progetti!AG135=""),"",Progetti!AG135)</f>
        <v/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</row>
    <row r="138" spans="1:84" x14ac:dyDescent="0.35">
      <c r="A138" s="29" t="str">
        <f>IF(Progetti!E136="","",Progetti!A136)</f>
        <v/>
      </c>
      <c r="B138" s="29" t="str">
        <f>IF(Progetti!F136="","",Progetti!B136)</f>
        <v/>
      </c>
      <c r="C138" s="29" t="str">
        <f>IF(Progetti!E136="","",Progetti!C136)</f>
        <v/>
      </c>
      <c r="D138" s="29" t="str">
        <f>IF(Progetti!F136="","",Progetti!D136)</f>
        <v/>
      </c>
      <c r="E138" s="29" t="str">
        <f>IF(Progetti!E136="","",Progetti!E136)</f>
        <v/>
      </c>
      <c r="F138" s="40" t="str">
        <f>IF(Progetti!K136="","",Progetti!K136)</f>
        <v/>
      </c>
      <c r="G138" s="40" t="str">
        <f>IF(Progetti!L136="","",Progetti!L136)</f>
        <v/>
      </c>
      <c r="H138" s="29" t="str">
        <f>IF(Progetti!E136="","",Progetti!N136)</f>
        <v/>
      </c>
      <c r="I138" s="29" t="str">
        <f>IF(Progetti!E136="","",Progetti!M136)</f>
        <v/>
      </c>
      <c r="J138" s="38" t="str">
        <f>IF(Progetti!E136="","",Progetti!I136)</f>
        <v/>
      </c>
      <c r="K138" s="39" t="str">
        <f>IF(OR(Progetti!E136="",Progetti!Q136=""),"",Progetti!Q136)</f>
        <v/>
      </c>
      <c r="L138" s="39" t="str">
        <f>IF(OR(Progetti!E136="",Progetti!R136=""),"",Progetti!R136)</f>
        <v/>
      </c>
      <c r="M138" s="14" t="str">
        <f>IF(OR(Progetti!E136="",Progetti!V136=""),"",Progetti!V136)</f>
        <v/>
      </c>
      <c r="N138" s="14" t="str">
        <f>IF(OR(Progetti!E136="",Progetti!W136=""),"",Progetti!W136)</f>
        <v/>
      </c>
      <c r="O138" s="14" t="str">
        <f>IF(OR(Progetti!E136="",Progetti!X136=""),"",Progetti!X136)</f>
        <v/>
      </c>
      <c r="P138" s="14" t="str">
        <f>IF(OR(Progetti!E136="",Progetti!Y136=""),"",Progetti!Y136)</f>
        <v/>
      </c>
      <c r="Q138" s="14" t="str">
        <f>IF(OR(Progetti!E136="",Progetti!Z136=""),"",Progetti!Z136)</f>
        <v/>
      </c>
      <c r="R138" s="14" t="str">
        <f>IF(OR(Progetti!E136="",Progetti!AA136=""),"",Progetti!AA136)</f>
        <v/>
      </c>
      <c r="S138" s="14" t="str">
        <f>IF(OR(Progetti!E136="",Progetti!AB136=""),"",Progetti!AB136)</f>
        <v/>
      </c>
      <c r="T138" s="14" t="str">
        <f>IF(OR(Progetti!E136="",Progetti!AC136=""),"",Progetti!AC136)</f>
        <v/>
      </c>
      <c r="U138" s="14" t="str">
        <f>IF(OR(Progetti!E136="",Progetti!AD136=""),"",Progetti!AD136)</f>
        <v/>
      </c>
      <c r="V138" s="14" t="str">
        <f>IF(OR(Progetti!E136="",Progetti!AE136=""),"",Progetti!AE136)</f>
        <v/>
      </c>
      <c r="W138" s="14" t="str">
        <f>IF(OR(Progetti!E136="",Progetti!AF136=""),"",Progetti!AF136)</f>
        <v/>
      </c>
      <c r="X138" s="14" t="str">
        <f>IF(OR(Progetti!E136="",Progetti!AG136=""),"",Progetti!AG136)</f>
        <v/>
      </c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</row>
    <row r="139" spans="1:84" x14ac:dyDescent="0.35">
      <c r="A139" s="29" t="str">
        <f>IF(Progetti!E137="","",Progetti!A137)</f>
        <v/>
      </c>
      <c r="B139" s="29" t="str">
        <f>IF(Progetti!F137="","",Progetti!B137)</f>
        <v/>
      </c>
      <c r="C139" s="29" t="str">
        <f>IF(Progetti!E137="","",Progetti!C137)</f>
        <v/>
      </c>
      <c r="D139" s="29" t="str">
        <f>IF(Progetti!F137="","",Progetti!D137)</f>
        <v/>
      </c>
      <c r="E139" s="29" t="str">
        <f>IF(Progetti!E137="","",Progetti!E137)</f>
        <v/>
      </c>
      <c r="F139" s="40" t="str">
        <f>IF(Progetti!K137="","",Progetti!K137)</f>
        <v/>
      </c>
      <c r="G139" s="40" t="str">
        <f>IF(Progetti!L137="","",Progetti!L137)</f>
        <v/>
      </c>
      <c r="H139" s="29" t="str">
        <f>IF(Progetti!E137="","",Progetti!N137)</f>
        <v/>
      </c>
      <c r="I139" s="29" t="str">
        <f>IF(Progetti!E137="","",Progetti!M137)</f>
        <v/>
      </c>
      <c r="J139" s="38" t="str">
        <f>IF(Progetti!E137="","",Progetti!I137)</f>
        <v/>
      </c>
      <c r="K139" s="39" t="str">
        <f>IF(OR(Progetti!E137="",Progetti!Q137=""),"",Progetti!Q137)</f>
        <v/>
      </c>
      <c r="L139" s="39" t="str">
        <f>IF(OR(Progetti!E137="",Progetti!R137=""),"",Progetti!R137)</f>
        <v/>
      </c>
      <c r="M139" s="14" t="str">
        <f>IF(OR(Progetti!E137="",Progetti!V137=""),"",Progetti!V137)</f>
        <v/>
      </c>
      <c r="N139" s="14" t="str">
        <f>IF(OR(Progetti!E137="",Progetti!W137=""),"",Progetti!W137)</f>
        <v/>
      </c>
      <c r="O139" s="14" t="str">
        <f>IF(OR(Progetti!E137="",Progetti!X137=""),"",Progetti!X137)</f>
        <v/>
      </c>
      <c r="P139" s="14" t="str">
        <f>IF(OR(Progetti!E137="",Progetti!Y137=""),"",Progetti!Y137)</f>
        <v/>
      </c>
      <c r="Q139" s="14" t="str">
        <f>IF(OR(Progetti!E137="",Progetti!Z137=""),"",Progetti!Z137)</f>
        <v/>
      </c>
      <c r="R139" s="14" t="str">
        <f>IF(OR(Progetti!E137="",Progetti!AA137=""),"",Progetti!AA137)</f>
        <v/>
      </c>
      <c r="S139" s="14" t="str">
        <f>IF(OR(Progetti!E137="",Progetti!AB137=""),"",Progetti!AB137)</f>
        <v/>
      </c>
      <c r="T139" s="14" t="str">
        <f>IF(OR(Progetti!E137="",Progetti!AC137=""),"",Progetti!AC137)</f>
        <v/>
      </c>
      <c r="U139" s="14" t="str">
        <f>IF(OR(Progetti!E137="",Progetti!AD137=""),"",Progetti!AD137)</f>
        <v/>
      </c>
      <c r="V139" s="14" t="str">
        <f>IF(OR(Progetti!E137="",Progetti!AE137=""),"",Progetti!AE137)</f>
        <v/>
      </c>
      <c r="W139" s="14" t="str">
        <f>IF(OR(Progetti!E137="",Progetti!AF137=""),"",Progetti!AF137)</f>
        <v/>
      </c>
      <c r="X139" s="14" t="str">
        <f>IF(OR(Progetti!E137="",Progetti!AG137=""),"",Progetti!AG137)</f>
        <v/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</row>
    <row r="140" spans="1:84" x14ac:dyDescent="0.35">
      <c r="A140" s="29" t="str">
        <f>IF(Progetti!E138="","",Progetti!A138)</f>
        <v/>
      </c>
      <c r="B140" s="29" t="str">
        <f>IF(Progetti!F138="","",Progetti!B138)</f>
        <v/>
      </c>
      <c r="C140" s="29" t="str">
        <f>IF(Progetti!E138="","",Progetti!C138)</f>
        <v/>
      </c>
      <c r="D140" s="29" t="str">
        <f>IF(Progetti!F138="","",Progetti!D138)</f>
        <v/>
      </c>
      <c r="E140" s="29" t="str">
        <f>IF(Progetti!E138="","",Progetti!E138)</f>
        <v/>
      </c>
      <c r="F140" s="40" t="str">
        <f>IF(Progetti!K138="","",Progetti!K138)</f>
        <v/>
      </c>
      <c r="G140" s="40" t="str">
        <f>IF(Progetti!L138="","",Progetti!L138)</f>
        <v/>
      </c>
      <c r="H140" s="29" t="str">
        <f>IF(Progetti!E138="","",Progetti!N138)</f>
        <v/>
      </c>
      <c r="I140" s="29" t="str">
        <f>IF(Progetti!E138="","",Progetti!M138)</f>
        <v/>
      </c>
      <c r="J140" s="38" t="str">
        <f>IF(Progetti!E138="","",Progetti!I138)</f>
        <v/>
      </c>
      <c r="K140" s="39" t="str">
        <f>IF(OR(Progetti!E138="",Progetti!Q138=""),"",Progetti!Q138)</f>
        <v/>
      </c>
      <c r="L140" s="39" t="str">
        <f>IF(OR(Progetti!E138="",Progetti!R138=""),"",Progetti!R138)</f>
        <v/>
      </c>
      <c r="M140" s="14" t="str">
        <f>IF(OR(Progetti!E138="",Progetti!V138=""),"",Progetti!V138)</f>
        <v/>
      </c>
      <c r="N140" s="14" t="str">
        <f>IF(OR(Progetti!E138="",Progetti!W138=""),"",Progetti!W138)</f>
        <v/>
      </c>
      <c r="O140" s="14" t="str">
        <f>IF(OR(Progetti!E138="",Progetti!X138=""),"",Progetti!X138)</f>
        <v/>
      </c>
      <c r="P140" s="14" t="str">
        <f>IF(OR(Progetti!E138="",Progetti!Y138=""),"",Progetti!Y138)</f>
        <v/>
      </c>
      <c r="Q140" s="14" t="str">
        <f>IF(OR(Progetti!E138="",Progetti!Z138=""),"",Progetti!Z138)</f>
        <v/>
      </c>
      <c r="R140" s="14" t="str">
        <f>IF(OR(Progetti!E138="",Progetti!AA138=""),"",Progetti!AA138)</f>
        <v/>
      </c>
      <c r="S140" s="14" t="str">
        <f>IF(OR(Progetti!E138="",Progetti!AB138=""),"",Progetti!AB138)</f>
        <v/>
      </c>
      <c r="T140" s="14" t="str">
        <f>IF(OR(Progetti!E138="",Progetti!AC138=""),"",Progetti!AC138)</f>
        <v/>
      </c>
      <c r="U140" s="14" t="str">
        <f>IF(OR(Progetti!E138="",Progetti!AD138=""),"",Progetti!AD138)</f>
        <v/>
      </c>
      <c r="V140" s="14" t="str">
        <f>IF(OR(Progetti!E138="",Progetti!AE138=""),"",Progetti!AE138)</f>
        <v/>
      </c>
      <c r="W140" s="14" t="str">
        <f>IF(OR(Progetti!E138="",Progetti!AF138=""),"",Progetti!AF138)</f>
        <v/>
      </c>
      <c r="X140" s="14" t="str">
        <f>IF(OR(Progetti!E138="",Progetti!AG138=""),"",Progetti!AG138)</f>
        <v/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</row>
    <row r="141" spans="1:84" x14ac:dyDescent="0.35">
      <c r="A141" s="29" t="str">
        <f>IF(Progetti!E139="","",Progetti!A139)</f>
        <v/>
      </c>
      <c r="B141" s="29" t="str">
        <f>IF(Progetti!F139="","",Progetti!B139)</f>
        <v/>
      </c>
      <c r="C141" s="29" t="str">
        <f>IF(Progetti!E139="","",Progetti!C139)</f>
        <v/>
      </c>
      <c r="D141" s="29" t="str">
        <f>IF(Progetti!F139="","",Progetti!D139)</f>
        <v/>
      </c>
      <c r="E141" s="29" t="str">
        <f>IF(Progetti!E139="","",Progetti!E139)</f>
        <v/>
      </c>
      <c r="F141" s="40" t="str">
        <f>IF(Progetti!K139="","",Progetti!K139)</f>
        <v/>
      </c>
      <c r="G141" s="40" t="str">
        <f>IF(Progetti!L139="","",Progetti!L139)</f>
        <v/>
      </c>
      <c r="H141" s="29" t="str">
        <f>IF(Progetti!E139="","",Progetti!N139)</f>
        <v/>
      </c>
      <c r="I141" s="29" t="str">
        <f>IF(Progetti!E139="","",Progetti!M139)</f>
        <v/>
      </c>
      <c r="J141" s="38" t="str">
        <f>IF(Progetti!E139="","",Progetti!I139)</f>
        <v/>
      </c>
      <c r="K141" s="39" t="str">
        <f>IF(OR(Progetti!E139="",Progetti!Q139=""),"",Progetti!Q139)</f>
        <v/>
      </c>
      <c r="L141" s="39" t="str">
        <f>IF(OR(Progetti!E139="",Progetti!R139=""),"",Progetti!R139)</f>
        <v/>
      </c>
      <c r="M141" s="14" t="str">
        <f>IF(OR(Progetti!E139="",Progetti!V139=""),"",Progetti!V139)</f>
        <v/>
      </c>
      <c r="N141" s="14" t="str">
        <f>IF(OR(Progetti!E139="",Progetti!W139=""),"",Progetti!W139)</f>
        <v/>
      </c>
      <c r="O141" s="14" t="str">
        <f>IF(OR(Progetti!E139="",Progetti!X139=""),"",Progetti!X139)</f>
        <v/>
      </c>
      <c r="P141" s="14" t="str">
        <f>IF(OR(Progetti!E139="",Progetti!Y139=""),"",Progetti!Y139)</f>
        <v/>
      </c>
      <c r="Q141" s="14" t="str">
        <f>IF(OR(Progetti!E139="",Progetti!Z139=""),"",Progetti!Z139)</f>
        <v/>
      </c>
      <c r="R141" s="14" t="str">
        <f>IF(OR(Progetti!E139="",Progetti!AA139=""),"",Progetti!AA139)</f>
        <v/>
      </c>
      <c r="S141" s="14" t="str">
        <f>IF(OR(Progetti!E139="",Progetti!AB139=""),"",Progetti!AB139)</f>
        <v/>
      </c>
      <c r="T141" s="14" t="str">
        <f>IF(OR(Progetti!E139="",Progetti!AC139=""),"",Progetti!AC139)</f>
        <v/>
      </c>
      <c r="U141" s="14" t="str">
        <f>IF(OR(Progetti!E139="",Progetti!AD139=""),"",Progetti!AD139)</f>
        <v/>
      </c>
      <c r="V141" s="14" t="str">
        <f>IF(OR(Progetti!E139="",Progetti!AE139=""),"",Progetti!AE139)</f>
        <v/>
      </c>
      <c r="W141" s="14" t="str">
        <f>IF(OR(Progetti!E139="",Progetti!AF139=""),"",Progetti!AF139)</f>
        <v/>
      </c>
      <c r="X141" s="14" t="str">
        <f>IF(OR(Progetti!E139="",Progetti!AG139=""),"",Progetti!AG139)</f>
        <v/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</row>
    <row r="142" spans="1:84" x14ac:dyDescent="0.35">
      <c r="A142" s="29" t="str">
        <f>IF(Progetti!E140="","",Progetti!A140)</f>
        <v/>
      </c>
      <c r="B142" s="29" t="str">
        <f>IF(Progetti!F140="","",Progetti!B140)</f>
        <v/>
      </c>
      <c r="C142" s="29" t="str">
        <f>IF(Progetti!E140="","",Progetti!C140)</f>
        <v/>
      </c>
      <c r="D142" s="29" t="str">
        <f>IF(Progetti!F140="","",Progetti!D140)</f>
        <v/>
      </c>
      <c r="E142" s="29" t="str">
        <f>IF(Progetti!E140="","",Progetti!E140)</f>
        <v/>
      </c>
      <c r="F142" s="40" t="str">
        <f>IF(Progetti!K140="","",Progetti!K140)</f>
        <v/>
      </c>
      <c r="G142" s="40" t="str">
        <f>IF(Progetti!L140="","",Progetti!L140)</f>
        <v/>
      </c>
      <c r="H142" s="29" t="str">
        <f>IF(Progetti!E140="","",Progetti!N140)</f>
        <v/>
      </c>
      <c r="I142" s="29" t="str">
        <f>IF(Progetti!E140="","",Progetti!M140)</f>
        <v/>
      </c>
      <c r="J142" s="38" t="str">
        <f>IF(Progetti!E140="","",Progetti!I140)</f>
        <v/>
      </c>
      <c r="K142" s="39" t="str">
        <f>IF(OR(Progetti!E140="",Progetti!Q140=""),"",Progetti!Q140)</f>
        <v/>
      </c>
      <c r="L142" s="39" t="str">
        <f>IF(OR(Progetti!E140="",Progetti!R140=""),"",Progetti!R140)</f>
        <v/>
      </c>
      <c r="M142" s="14" t="str">
        <f>IF(OR(Progetti!E140="",Progetti!V140=""),"",Progetti!V140)</f>
        <v/>
      </c>
      <c r="N142" s="14" t="str">
        <f>IF(OR(Progetti!E140="",Progetti!W140=""),"",Progetti!W140)</f>
        <v/>
      </c>
      <c r="O142" s="14" t="str">
        <f>IF(OR(Progetti!E140="",Progetti!X140=""),"",Progetti!X140)</f>
        <v/>
      </c>
      <c r="P142" s="14" t="str">
        <f>IF(OR(Progetti!E140="",Progetti!Y140=""),"",Progetti!Y140)</f>
        <v/>
      </c>
      <c r="Q142" s="14" t="str">
        <f>IF(OR(Progetti!E140="",Progetti!Z140=""),"",Progetti!Z140)</f>
        <v/>
      </c>
      <c r="R142" s="14" t="str">
        <f>IF(OR(Progetti!E140="",Progetti!AA140=""),"",Progetti!AA140)</f>
        <v/>
      </c>
      <c r="S142" s="14" t="str">
        <f>IF(OR(Progetti!E140="",Progetti!AB140=""),"",Progetti!AB140)</f>
        <v/>
      </c>
      <c r="T142" s="14" t="str">
        <f>IF(OR(Progetti!E140="",Progetti!AC140=""),"",Progetti!AC140)</f>
        <v/>
      </c>
      <c r="U142" s="14" t="str">
        <f>IF(OR(Progetti!E140="",Progetti!AD140=""),"",Progetti!AD140)</f>
        <v/>
      </c>
      <c r="V142" s="14" t="str">
        <f>IF(OR(Progetti!E140="",Progetti!AE140=""),"",Progetti!AE140)</f>
        <v/>
      </c>
      <c r="W142" s="14" t="str">
        <f>IF(OR(Progetti!E140="",Progetti!AF140=""),"",Progetti!AF140)</f>
        <v/>
      </c>
      <c r="X142" s="14" t="str">
        <f>IF(OR(Progetti!E140="",Progetti!AG140=""),"",Progetti!AG140)</f>
        <v/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</row>
    <row r="143" spans="1:84" x14ac:dyDescent="0.35">
      <c r="A143" s="29" t="str">
        <f>IF(Progetti!E141="","",Progetti!A141)</f>
        <v/>
      </c>
      <c r="B143" s="29" t="str">
        <f>IF(Progetti!F141="","",Progetti!B141)</f>
        <v/>
      </c>
      <c r="C143" s="29" t="str">
        <f>IF(Progetti!E141="","",Progetti!C141)</f>
        <v/>
      </c>
      <c r="D143" s="29" t="str">
        <f>IF(Progetti!F141="","",Progetti!D141)</f>
        <v/>
      </c>
      <c r="E143" s="29" t="str">
        <f>IF(Progetti!E141="","",Progetti!E141)</f>
        <v/>
      </c>
      <c r="F143" s="40" t="str">
        <f>IF(Progetti!K141="","",Progetti!K141)</f>
        <v/>
      </c>
      <c r="G143" s="40" t="str">
        <f>IF(Progetti!L141="","",Progetti!L141)</f>
        <v/>
      </c>
      <c r="H143" s="29" t="str">
        <f>IF(Progetti!E141="","",Progetti!N141)</f>
        <v/>
      </c>
      <c r="I143" s="29" t="str">
        <f>IF(Progetti!E141="","",Progetti!M141)</f>
        <v/>
      </c>
      <c r="J143" s="38" t="str">
        <f>IF(Progetti!E141="","",Progetti!I141)</f>
        <v/>
      </c>
      <c r="K143" s="39" t="str">
        <f>IF(OR(Progetti!E141="",Progetti!Q141=""),"",Progetti!Q141)</f>
        <v/>
      </c>
      <c r="L143" s="39" t="str">
        <f>IF(OR(Progetti!E141="",Progetti!R141=""),"",Progetti!R141)</f>
        <v/>
      </c>
      <c r="M143" s="14" t="str">
        <f>IF(OR(Progetti!E141="",Progetti!V141=""),"",Progetti!V141)</f>
        <v/>
      </c>
      <c r="N143" s="14" t="str">
        <f>IF(OR(Progetti!E141="",Progetti!W141=""),"",Progetti!W141)</f>
        <v/>
      </c>
      <c r="O143" s="14" t="str">
        <f>IF(OR(Progetti!E141="",Progetti!X141=""),"",Progetti!X141)</f>
        <v/>
      </c>
      <c r="P143" s="14" t="str">
        <f>IF(OR(Progetti!E141="",Progetti!Y141=""),"",Progetti!Y141)</f>
        <v/>
      </c>
      <c r="Q143" s="14" t="str">
        <f>IF(OR(Progetti!E141="",Progetti!Z141=""),"",Progetti!Z141)</f>
        <v/>
      </c>
      <c r="R143" s="14" t="str">
        <f>IF(OR(Progetti!E141="",Progetti!AA141=""),"",Progetti!AA141)</f>
        <v/>
      </c>
      <c r="S143" s="14" t="str">
        <f>IF(OR(Progetti!E141="",Progetti!AB141=""),"",Progetti!AB141)</f>
        <v/>
      </c>
      <c r="T143" s="14" t="str">
        <f>IF(OR(Progetti!E141="",Progetti!AC141=""),"",Progetti!AC141)</f>
        <v/>
      </c>
      <c r="U143" s="14" t="str">
        <f>IF(OR(Progetti!E141="",Progetti!AD141=""),"",Progetti!AD141)</f>
        <v/>
      </c>
      <c r="V143" s="14" t="str">
        <f>IF(OR(Progetti!E141="",Progetti!AE141=""),"",Progetti!AE141)</f>
        <v/>
      </c>
      <c r="W143" s="14" t="str">
        <f>IF(OR(Progetti!E141="",Progetti!AF141=""),"",Progetti!AF141)</f>
        <v/>
      </c>
      <c r="X143" s="14" t="str">
        <f>IF(OR(Progetti!E141="",Progetti!AG141=""),"",Progetti!AG141)</f>
        <v/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</row>
    <row r="144" spans="1:84" x14ac:dyDescent="0.35">
      <c r="A144" s="29" t="str">
        <f>IF(Progetti!E142="","",Progetti!A142)</f>
        <v/>
      </c>
      <c r="B144" s="29" t="str">
        <f>IF(Progetti!F142="","",Progetti!B142)</f>
        <v/>
      </c>
      <c r="C144" s="29" t="str">
        <f>IF(Progetti!E142="","",Progetti!C142)</f>
        <v/>
      </c>
      <c r="D144" s="29" t="str">
        <f>IF(Progetti!F142="","",Progetti!D142)</f>
        <v/>
      </c>
      <c r="E144" s="29" t="str">
        <f>IF(Progetti!E142="","",Progetti!E142)</f>
        <v/>
      </c>
      <c r="F144" s="40" t="str">
        <f>IF(Progetti!K142="","",Progetti!K142)</f>
        <v/>
      </c>
      <c r="G144" s="40" t="str">
        <f>IF(Progetti!L142="","",Progetti!L142)</f>
        <v/>
      </c>
      <c r="H144" s="29" t="str">
        <f>IF(Progetti!E142="","",Progetti!N142)</f>
        <v/>
      </c>
      <c r="I144" s="29" t="str">
        <f>IF(Progetti!E142="","",Progetti!M142)</f>
        <v/>
      </c>
      <c r="J144" s="38" t="str">
        <f>IF(Progetti!E142="","",Progetti!I142)</f>
        <v/>
      </c>
      <c r="K144" s="39" t="str">
        <f>IF(OR(Progetti!E142="",Progetti!Q142=""),"",Progetti!Q142)</f>
        <v/>
      </c>
      <c r="L144" s="39" t="str">
        <f>IF(OR(Progetti!E142="",Progetti!R142=""),"",Progetti!R142)</f>
        <v/>
      </c>
      <c r="M144" s="14" t="str">
        <f>IF(OR(Progetti!E142="",Progetti!V142=""),"",Progetti!V142)</f>
        <v/>
      </c>
      <c r="N144" s="14" t="str">
        <f>IF(OR(Progetti!E142="",Progetti!W142=""),"",Progetti!W142)</f>
        <v/>
      </c>
      <c r="O144" s="14" t="str">
        <f>IF(OR(Progetti!E142="",Progetti!X142=""),"",Progetti!X142)</f>
        <v/>
      </c>
      <c r="P144" s="14" t="str">
        <f>IF(OR(Progetti!E142="",Progetti!Y142=""),"",Progetti!Y142)</f>
        <v/>
      </c>
      <c r="Q144" s="14" t="str">
        <f>IF(OR(Progetti!E142="",Progetti!Z142=""),"",Progetti!Z142)</f>
        <v/>
      </c>
      <c r="R144" s="14" t="str">
        <f>IF(OR(Progetti!E142="",Progetti!AA142=""),"",Progetti!AA142)</f>
        <v/>
      </c>
      <c r="S144" s="14" t="str">
        <f>IF(OR(Progetti!E142="",Progetti!AB142=""),"",Progetti!AB142)</f>
        <v/>
      </c>
      <c r="T144" s="14" t="str">
        <f>IF(OR(Progetti!E142="",Progetti!AC142=""),"",Progetti!AC142)</f>
        <v/>
      </c>
      <c r="U144" s="14" t="str">
        <f>IF(OR(Progetti!E142="",Progetti!AD142=""),"",Progetti!AD142)</f>
        <v/>
      </c>
      <c r="V144" s="14" t="str">
        <f>IF(OR(Progetti!E142="",Progetti!AE142=""),"",Progetti!AE142)</f>
        <v/>
      </c>
      <c r="W144" s="14" t="str">
        <f>IF(OR(Progetti!E142="",Progetti!AF142=""),"",Progetti!AF142)</f>
        <v/>
      </c>
      <c r="X144" s="14" t="str">
        <f>IF(OR(Progetti!E142="",Progetti!AG142=""),"",Progetti!AG142)</f>
        <v/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</row>
    <row r="145" spans="1:84" x14ac:dyDescent="0.35">
      <c r="A145" s="29" t="str">
        <f>IF(Progetti!E143="","",Progetti!A143)</f>
        <v/>
      </c>
      <c r="B145" s="29" t="str">
        <f>IF(Progetti!F143="","",Progetti!B143)</f>
        <v/>
      </c>
      <c r="C145" s="29" t="str">
        <f>IF(Progetti!E143="","",Progetti!C143)</f>
        <v/>
      </c>
      <c r="D145" s="29" t="str">
        <f>IF(Progetti!F143="","",Progetti!D143)</f>
        <v/>
      </c>
      <c r="E145" s="29" t="str">
        <f>IF(Progetti!E143="","",Progetti!E143)</f>
        <v/>
      </c>
      <c r="F145" s="40" t="str">
        <f>IF(Progetti!K143="","",Progetti!K143)</f>
        <v/>
      </c>
      <c r="G145" s="40" t="str">
        <f>IF(Progetti!L143="","",Progetti!L143)</f>
        <v/>
      </c>
      <c r="H145" s="29" t="str">
        <f>IF(Progetti!E143="","",Progetti!N143)</f>
        <v/>
      </c>
      <c r="I145" s="29" t="str">
        <f>IF(Progetti!E143="","",Progetti!M143)</f>
        <v/>
      </c>
      <c r="J145" s="38" t="str">
        <f>IF(Progetti!E143="","",Progetti!I143)</f>
        <v/>
      </c>
      <c r="K145" s="39" t="str">
        <f>IF(OR(Progetti!E143="",Progetti!Q143=""),"",Progetti!Q143)</f>
        <v/>
      </c>
      <c r="L145" s="39" t="str">
        <f>IF(OR(Progetti!E143="",Progetti!R143=""),"",Progetti!R143)</f>
        <v/>
      </c>
      <c r="M145" s="14" t="str">
        <f>IF(OR(Progetti!E143="",Progetti!V143=""),"",Progetti!V143)</f>
        <v/>
      </c>
      <c r="N145" s="14" t="str">
        <f>IF(OR(Progetti!E143="",Progetti!W143=""),"",Progetti!W143)</f>
        <v/>
      </c>
      <c r="O145" s="14" t="str">
        <f>IF(OR(Progetti!E143="",Progetti!X143=""),"",Progetti!X143)</f>
        <v/>
      </c>
      <c r="P145" s="14" t="str">
        <f>IF(OR(Progetti!E143="",Progetti!Y143=""),"",Progetti!Y143)</f>
        <v/>
      </c>
      <c r="Q145" s="14" t="str">
        <f>IF(OR(Progetti!E143="",Progetti!Z143=""),"",Progetti!Z143)</f>
        <v/>
      </c>
      <c r="R145" s="14" t="str">
        <f>IF(OR(Progetti!E143="",Progetti!AA143=""),"",Progetti!AA143)</f>
        <v/>
      </c>
      <c r="S145" s="14" t="str">
        <f>IF(OR(Progetti!E143="",Progetti!AB143=""),"",Progetti!AB143)</f>
        <v/>
      </c>
      <c r="T145" s="14" t="str">
        <f>IF(OR(Progetti!E143="",Progetti!AC143=""),"",Progetti!AC143)</f>
        <v/>
      </c>
      <c r="U145" s="14" t="str">
        <f>IF(OR(Progetti!E143="",Progetti!AD143=""),"",Progetti!AD143)</f>
        <v/>
      </c>
      <c r="V145" s="14" t="str">
        <f>IF(OR(Progetti!E143="",Progetti!AE143=""),"",Progetti!AE143)</f>
        <v/>
      </c>
      <c r="W145" s="14" t="str">
        <f>IF(OR(Progetti!E143="",Progetti!AF143=""),"",Progetti!AF143)</f>
        <v/>
      </c>
      <c r="X145" s="14" t="str">
        <f>IF(OR(Progetti!E143="",Progetti!AG143=""),"",Progetti!AG143)</f>
        <v/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</row>
    <row r="146" spans="1:84" x14ac:dyDescent="0.35">
      <c r="A146" s="29" t="str">
        <f>IF(Progetti!E144="","",Progetti!A144)</f>
        <v/>
      </c>
      <c r="B146" s="29" t="str">
        <f>IF(Progetti!F144="","",Progetti!B144)</f>
        <v/>
      </c>
      <c r="C146" s="29" t="str">
        <f>IF(Progetti!E144="","",Progetti!C144)</f>
        <v/>
      </c>
      <c r="D146" s="29" t="str">
        <f>IF(Progetti!F144="","",Progetti!D144)</f>
        <v/>
      </c>
      <c r="E146" s="29" t="str">
        <f>IF(Progetti!E144="","",Progetti!E144)</f>
        <v/>
      </c>
      <c r="F146" s="40" t="str">
        <f>IF(Progetti!K144="","",Progetti!K144)</f>
        <v/>
      </c>
      <c r="G146" s="40" t="str">
        <f>IF(Progetti!L144="","",Progetti!L144)</f>
        <v/>
      </c>
      <c r="H146" s="29" t="str">
        <f>IF(Progetti!E144="","",Progetti!N144)</f>
        <v/>
      </c>
      <c r="I146" s="29" t="str">
        <f>IF(Progetti!E144="","",Progetti!M144)</f>
        <v/>
      </c>
      <c r="J146" s="38" t="str">
        <f>IF(Progetti!E144="","",Progetti!I144)</f>
        <v/>
      </c>
      <c r="K146" s="39" t="str">
        <f>IF(OR(Progetti!E144="",Progetti!Q144=""),"",Progetti!Q144)</f>
        <v/>
      </c>
      <c r="L146" s="39" t="str">
        <f>IF(OR(Progetti!E144="",Progetti!R144=""),"",Progetti!R144)</f>
        <v/>
      </c>
      <c r="M146" s="14" t="str">
        <f>IF(OR(Progetti!E144="",Progetti!V144=""),"",Progetti!V144)</f>
        <v/>
      </c>
      <c r="N146" s="14" t="str">
        <f>IF(OR(Progetti!E144="",Progetti!W144=""),"",Progetti!W144)</f>
        <v/>
      </c>
      <c r="O146" s="14" t="str">
        <f>IF(OR(Progetti!E144="",Progetti!X144=""),"",Progetti!X144)</f>
        <v/>
      </c>
      <c r="P146" s="14" t="str">
        <f>IF(OR(Progetti!E144="",Progetti!Y144=""),"",Progetti!Y144)</f>
        <v/>
      </c>
      <c r="Q146" s="14" t="str">
        <f>IF(OR(Progetti!E144="",Progetti!Z144=""),"",Progetti!Z144)</f>
        <v/>
      </c>
      <c r="R146" s="14" t="str">
        <f>IF(OR(Progetti!E144="",Progetti!AA144=""),"",Progetti!AA144)</f>
        <v/>
      </c>
      <c r="S146" s="14" t="str">
        <f>IF(OR(Progetti!E144="",Progetti!AB144=""),"",Progetti!AB144)</f>
        <v/>
      </c>
      <c r="T146" s="14" t="str">
        <f>IF(OR(Progetti!E144="",Progetti!AC144=""),"",Progetti!AC144)</f>
        <v/>
      </c>
      <c r="U146" s="14" t="str">
        <f>IF(OR(Progetti!E144="",Progetti!AD144=""),"",Progetti!AD144)</f>
        <v/>
      </c>
      <c r="V146" s="14" t="str">
        <f>IF(OR(Progetti!E144="",Progetti!AE144=""),"",Progetti!AE144)</f>
        <v/>
      </c>
      <c r="W146" s="14" t="str">
        <f>IF(OR(Progetti!E144="",Progetti!AF144=""),"",Progetti!AF144)</f>
        <v/>
      </c>
      <c r="X146" s="14" t="str">
        <f>IF(OR(Progetti!E144="",Progetti!AG144=""),"",Progetti!AG144)</f>
        <v/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</row>
    <row r="147" spans="1:84" x14ac:dyDescent="0.35">
      <c r="A147" s="29" t="str">
        <f>IF(Progetti!E145="","",Progetti!A145)</f>
        <v/>
      </c>
      <c r="B147" s="29" t="str">
        <f>IF(Progetti!F145="","",Progetti!B145)</f>
        <v/>
      </c>
      <c r="C147" s="29" t="str">
        <f>IF(Progetti!E145="","",Progetti!C145)</f>
        <v/>
      </c>
      <c r="D147" s="29" t="str">
        <f>IF(Progetti!F145="","",Progetti!D145)</f>
        <v/>
      </c>
      <c r="E147" s="29" t="str">
        <f>IF(Progetti!E145="","",Progetti!E145)</f>
        <v/>
      </c>
      <c r="F147" s="40" t="str">
        <f>IF(Progetti!K145="","",Progetti!K145)</f>
        <v/>
      </c>
      <c r="G147" s="40" t="str">
        <f>IF(Progetti!L145="","",Progetti!L145)</f>
        <v/>
      </c>
      <c r="H147" s="29" t="str">
        <f>IF(Progetti!E145="","",Progetti!N145)</f>
        <v/>
      </c>
      <c r="I147" s="29" t="str">
        <f>IF(Progetti!E145="","",Progetti!M145)</f>
        <v/>
      </c>
      <c r="J147" s="38" t="str">
        <f>IF(Progetti!E145="","",Progetti!I145)</f>
        <v/>
      </c>
      <c r="K147" s="39" t="str">
        <f>IF(OR(Progetti!E145="",Progetti!Q145=""),"",Progetti!Q145)</f>
        <v/>
      </c>
      <c r="L147" s="39" t="str">
        <f>IF(OR(Progetti!E145="",Progetti!R145=""),"",Progetti!R145)</f>
        <v/>
      </c>
      <c r="M147" s="14" t="str">
        <f>IF(OR(Progetti!E145="",Progetti!V145=""),"",Progetti!V145)</f>
        <v/>
      </c>
      <c r="N147" s="14" t="str">
        <f>IF(OR(Progetti!E145="",Progetti!W145=""),"",Progetti!W145)</f>
        <v/>
      </c>
      <c r="O147" s="14" t="str">
        <f>IF(OR(Progetti!E145="",Progetti!X145=""),"",Progetti!X145)</f>
        <v/>
      </c>
      <c r="P147" s="14" t="str">
        <f>IF(OR(Progetti!E145="",Progetti!Y145=""),"",Progetti!Y145)</f>
        <v/>
      </c>
      <c r="Q147" s="14" t="str">
        <f>IF(OR(Progetti!E145="",Progetti!Z145=""),"",Progetti!Z145)</f>
        <v/>
      </c>
      <c r="R147" s="14" t="str">
        <f>IF(OR(Progetti!E145="",Progetti!AA145=""),"",Progetti!AA145)</f>
        <v/>
      </c>
      <c r="S147" s="14" t="str">
        <f>IF(OR(Progetti!E145="",Progetti!AB145=""),"",Progetti!AB145)</f>
        <v/>
      </c>
      <c r="T147" s="14" t="str">
        <f>IF(OR(Progetti!E145="",Progetti!AC145=""),"",Progetti!AC145)</f>
        <v/>
      </c>
      <c r="U147" s="14" t="str">
        <f>IF(OR(Progetti!E145="",Progetti!AD145=""),"",Progetti!AD145)</f>
        <v/>
      </c>
      <c r="V147" s="14" t="str">
        <f>IF(OR(Progetti!E145="",Progetti!AE145=""),"",Progetti!AE145)</f>
        <v/>
      </c>
      <c r="W147" s="14" t="str">
        <f>IF(OR(Progetti!E145="",Progetti!AF145=""),"",Progetti!AF145)</f>
        <v/>
      </c>
      <c r="X147" s="14" t="str">
        <f>IF(OR(Progetti!E145="",Progetti!AG145=""),"",Progetti!AG145)</f>
        <v/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</row>
    <row r="148" spans="1:84" x14ac:dyDescent="0.35">
      <c r="A148" s="29" t="str">
        <f>IF(Progetti!E146="","",Progetti!A146)</f>
        <v/>
      </c>
      <c r="B148" s="29" t="str">
        <f>IF(Progetti!F146="","",Progetti!B146)</f>
        <v/>
      </c>
      <c r="C148" s="29" t="str">
        <f>IF(Progetti!E146="","",Progetti!C146)</f>
        <v/>
      </c>
      <c r="D148" s="29" t="str">
        <f>IF(Progetti!F146="","",Progetti!D146)</f>
        <v/>
      </c>
      <c r="E148" s="29" t="str">
        <f>IF(Progetti!E146="","",Progetti!E146)</f>
        <v/>
      </c>
      <c r="F148" s="40" t="str">
        <f>IF(Progetti!K146="","",Progetti!K146)</f>
        <v/>
      </c>
      <c r="G148" s="40" t="str">
        <f>IF(Progetti!L146="","",Progetti!L146)</f>
        <v/>
      </c>
      <c r="H148" s="29" t="str">
        <f>IF(Progetti!E146="","",Progetti!N146)</f>
        <v/>
      </c>
      <c r="I148" s="29" t="str">
        <f>IF(Progetti!E146="","",Progetti!M146)</f>
        <v/>
      </c>
      <c r="J148" s="38" t="str">
        <f>IF(Progetti!E146="","",Progetti!I146)</f>
        <v/>
      </c>
      <c r="K148" s="39" t="str">
        <f>IF(OR(Progetti!E146="",Progetti!Q146=""),"",Progetti!Q146)</f>
        <v/>
      </c>
      <c r="L148" s="39" t="str">
        <f>IF(OR(Progetti!E146="",Progetti!R146=""),"",Progetti!R146)</f>
        <v/>
      </c>
      <c r="M148" s="14" t="str">
        <f>IF(OR(Progetti!E146="",Progetti!V146=""),"",Progetti!V146)</f>
        <v/>
      </c>
      <c r="N148" s="14" t="str">
        <f>IF(OR(Progetti!E146="",Progetti!W146=""),"",Progetti!W146)</f>
        <v/>
      </c>
      <c r="O148" s="14" t="str">
        <f>IF(OR(Progetti!E146="",Progetti!X146=""),"",Progetti!X146)</f>
        <v/>
      </c>
      <c r="P148" s="14" t="str">
        <f>IF(OR(Progetti!E146="",Progetti!Y146=""),"",Progetti!Y146)</f>
        <v/>
      </c>
      <c r="Q148" s="14" t="str">
        <f>IF(OR(Progetti!E146="",Progetti!Z146=""),"",Progetti!Z146)</f>
        <v/>
      </c>
      <c r="R148" s="14" t="str">
        <f>IF(OR(Progetti!E146="",Progetti!AA146=""),"",Progetti!AA146)</f>
        <v/>
      </c>
      <c r="S148" s="14" t="str">
        <f>IF(OR(Progetti!E146="",Progetti!AB146=""),"",Progetti!AB146)</f>
        <v/>
      </c>
      <c r="T148" s="14" t="str">
        <f>IF(OR(Progetti!E146="",Progetti!AC146=""),"",Progetti!AC146)</f>
        <v/>
      </c>
      <c r="U148" s="14" t="str">
        <f>IF(OR(Progetti!E146="",Progetti!AD146=""),"",Progetti!AD146)</f>
        <v/>
      </c>
      <c r="V148" s="14" t="str">
        <f>IF(OR(Progetti!E146="",Progetti!AE146=""),"",Progetti!AE146)</f>
        <v/>
      </c>
      <c r="W148" s="14" t="str">
        <f>IF(OR(Progetti!E146="",Progetti!AF146=""),"",Progetti!AF146)</f>
        <v/>
      </c>
      <c r="X148" s="14" t="str">
        <f>IF(OR(Progetti!E146="",Progetti!AG146=""),"",Progetti!AG146)</f>
        <v/>
      </c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</row>
    <row r="149" spans="1:84" x14ac:dyDescent="0.35">
      <c r="A149" s="29" t="str">
        <f>IF(Progetti!E147="","",Progetti!A147)</f>
        <v/>
      </c>
      <c r="B149" s="29" t="str">
        <f>IF(Progetti!F147="","",Progetti!B147)</f>
        <v/>
      </c>
      <c r="C149" s="29" t="str">
        <f>IF(Progetti!E147="","",Progetti!C147)</f>
        <v/>
      </c>
      <c r="D149" s="29" t="str">
        <f>IF(Progetti!F147="","",Progetti!D147)</f>
        <v/>
      </c>
      <c r="E149" s="29" t="str">
        <f>IF(Progetti!E147="","",Progetti!E147)</f>
        <v/>
      </c>
      <c r="F149" s="40" t="str">
        <f>IF(Progetti!K147="","",Progetti!K147)</f>
        <v/>
      </c>
      <c r="G149" s="40" t="str">
        <f>IF(Progetti!L147="","",Progetti!L147)</f>
        <v/>
      </c>
      <c r="H149" s="29" t="str">
        <f>IF(Progetti!E147="","",Progetti!N147)</f>
        <v/>
      </c>
      <c r="I149" s="29" t="str">
        <f>IF(Progetti!E147="","",Progetti!M147)</f>
        <v/>
      </c>
      <c r="J149" s="38" t="str">
        <f>IF(Progetti!E147="","",Progetti!I147)</f>
        <v/>
      </c>
      <c r="K149" s="39" t="str">
        <f>IF(OR(Progetti!E147="",Progetti!Q147=""),"",Progetti!Q147)</f>
        <v/>
      </c>
      <c r="L149" s="39" t="str">
        <f>IF(OR(Progetti!E147="",Progetti!R147=""),"",Progetti!R147)</f>
        <v/>
      </c>
      <c r="M149" s="14" t="str">
        <f>IF(OR(Progetti!E147="",Progetti!V147=""),"",Progetti!V147)</f>
        <v/>
      </c>
      <c r="N149" s="14" t="str">
        <f>IF(OR(Progetti!E147="",Progetti!W147=""),"",Progetti!W147)</f>
        <v/>
      </c>
      <c r="O149" s="14" t="str">
        <f>IF(OR(Progetti!E147="",Progetti!X147=""),"",Progetti!X147)</f>
        <v/>
      </c>
      <c r="P149" s="14" t="str">
        <f>IF(OR(Progetti!E147="",Progetti!Y147=""),"",Progetti!Y147)</f>
        <v/>
      </c>
      <c r="Q149" s="14" t="str">
        <f>IF(OR(Progetti!E147="",Progetti!Z147=""),"",Progetti!Z147)</f>
        <v/>
      </c>
      <c r="R149" s="14" t="str">
        <f>IF(OR(Progetti!E147="",Progetti!AA147=""),"",Progetti!AA147)</f>
        <v/>
      </c>
      <c r="S149" s="14" t="str">
        <f>IF(OR(Progetti!E147="",Progetti!AB147=""),"",Progetti!AB147)</f>
        <v/>
      </c>
      <c r="T149" s="14" t="str">
        <f>IF(OR(Progetti!E147="",Progetti!AC147=""),"",Progetti!AC147)</f>
        <v/>
      </c>
      <c r="U149" s="14" t="str">
        <f>IF(OR(Progetti!E147="",Progetti!AD147=""),"",Progetti!AD147)</f>
        <v/>
      </c>
      <c r="V149" s="14" t="str">
        <f>IF(OR(Progetti!E147="",Progetti!AE147=""),"",Progetti!AE147)</f>
        <v/>
      </c>
      <c r="W149" s="14" t="str">
        <f>IF(OR(Progetti!E147="",Progetti!AF147=""),"",Progetti!AF147)</f>
        <v/>
      </c>
      <c r="X149" s="14" t="str">
        <f>IF(OR(Progetti!E147="",Progetti!AG147=""),"",Progetti!AG147)</f>
        <v/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</row>
    <row r="150" spans="1:84" x14ac:dyDescent="0.35">
      <c r="A150" s="29" t="str">
        <f>IF(Progetti!E148="","",Progetti!A148)</f>
        <v/>
      </c>
      <c r="B150" s="29" t="str">
        <f>IF(Progetti!F148="","",Progetti!B148)</f>
        <v/>
      </c>
      <c r="C150" s="29" t="str">
        <f>IF(Progetti!E148="","",Progetti!C148)</f>
        <v/>
      </c>
      <c r="D150" s="29" t="str">
        <f>IF(Progetti!F148="","",Progetti!D148)</f>
        <v/>
      </c>
      <c r="E150" s="29" t="str">
        <f>IF(Progetti!E148="","",Progetti!E148)</f>
        <v/>
      </c>
      <c r="F150" s="40" t="str">
        <f>IF(Progetti!K148="","",Progetti!K148)</f>
        <v/>
      </c>
      <c r="G150" s="40" t="str">
        <f>IF(Progetti!L148="","",Progetti!L148)</f>
        <v/>
      </c>
      <c r="H150" s="29" t="str">
        <f>IF(Progetti!E148="","",Progetti!N148)</f>
        <v/>
      </c>
      <c r="I150" s="29" t="str">
        <f>IF(Progetti!E148="","",Progetti!M148)</f>
        <v/>
      </c>
      <c r="J150" s="38" t="str">
        <f>IF(Progetti!E148="","",Progetti!I148)</f>
        <v/>
      </c>
      <c r="K150" s="39" t="str">
        <f>IF(OR(Progetti!E148="",Progetti!Q148=""),"",Progetti!Q148)</f>
        <v/>
      </c>
      <c r="L150" s="39" t="str">
        <f>IF(OR(Progetti!E148="",Progetti!R148=""),"",Progetti!R148)</f>
        <v/>
      </c>
      <c r="M150" s="14" t="str">
        <f>IF(OR(Progetti!E148="",Progetti!V148=""),"",Progetti!V148)</f>
        <v/>
      </c>
      <c r="N150" s="14" t="str">
        <f>IF(OR(Progetti!E148="",Progetti!W148=""),"",Progetti!W148)</f>
        <v/>
      </c>
      <c r="O150" s="14" t="str">
        <f>IF(OR(Progetti!E148="",Progetti!X148=""),"",Progetti!X148)</f>
        <v/>
      </c>
      <c r="P150" s="14" t="str">
        <f>IF(OR(Progetti!E148="",Progetti!Y148=""),"",Progetti!Y148)</f>
        <v/>
      </c>
      <c r="Q150" s="14" t="str">
        <f>IF(OR(Progetti!E148="",Progetti!Z148=""),"",Progetti!Z148)</f>
        <v/>
      </c>
      <c r="R150" s="14" t="str">
        <f>IF(OR(Progetti!E148="",Progetti!AA148=""),"",Progetti!AA148)</f>
        <v/>
      </c>
      <c r="S150" s="14" t="str">
        <f>IF(OR(Progetti!E148="",Progetti!AB148=""),"",Progetti!AB148)</f>
        <v/>
      </c>
      <c r="T150" s="14" t="str">
        <f>IF(OR(Progetti!E148="",Progetti!AC148=""),"",Progetti!AC148)</f>
        <v/>
      </c>
      <c r="U150" s="14" t="str">
        <f>IF(OR(Progetti!E148="",Progetti!AD148=""),"",Progetti!AD148)</f>
        <v/>
      </c>
      <c r="V150" s="14" t="str">
        <f>IF(OR(Progetti!E148="",Progetti!AE148=""),"",Progetti!AE148)</f>
        <v/>
      </c>
      <c r="W150" s="14" t="str">
        <f>IF(OR(Progetti!E148="",Progetti!AF148=""),"",Progetti!AF148)</f>
        <v/>
      </c>
      <c r="X150" s="14" t="str">
        <f>IF(OR(Progetti!E148="",Progetti!AG148=""),"",Progetti!AG148)</f>
        <v/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</row>
    <row r="151" spans="1:84" x14ac:dyDescent="0.35">
      <c r="A151" s="29" t="str">
        <f>IF(Progetti!E149="","",Progetti!A149)</f>
        <v/>
      </c>
      <c r="B151" s="29" t="str">
        <f>IF(Progetti!F149="","",Progetti!B149)</f>
        <v/>
      </c>
      <c r="C151" s="29" t="str">
        <f>IF(Progetti!E149="","",Progetti!C149)</f>
        <v/>
      </c>
      <c r="D151" s="29" t="str">
        <f>IF(Progetti!F149="","",Progetti!D149)</f>
        <v/>
      </c>
      <c r="E151" s="29" t="str">
        <f>IF(Progetti!E149="","",Progetti!E149)</f>
        <v/>
      </c>
      <c r="F151" s="40" t="str">
        <f>IF(Progetti!K149="","",Progetti!K149)</f>
        <v/>
      </c>
      <c r="G151" s="40" t="str">
        <f>IF(Progetti!L149="","",Progetti!L149)</f>
        <v/>
      </c>
      <c r="H151" s="29" t="str">
        <f>IF(Progetti!E149="","",Progetti!N149)</f>
        <v/>
      </c>
      <c r="I151" s="29" t="str">
        <f>IF(Progetti!E149="","",Progetti!M149)</f>
        <v/>
      </c>
      <c r="J151" s="38" t="str">
        <f>IF(Progetti!E149="","",Progetti!I149)</f>
        <v/>
      </c>
      <c r="K151" s="39" t="str">
        <f>IF(OR(Progetti!E149="",Progetti!Q149=""),"",Progetti!Q149)</f>
        <v/>
      </c>
      <c r="L151" s="39" t="str">
        <f>IF(OR(Progetti!E149="",Progetti!R149=""),"",Progetti!R149)</f>
        <v/>
      </c>
      <c r="M151" s="14" t="str">
        <f>IF(OR(Progetti!E149="",Progetti!V149=""),"",Progetti!V149)</f>
        <v/>
      </c>
      <c r="N151" s="14" t="str">
        <f>IF(OR(Progetti!E149="",Progetti!W149=""),"",Progetti!W149)</f>
        <v/>
      </c>
      <c r="O151" s="14" t="str">
        <f>IF(OR(Progetti!E149="",Progetti!X149=""),"",Progetti!X149)</f>
        <v/>
      </c>
      <c r="P151" s="14" t="str">
        <f>IF(OR(Progetti!E149="",Progetti!Y149=""),"",Progetti!Y149)</f>
        <v/>
      </c>
      <c r="Q151" s="14" t="str">
        <f>IF(OR(Progetti!E149="",Progetti!Z149=""),"",Progetti!Z149)</f>
        <v/>
      </c>
      <c r="R151" s="14" t="str">
        <f>IF(OR(Progetti!E149="",Progetti!AA149=""),"",Progetti!AA149)</f>
        <v/>
      </c>
      <c r="S151" s="14" t="str">
        <f>IF(OR(Progetti!E149="",Progetti!AB149=""),"",Progetti!AB149)</f>
        <v/>
      </c>
      <c r="T151" s="14" t="str">
        <f>IF(OR(Progetti!E149="",Progetti!AC149=""),"",Progetti!AC149)</f>
        <v/>
      </c>
      <c r="U151" s="14" t="str">
        <f>IF(OR(Progetti!E149="",Progetti!AD149=""),"",Progetti!AD149)</f>
        <v/>
      </c>
      <c r="V151" s="14" t="str">
        <f>IF(OR(Progetti!E149="",Progetti!AE149=""),"",Progetti!AE149)</f>
        <v/>
      </c>
      <c r="W151" s="14" t="str">
        <f>IF(OR(Progetti!E149="",Progetti!AF149=""),"",Progetti!AF149)</f>
        <v/>
      </c>
      <c r="X151" s="14" t="str">
        <f>IF(OR(Progetti!E149="",Progetti!AG149=""),"",Progetti!AG149)</f>
        <v/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</row>
    <row r="152" spans="1:84" x14ac:dyDescent="0.35">
      <c r="A152" s="29" t="str">
        <f>IF(Progetti!E150="","",Progetti!A150)</f>
        <v/>
      </c>
      <c r="B152" s="29" t="str">
        <f>IF(Progetti!F150="","",Progetti!B150)</f>
        <v/>
      </c>
      <c r="C152" s="29" t="str">
        <f>IF(Progetti!E150="","",Progetti!C150)</f>
        <v/>
      </c>
      <c r="D152" s="29" t="str">
        <f>IF(Progetti!F150="","",Progetti!D150)</f>
        <v/>
      </c>
      <c r="E152" s="29" t="str">
        <f>IF(Progetti!E150="","",Progetti!E150)</f>
        <v/>
      </c>
      <c r="F152" s="40" t="str">
        <f>IF(Progetti!K150="","",Progetti!K150)</f>
        <v/>
      </c>
      <c r="G152" s="40" t="str">
        <f>IF(Progetti!L150="","",Progetti!L150)</f>
        <v/>
      </c>
      <c r="H152" s="29" t="str">
        <f>IF(Progetti!E150="","",Progetti!N150)</f>
        <v/>
      </c>
      <c r="I152" s="29" t="str">
        <f>IF(Progetti!E150="","",Progetti!M150)</f>
        <v/>
      </c>
      <c r="J152" s="38" t="str">
        <f>IF(Progetti!E150="","",Progetti!I150)</f>
        <v/>
      </c>
      <c r="K152" s="39" t="str">
        <f>IF(OR(Progetti!E150="",Progetti!Q150=""),"",Progetti!Q150)</f>
        <v/>
      </c>
      <c r="L152" s="39" t="str">
        <f>IF(OR(Progetti!E150="",Progetti!R150=""),"",Progetti!R150)</f>
        <v/>
      </c>
      <c r="M152" s="14" t="str">
        <f>IF(OR(Progetti!E150="",Progetti!V150=""),"",Progetti!V150)</f>
        <v/>
      </c>
      <c r="N152" s="14" t="str">
        <f>IF(OR(Progetti!E150="",Progetti!W150=""),"",Progetti!W150)</f>
        <v/>
      </c>
      <c r="O152" s="14" t="str">
        <f>IF(OR(Progetti!E150="",Progetti!X150=""),"",Progetti!X150)</f>
        <v/>
      </c>
      <c r="P152" s="14" t="str">
        <f>IF(OR(Progetti!E150="",Progetti!Y150=""),"",Progetti!Y150)</f>
        <v/>
      </c>
      <c r="Q152" s="14" t="str">
        <f>IF(OR(Progetti!E150="",Progetti!Z150=""),"",Progetti!Z150)</f>
        <v/>
      </c>
      <c r="R152" s="14" t="str">
        <f>IF(OR(Progetti!E150="",Progetti!AA150=""),"",Progetti!AA150)</f>
        <v/>
      </c>
      <c r="S152" s="14" t="str">
        <f>IF(OR(Progetti!E150="",Progetti!AB150=""),"",Progetti!AB150)</f>
        <v/>
      </c>
      <c r="T152" s="14" t="str">
        <f>IF(OR(Progetti!E150="",Progetti!AC150=""),"",Progetti!AC150)</f>
        <v/>
      </c>
      <c r="U152" s="14" t="str">
        <f>IF(OR(Progetti!E150="",Progetti!AD150=""),"",Progetti!AD150)</f>
        <v/>
      </c>
      <c r="V152" s="14" t="str">
        <f>IF(OR(Progetti!E150="",Progetti!AE150=""),"",Progetti!AE150)</f>
        <v/>
      </c>
      <c r="W152" s="14" t="str">
        <f>IF(OR(Progetti!E150="",Progetti!AF150=""),"",Progetti!AF150)</f>
        <v/>
      </c>
      <c r="X152" s="14" t="str">
        <f>IF(OR(Progetti!E150="",Progetti!AG150=""),"",Progetti!AG150)</f>
        <v/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</row>
    <row r="153" spans="1:84" x14ac:dyDescent="0.35">
      <c r="A153" s="29" t="str">
        <f>IF(Progetti!E151="","",Progetti!A151)</f>
        <v/>
      </c>
      <c r="B153" s="29" t="str">
        <f>IF(Progetti!F151="","",Progetti!B151)</f>
        <v/>
      </c>
      <c r="C153" s="29" t="str">
        <f>IF(Progetti!E151="","",Progetti!C151)</f>
        <v/>
      </c>
      <c r="D153" s="29" t="str">
        <f>IF(Progetti!F151="","",Progetti!D151)</f>
        <v/>
      </c>
      <c r="E153" s="29" t="str">
        <f>IF(Progetti!E151="","",Progetti!E151)</f>
        <v/>
      </c>
      <c r="F153" s="40" t="str">
        <f>IF(Progetti!K151="","",Progetti!K151)</f>
        <v/>
      </c>
      <c r="G153" s="40" t="str">
        <f>IF(Progetti!L151="","",Progetti!L151)</f>
        <v/>
      </c>
      <c r="H153" s="29" t="str">
        <f>IF(Progetti!E151="","",Progetti!N151)</f>
        <v/>
      </c>
      <c r="I153" s="29" t="str">
        <f>IF(Progetti!E151="","",Progetti!M151)</f>
        <v/>
      </c>
      <c r="J153" s="38" t="str">
        <f>IF(Progetti!E151="","",Progetti!I151)</f>
        <v/>
      </c>
      <c r="K153" s="39" t="str">
        <f>IF(OR(Progetti!E151="",Progetti!Q151=""),"",Progetti!Q151)</f>
        <v/>
      </c>
      <c r="L153" s="39" t="str">
        <f>IF(OR(Progetti!E151="",Progetti!R151=""),"",Progetti!R151)</f>
        <v/>
      </c>
      <c r="M153" s="14" t="str">
        <f>IF(OR(Progetti!E151="",Progetti!V151=""),"",Progetti!V151)</f>
        <v/>
      </c>
      <c r="N153" s="14" t="str">
        <f>IF(OR(Progetti!E151="",Progetti!W151=""),"",Progetti!W151)</f>
        <v/>
      </c>
      <c r="O153" s="14" t="str">
        <f>IF(OR(Progetti!E151="",Progetti!X151=""),"",Progetti!X151)</f>
        <v/>
      </c>
      <c r="P153" s="14" t="str">
        <f>IF(OR(Progetti!E151="",Progetti!Y151=""),"",Progetti!Y151)</f>
        <v/>
      </c>
      <c r="Q153" s="14" t="str">
        <f>IF(OR(Progetti!E151="",Progetti!Z151=""),"",Progetti!Z151)</f>
        <v/>
      </c>
      <c r="R153" s="14" t="str">
        <f>IF(OR(Progetti!E151="",Progetti!AA151=""),"",Progetti!AA151)</f>
        <v/>
      </c>
      <c r="S153" s="14" t="str">
        <f>IF(OR(Progetti!E151="",Progetti!AB151=""),"",Progetti!AB151)</f>
        <v/>
      </c>
      <c r="T153" s="14" t="str">
        <f>IF(OR(Progetti!E151="",Progetti!AC151=""),"",Progetti!AC151)</f>
        <v/>
      </c>
      <c r="U153" s="14" t="str">
        <f>IF(OR(Progetti!E151="",Progetti!AD151=""),"",Progetti!AD151)</f>
        <v/>
      </c>
      <c r="V153" s="14" t="str">
        <f>IF(OR(Progetti!E151="",Progetti!AE151=""),"",Progetti!AE151)</f>
        <v/>
      </c>
      <c r="W153" s="14" t="str">
        <f>IF(OR(Progetti!E151="",Progetti!AF151=""),"",Progetti!AF151)</f>
        <v/>
      </c>
      <c r="X153" s="14" t="str">
        <f>IF(OR(Progetti!E151="",Progetti!AG151=""),"",Progetti!AG151)</f>
        <v/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</row>
    <row r="154" spans="1:84" x14ac:dyDescent="0.35">
      <c r="A154" s="29" t="str">
        <f>IF(Progetti!E152="","",Progetti!A152)</f>
        <v/>
      </c>
      <c r="B154" s="29" t="str">
        <f>IF(Progetti!F152="","",Progetti!B152)</f>
        <v/>
      </c>
      <c r="C154" s="29" t="str">
        <f>IF(Progetti!E152="","",Progetti!C152)</f>
        <v/>
      </c>
      <c r="D154" s="29" t="str">
        <f>IF(Progetti!F152="","",Progetti!D152)</f>
        <v/>
      </c>
      <c r="E154" s="29" t="str">
        <f>IF(Progetti!E152="","",Progetti!E152)</f>
        <v/>
      </c>
      <c r="F154" s="40" t="str">
        <f>IF(Progetti!K152="","",Progetti!K152)</f>
        <v/>
      </c>
      <c r="G154" s="40" t="str">
        <f>IF(Progetti!L152="","",Progetti!L152)</f>
        <v/>
      </c>
      <c r="H154" s="29" t="str">
        <f>IF(Progetti!E152="","",Progetti!N152)</f>
        <v/>
      </c>
      <c r="I154" s="29" t="str">
        <f>IF(Progetti!E152="","",Progetti!M152)</f>
        <v/>
      </c>
      <c r="J154" s="38" t="str">
        <f>IF(Progetti!E152="","",Progetti!I152)</f>
        <v/>
      </c>
      <c r="K154" s="39" t="str">
        <f>IF(OR(Progetti!E152="",Progetti!Q152=""),"",Progetti!Q152)</f>
        <v/>
      </c>
      <c r="L154" s="39" t="str">
        <f>IF(OR(Progetti!E152="",Progetti!R152=""),"",Progetti!R152)</f>
        <v/>
      </c>
      <c r="M154" s="14" t="str">
        <f>IF(OR(Progetti!E152="",Progetti!V152=""),"",Progetti!V152)</f>
        <v/>
      </c>
      <c r="N154" s="14" t="str">
        <f>IF(OR(Progetti!E152="",Progetti!W152=""),"",Progetti!W152)</f>
        <v/>
      </c>
      <c r="O154" s="14" t="str">
        <f>IF(OR(Progetti!E152="",Progetti!X152=""),"",Progetti!X152)</f>
        <v/>
      </c>
      <c r="P154" s="14" t="str">
        <f>IF(OR(Progetti!E152="",Progetti!Y152=""),"",Progetti!Y152)</f>
        <v/>
      </c>
      <c r="Q154" s="14" t="str">
        <f>IF(OR(Progetti!E152="",Progetti!Z152=""),"",Progetti!Z152)</f>
        <v/>
      </c>
      <c r="R154" s="14" t="str">
        <f>IF(OR(Progetti!E152="",Progetti!AA152=""),"",Progetti!AA152)</f>
        <v/>
      </c>
      <c r="S154" s="14" t="str">
        <f>IF(OR(Progetti!E152="",Progetti!AB152=""),"",Progetti!AB152)</f>
        <v/>
      </c>
      <c r="T154" s="14" t="str">
        <f>IF(OR(Progetti!E152="",Progetti!AC152=""),"",Progetti!AC152)</f>
        <v/>
      </c>
      <c r="U154" s="14" t="str">
        <f>IF(OR(Progetti!E152="",Progetti!AD152=""),"",Progetti!AD152)</f>
        <v/>
      </c>
      <c r="V154" s="14" t="str">
        <f>IF(OR(Progetti!E152="",Progetti!AE152=""),"",Progetti!AE152)</f>
        <v/>
      </c>
      <c r="W154" s="14" t="str">
        <f>IF(OR(Progetti!E152="",Progetti!AF152=""),"",Progetti!AF152)</f>
        <v/>
      </c>
      <c r="X154" s="14" t="str">
        <f>IF(OR(Progetti!E152="",Progetti!AG152=""),"",Progetti!AG152)</f>
        <v/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</row>
    <row r="155" spans="1:84" x14ac:dyDescent="0.35">
      <c r="A155" s="29" t="str">
        <f>IF(Progetti!E153="","",Progetti!A153)</f>
        <v/>
      </c>
      <c r="B155" s="29" t="str">
        <f>IF(Progetti!F153="","",Progetti!B153)</f>
        <v/>
      </c>
      <c r="C155" s="29" t="str">
        <f>IF(Progetti!E153="","",Progetti!C153)</f>
        <v/>
      </c>
      <c r="D155" s="29" t="str">
        <f>IF(Progetti!F153="","",Progetti!D153)</f>
        <v/>
      </c>
      <c r="E155" s="29" t="str">
        <f>IF(Progetti!E153="","",Progetti!E153)</f>
        <v/>
      </c>
      <c r="F155" s="40" t="str">
        <f>IF(Progetti!K153="","",Progetti!K153)</f>
        <v/>
      </c>
      <c r="G155" s="40" t="str">
        <f>IF(Progetti!L153="","",Progetti!L153)</f>
        <v/>
      </c>
      <c r="H155" s="29" t="str">
        <f>IF(Progetti!E153="","",Progetti!N153)</f>
        <v/>
      </c>
      <c r="I155" s="29" t="str">
        <f>IF(Progetti!E153="","",Progetti!M153)</f>
        <v/>
      </c>
      <c r="J155" s="38" t="str">
        <f>IF(Progetti!E153="","",Progetti!I153)</f>
        <v/>
      </c>
      <c r="K155" s="39" t="str">
        <f>IF(OR(Progetti!E153="",Progetti!Q153=""),"",Progetti!Q153)</f>
        <v/>
      </c>
      <c r="L155" s="39" t="str">
        <f>IF(OR(Progetti!E153="",Progetti!R153=""),"",Progetti!R153)</f>
        <v/>
      </c>
      <c r="M155" s="14" t="str">
        <f>IF(OR(Progetti!E153="",Progetti!V153=""),"",Progetti!V153)</f>
        <v/>
      </c>
      <c r="N155" s="14" t="str">
        <f>IF(OR(Progetti!E153="",Progetti!W153=""),"",Progetti!W153)</f>
        <v/>
      </c>
      <c r="O155" s="14" t="str">
        <f>IF(OR(Progetti!E153="",Progetti!X153=""),"",Progetti!X153)</f>
        <v/>
      </c>
      <c r="P155" s="14" t="str">
        <f>IF(OR(Progetti!E153="",Progetti!Y153=""),"",Progetti!Y153)</f>
        <v/>
      </c>
      <c r="Q155" s="14" t="str">
        <f>IF(OR(Progetti!E153="",Progetti!Z153=""),"",Progetti!Z153)</f>
        <v/>
      </c>
      <c r="R155" s="14" t="str">
        <f>IF(OR(Progetti!E153="",Progetti!AA153=""),"",Progetti!AA153)</f>
        <v/>
      </c>
      <c r="S155" s="14" t="str">
        <f>IF(OR(Progetti!E153="",Progetti!AB153=""),"",Progetti!AB153)</f>
        <v/>
      </c>
      <c r="T155" s="14" t="str">
        <f>IF(OR(Progetti!E153="",Progetti!AC153=""),"",Progetti!AC153)</f>
        <v/>
      </c>
      <c r="U155" s="14" t="str">
        <f>IF(OR(Progetti!E153="",Progetti!AD153=""),"",Progetti!AD153)</f>
        <v/>
      </c>
      <c r="V155" s="14" t="str">
        <f>IF(OR(Progetti!E153="",Progetti!AE153=""),"",Progetti!AE153)</f>
        <v/>
      </c>
      <c r="W155" s="14" t="str">
        <f>IF(OR(Progetti!E153="",Progetti!AF153=""),"",Progetti!AF153)</f>
        <v/>
      </c>
      <c r="X155" s="14" t="str">
        <f>IF(OR(Progetti!E153="",Progetti!AG153=""),"",Progetti!AG153)</f>
        <v/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</row>
    <row r="156" spans="1:84" x14ac:dyDescent="0.35">
      <c r="A156" s="29" t="str">
        <f>IF(Progetti!E154="","",Progetti!A154)</f>
        <v/>
      </c>
      <c r="B156" s="29" t="str">
        <f>IF(Progetti!F154="","",Progetti!B154)</f>
        <v/>
      </c>
      <c r="C156" s="29" t="str">
        <f>IF(Progetti!E154="","",Progetti!C154)</f>
        <v/>
      </c>
      <c r="D156" s="29" t="str">
        <f>IF(Progetti!F154="","",Progetti!D154)</f>
        <v/>
      </c>
      <c r="E156" s="29" t="str">
        <f>IF(Progetti!E154="","",Progetti!E154)</f>
        <v/>
      </c>
      <c r="F156" s="40" t="str">
        <f>IF(Progetti!K154="","",Progetti!K154)</f>
        <v/>
      </c>
      <c r="G156" s="40" t="str">
        <f>IF(Progetti!L154="","",Progetti!L154)</f>
        <v/>
      </c>
      <c r="H156" s="29" t="str">
        <f>IF(Progetti!E154="","",Progetti!N154)</f>
        <v/>
      </c>
      <c r="I156" s="29" t="str">
        <f>IF(Progetti!E154="","",Progetti!M154)</f>
        <v/>
      </c>
      <c r="J156" s="38" t="str">
        <f>IF(Progetti!E154="","",Progetti!I154)</f>
        <v/>
      </c>
      <c r="K156" s="39" t="str">
        <f>IF(OR(Progetti!E154="",Progetti!Q154=""),"",Progetti!Q154)</f>
        <v/>
      </c>
      <c r="L156" s="39" t="str">
        <f>IF(OR(Progetti!E154="",Progetti!R154=""),"",Progetti!R154)</f>
        <v/>
      </c>
      <c r="M156" s="14" t="str">
        <f>IF(OR(Progetti!E154="",Progetti!V154=""),"",Progetti!V154)</f>
        <v/>
      </c>
      <c r="N156" s="14" t="str">
        <f>IF(OR(Progetti!E154="",Progetti!W154=""),"",Progetti!W154)</f>
        <v/>
      </c>
      <c r="O156" s="14" t="str">
        <f>IF(OR(Progetti!E154="",Progetti!X154=""),"",Progetti!X154)</f>
        <v/>
      </c>
      <c r="P156" s="14" t="str">
        <f>IF(OR(Progetti!E154="",Progetti!Y154=""),"",Progetti!Y154)</f>
        <v/>
      </c>
      <c r="Q156" s="14" t="str">
        <f>IF(OR(Progetti!E154="",Progetti!Z154=""),"",Progetti!Z154)</f>
        <v/>
      </c>
      <c r="R156" s="14" t="str">
        <f>IF(OR(Progetti!E154="",Progetti!AA154=""),"",Progetti!AA154)</f>
        <v/>
      </c>
      <c r="S156" s="14" t="str">
        <f>IF(OR(Progetti!E154="",Progetti!AB154=""),"",Progetti!AB154)</f>
        <v/>
      </c>
      <c r="T156" s="14" t="str">
        <f>IF(OR(Progetti!E154="",Progetti!AC154=""),"",Progetti!AC154)</f>
        <v/>
      </c>
      <c r="U156" s="14" t="str">
        <f>IF(OR(Progetti!E154="",Progetti!AD154=""),"",Progetti!AD154)</f>
        <v/>
      </c>
      <c r="V156" s="14" t="str">
        <f>IF(OR(Progetti!E154="",Progetti!AE154=""),"",Progetti!AE154)</f>
        <v/>
      </c>
      <c r="W156" s="14" t="str">
        <f>IF(OR(Progetti!E154="",Progetti!AF154=""),"",Progetti!AF154)</f>
        <v/>
      </c>
      <c r="X156" s="14" t="str">
        <f>IF(OR(Progetti!E154="",Progetti!AG154=""),"",Progetti!AG154)</f>
        <v/>
      </c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</row>
    <row r="157" spans="1:84" x14ac:dyDescent="0.35">
      <c r="A157" s="29" t="str">
        <f>IF(Progetti!E155="","",Progetti!A155)</f>
        <v/>
      </c>
      <c r="B157" s="29" t="str">
        <f>IF(Progetti!F155="","",Progetti!B155)</f>
        <v/>
      </c>
      <c r="C157" s="29" t="str">
        <f>IF(Progetti!E155="","",Progetti!C155)</f>
        <v/>
      </c>
      <c r="D157" s="29" t="str">
        <f>IF(Progetti!F155="","",Progetti!D155)</f>
        <v/>
      </c>
      <c r="E157" s="29" t="str">
        <f>IF(Progetti!E155="","",Progetti!E155)</f>
        <v/>
      </c>
      <c r="F157" s="40" t="str">
        <f>IF(Progetti!K155="","",Progetti!K155)</f>
        <v/>
      </c>
      <c r="G157" s="40" t="str">
        <f>IF(Progetti!L155="","",Progetti!L155)</f>
        <v/>
      </c>
      <c r="H157" s="29" t="str">
        <f>IF(Progetti!E155="","",Progetti!N155)</f>
        <v/>
      </c>
      <c r="I157" s="29" t="str">
        <f>IF(Progetti!E155="","",Progetti!M155)</f>
        <v/>
      </c>
      <c r="J157" s="38" t="str">
        <f>IF(Progetti!E155="","",Progetti!I155)</f>
        <v/>
      </c>
      <c r="K157" s="39" t="str">
        <f>IF(OR(Progetti!E155="",Progetti!Q155=""),"",Progetti!Q155)</f>
        <v/>
      </c>
      <c r="L157" s="39" t="str">
        <f>IF(OR(Progetti!E155="",Progetti!R155=""),"",Progetti!R155)</f>
        <v/>
      </c>
      <c r="M157" s="14" t="str">
        <f>IF(OR(Progetti!E155="",Progetti!V155=""),"",Progetti!V155)</f>
        <v/>
      </c>
      <c r="N157" s="14" t="str">
        <f>IF(OR(Progetti!E155="",Progetti!W155=""),"",Progetti!W155)</f>
        <v/>
      </c>
      <c r="O157" s="14" t="str">
        <f>IF(OR(Progetti!E155="",Progetti!X155=""),"",Progetti!X155)</f>
        <v/>
      </c>
      <c r="P157" s="14" t="str">
        <f>IF(OR(Progetti!E155="",Progetti!Y155=""),"",Progetti!Y155)</f>
        <v/>
      </c>
      <c r="Q157" s="14" t="str">
        <f>IF(OR(Progetti!E155="",Progetti!Z155=""),"",Progetti!Z155)</f>
        <v/>
      </c>
      <c r="R157" s="14" t="str">
        <f>IF(OR(Progetti!E155="",Progetti!AA155=""),"",Progetti!AA155)</f>
        <v/>
      </c>
      <c r="S157" s="14" t="str">
        <f>IF(OR(Progetti!E155="",Progetti!AB155=""),"",Progetti!AB155)</f>
        <v/>
      </c>
      <c r="T157" s="14" t="str">
        <f>IF(OR(Progetti!E155="",Progetti!AC155=""),"",Progetti!AC155)</f>
        <v/>
      </c>
      <c r="U157" s="14" t="str">
        <f>IF(OR(Progetti!E155="",Progetti!AD155=""),"",Progetti!AD155)</f>
        <v/>
      </c>
      <c r="V157" s="14" t="str">
        <f>IF(OR(Progetti!E155="",Progetti!AE155=""),"",Progetti!AE155)</f>
        <v/>
      </c>
      <c r="W157" s="14" t="str">
        <f>IF(OR(Progetti!E155="",Progetti!AF155=""),"",Progetti!AF155)</f>
        <v/>
      </c>
      <c r="X157" s="14" t="str">
        <f>IF(OR(Progetti!E155="",Progetti!AG155=""),"",Progetti!AG155)</f>
        <v/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</row>
    <row r="158" spans="1:84" x14ac:dyDescent="0.35">
      <c r="A158" s="29" t="str">
        <f>IF(Progetti!E156="","",Progetti!A156)</f>
        <v/>
      </c>
      <c r="B158" s="29" t="str">
        <f>IF(Progetti!F156="","",Progetti!B156)</f>
        <v/>
      </c>
      <c r="C158" s="29" t="str">
        <f>IF(Progetti!E156="","",Progetti!C156)</f>
        <v/>
      </c>
      <c r="D158" s="29" t="str">
        <f>IF(Progetti!F156="","",Progetti!D156)</f>
        <v/>
      </c>
      <c r="E158" s="29" t="str">
        <f>IF(Progetti!E156="","",Progetti!E156)</f>
        <v/>
      </c>
      <c r="F158" s="40" t="str">
        <f>IF(Progetti!K156="","",Progetti!K156)</f>
        <v/>
      </c>
      <c r="G158" s="40" t="str">
        <f>IF(Progetti!L156="","",Progetti!L156)</f>
        <v/>
      </c>
      <c r="H158" s="29" t="str">
        <f>IF(Progetti!E156="","",Progetti!N156)</f>
        <v/>
      </c>
      <c r="I158" s="29" t="str">
        <f>IF(Progetti!E156="","",Progetti!M156)</f>
        <v/>
      </c>
      <c r="J158" s="38" t="str">
        <f>IF(Progetti!E156="","",Progetti!I156)</f>
        <v/>
      </c>
      <c r="K158" s="39" t="str">
        <f>IF(OR(Progetti!E156="",Progetti!Q156=""),"",Progetti!Q156)</f>
        <v/>
      </c>
      <c r="L158" s="39" t="str">
        <f>IF(OR(Progetti!E156="",Progetti!R156=""),"",Progetti!R156)</f>
        <v/>
      </c>
      <c r="M158" s="14" t="str">
        <f>IF(OR(Progetti!E156="",Progetti!V156=""),"",Progetti!V156)</f>
        <v/>
      </c>
      <c r="N158" s="14" t="str">
        <f>IF(OR(Progetti!E156="",Progetti!W156=""),"",Progetti!W156)</f>
        <v/>
      </c>
      <c r="O158" s="14" t="str">
        <f>IF(OR(Progetti!E156="",Progetti!X156=""),"",Progetti!X156)</f>
        <v/>
      </c>
      <c r="P158" s="14" t="str">
        <f>IF(OR(Progetti!E156="",Progetti!Y156=""),"",Progetti!Y156)</f>
        <v/>
      </c>
      <c r="Q158" s="14" t="str">
        <f>IF(OR(Progetti!E156="",Progetti!Z156=""),"",Progetti!Z156)</f>
        <v/>
      </c>
      <c r="R158" s="14" t="str">
        <f>IF(OR(Progetti!E156="",Progetti!AA156=""),"",Progetti!AA156)</f>
        <v/>
      </c>
      <c r="S158" s="14" t="str">
        <f>IF(OR(Progetti!E156="",Progetti!AB156=""),"",Progetti!AB156)</f>
        <v/>
      </c>
      <c r="T158" s="14" t="str">
        <f>IF(OR(Progetti!E156="",Progetti!AC156=""),"",Progetti!AC156)</f>
        <v/>
      </c>
      <c r="U158" s="14" t="str">
        <f>IF(OR(Progetti!E156="",Progetti!AD156=""),"",Progetti!AD156)</f>
        <v/>
      </c>
      <c r="V158" s="14" t="str">
        <f>IF(OR(Progetti!E156="",Progetti!AE156=""),"",Progetti!AE156)</f>
        <v/>
      </c>
      <c r="W158" s="14" t="str">
        <f>IF(OR(Progetti!E156="",Progetti!AF156=""),"",Progetti!AF156)</f>
        <v/>
      </c>
      <c r="X158" s="14" t="str">
        <f>IF(OR(Progetti!E156="",Progetti!AG156=""),"",Progetti!AG156)</f>
        <v/>
      </c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</row>
    <row r="159" spans="1:84" x14ac:dyDescent="0.35">
      <c r="A159" s="29" t="str">
        <f>IF(Progetti!E157="","",Progetti!A157)</f>
        <v/>
      </c>
      <c r="B159" s="29" t="str">
        <f>IF(Progetti!F157="","",Progetti!B157)</f>
        <v/>
      </c>
      <c r="C159" s="29" t="str">
        <f>IF(Progetti!E157="","",Progetti!C157)</f>
        <v/>
      </c>
      <c r="D159" s="29" t="str">
        <f>IF(Progetti!F157="","",Progetti!D157)</f>
        <v/>
      </c>
      <c r="E159" s="29" t="str">
        <f>IF(Progetti!E157="","",Progetti!E157)</f>
        <v/>
      </c>
      <c r="F159" s="40" t="str">
        <f>IF(Progetti!K157="","",Progetti!K157)</f>
        <v/>
      </c>
      <c r="G159" s="40" t="str">
        <f>IF(Progetti!L157="","",Progetti!L157)</f>
        <v/>
      </c>
      <c r="H159" s="29" t="str">
        <f>IF(Progetti!E157="","",Progetti!N157)</f>
        <v/>
      </c>
      <c r="I159" s="29" t="str">
        <f>IF(Progetti!E157="","",Progetti!M157)</f>
        <v/>
      </c>
      <c r="J159" s="38" t="str">
        <f>IF(Progetti!E157="","",Progetti!I157)</f>
        <v/>
      </c>
      <c r="K159" s="39" t="str">
        <f>IF(OR(Progetti!E157="",Progetti!Q157=""),"",Progetti!Q157)</f>
        <v/>
      </c>
      <c r="L159" s="39" t="str">
        <f>IF(OR(Progetti!E157="",Progetti!R157=""),"",Progetti!R157)</f>
        <v/>
      </c>
      <c r="M159" s="14" t="str">
        <f>IF(OR(Progetti!E157="",Progetti!V157=""),"",Progetti!V157)</f>
        <v/>
      </c>
      <c r="N159" s="14" t="str">
        <f>IF(OR(Progetti!E157="",Progetti!W157=""),"",Progetti!W157)</f>
        <v/>
      </c>
      <c r="O159" s="14" t="str">
        <f>IF(OR(Progetti!E157="",Progetti!X157=""),"",Progetti!X157)</f>
        <v/>
      </c>
      <c r="P159" s="14" t="str">
        <f>IF(OR(Progetti!E157="",Progetti!Y157=""),"",Progetti!Y157)</f>
        <v/>
      </c>
      <c r="Q159" s="14" t="str">
        <f>IF(OR(Progetti!E157="",Progetti!Z157=""),"",Progetti!Z157)</f>
        <v/>
      </c>
      <c r="R159" s="14" t="str">
        <f>IF(OR(Progetti!E157="",Progetti!AA157=""),"",Progetti!AA157)</f>
        <v/>
      </c>
      <c r="S159" s="14" t="str">
        <f>IF(OR(Progetti!E157="",Progetti!AB157=""),"",Progetti!AB157)</f>
        <v/>
      </c>
      <c r="T159" s="14" t="str">
        <f>IF(OR(Progetti!E157="",Progetti!AC157=""),"",Progetti!AC157)</f>
        <v/>
      </c>
      <c r="U159" s="14" t="str">
        <f>IF(OR(Progetti!E157="",Progetti!AD157=""),"",Progetti!AD157)</f>
        <v/>
      </c>
      <c r="V159" s="14" t="str">
        <f>IF(OR(Progetti!E157="",Progetti!AE157=""),"",Progetti!AE157)</f>
        <v/>
      </c>
      <c r="W159" s="14" t="str">
        <f>IF(OR(Progetti!E157="",Progetti!AF157=""),"",Progetti!AF157)</f>
        <v/>
      </c>
      <c r="X159" s="14" t="str">
        <f>IF(OR(Progetti!E157="",Progetti!AG157=""),"",Progetti!AG157)</f>
        <v/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</row>
    <row r="160" spans="1:84" x14ac:dyDescent="0.35">
      <c r="A160" s="29" t="str">
        <f>IF(Progetti!E158="","",Progetti!A158)</f>
        <v/>
      </c>
      <c r="B160" s="29" t="str">
        <f>IF(Progetti!F158="","",Progetti!B158)</f>
        <v/>
      </c>
      <c r="C160" s="29" t="str">
        <f>IF(Progetti!E158="","",Progetti!C158)</f>
        <v/>
      </c>
      <c r="D160" s="29" t="str">
        <f>IF(Progetti!F158="","",Progetti!D158)</f>
        <v/>
      </c>
      <c r="E160" s="29" t="str">
        <f>IF(Progetti!E158="","",Progetti!E158)</f>
        <v/>
      </c>
      <c r="F160" s="40" t="str">
        <f>IF(Progetti!K158="","",Progetti!K158)</f>
        <v/>
      </c>
      <c r="G160" s="40" t="str">
        <f>IF(Progetti!L158="","",Progetti!L158)</f>
        <v/>
      </c>
      <c r="H160" s="29" t="str">
        <f>IF(Progetti!E158="","",Progetti!N158)</f>
        <v/>
      </c>
      <c r="I160" s="29" t="str">
        <f>IF(Progetti!E158="","",Progetti!M158)</f>
        <v/>
      </c>
      <c r="J160" s="38" t="str">
        <f>IF(Progetti!E158="","",Progetti!I158)</f>
        <v/>
      </c>
      <c r="K160" s="39" t="str">
        <f>IF(OR(Progetti!E158="",Progetti!Q158=""),"",Progetti!Q158)</f>
        <v/>
      </c>
      <c r="L160" s="39" t="str">
        <f>IF(OR(Progetti!E158="",Progetti!R158=""),"",Progetti!R158)</f>
        <v/>
      </c>
      <c r="M160" s="14" t="str">
        <f>IF(OR(Progetti!E158="",Progetti!V158=""),"",Progetti!V158)</f>
        <v/>
      </c>
      <c r="N160" s="14" t="str">
        <f>IF(OR(Progetti!E158="",Progetti!W158=""),"",Progetti!W158)</f>
        <v/>
      </c>
      <c r="O160" s="14" t="str">
        <f>IF(OR(Progetti!E158="",Progetti!X158=""),"",Progetti!X158)</f>
        <v/>
      </c>
      <c r="P160" s="14" t="str">
        <f>IF(OR(Progetti!E158="",Progetti!Y158=""),"",Progetti!Y158)</f>
        <v/>
      </c>
      <c r="Q160" s="14" t="str">
        <f>IF(OR(Progetti!E158="",Progetti!Z158=""),"",Progetti!Z158)</f>
        <v/>
      </c>
      <c r="R160" s="14" t="str">
        <f>IF(OR(Progetti!E158="",Progetti!AA158=""),"",Progetti!AA158)</f>
        <v/>
      </c>
      <c r="S160" s="14" t="str">
        <f>IF(OR(Progetti!E158="",Progetti!AB158=""),"",Progetti!AB158)</f>
        <v/>
      </c>
      <c r="T160" s="14" t="str">
        <f>IF(OR(Progetti!E158="",Progetti!AC158=""),"",Progetti!AC158)</f>
        <v/>
      </c>
      <c r="U160" s="14" t="str">
        <f>IF(OR(Progetti!E158="",Progetti!AD158=""),"",Progetti!AD158)</f>
        <v/>
      </c>
      <c r="V160" s="14" t="str">
        <f>IF(OR(Progetti!E158="",Progetti!AE158=""),"",Progetti!AE158)</f>
        <v/>
      </c>
      <c r="W160" s="14" t="str">
        <f>IF(OR(Progetti!E158="",Progetti!AF158=""),"",Progetti!AF158)</f>
        <v/>
      </c>
      <c r="X160" s="14" t="str">
        <f>IF(OR(Progetti!E158="",Progetti!AG158=""),"",Progetti!AG158)</f>
        <v/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</row>
    <row r="161" spans="1:84" x14ac:dyDescent="0.35">
      <c r="A161" s="29" t="str">
        <f>IF(Progetti!E159="","",Progetti!A159)</f>
        <v/>
      </c>
      <c r="B161" s="29" t="str">
        <f>IF(Progetti!F159="","",Progetti!B159)</f>
        <v/>
      </c>
      <c r="C161" s="29" t="str">
        <f>IF(Progetti!E159="","",Progetti!C159)</f>
        <v/>
      </c>
      <c r="D161" s="29" t="str">
        <f>IF(Progetti!F159="","",Progetti!D159)</f>
        <v/>
      </c>
      <c r="E161" s="29" t="str">
        <f>IF(Progetti!E159="","",Progetti!E159)</f>
        <v/>
      </c>
      <c r="F161" s="40" t="str">
        <f>IF(Progetti!K159="","",Progetti!K159)</f>
        <v/>
      </c>
      <c r="G161" s="40" t="str">
        <f>IF(Progetti!L159="","",Progetti!L159)</f>
        <v/>
      </c>
      <c r="H161" s="29" t="str">
        <f>IF(Progetti!E159="","",Progetti!N159)</f>
        <v/>
      </c>
      <c r="I161" s="29" t="str">
        <f>IF(Progetti!E159="","",Progetti!M159)</f>
        <v/>
      </c>
      <c r="J161" s="38" t="str">
        <f>IF(Progetti!E159="","",Progetti!I159)</f>
        <v/>
      </c>
      <c r="K161" s="39" t="str">
        <f>IF(OR(Progetti!E159="",Progetti!Q159=""),"",Progetti!Q159)</f>
        <v/>
      </c>
      <c r="L161" s="39" t="str">
        <f>IF(OR(Progetti!E159="",Progetti!R159=""),"",Progetti!R159)</f>
        <v/>
      </c>
      <c r="M161" s="14" t="str">
        <f>IF(OR(Progetti!E159="",Progetti!V159=""),"",Progetti!V159)</f>
        <v/>
      </c>
      <c r="N161" s="14" t="str">
        <f>IF(OR(Progetti!E159="",Progetti!W159=""),"",Progetti!W159)</f>
        <v/>
      </c>
      <c r="O161" s="14" t="str">
        <f>IF(OR(Progetti!E159="",Progetti!X159=""),"",Progetti!X159)</f>
        <v/>
      </c>
      <c r="P161" s="14" t="str">
        <f>IF(OR(Progetti!E159="",Progetti!Y159=""),"",Progetti!Y159)</f>
        <v/>
      </c>
      <c r="Q161" s="14" t="str">
        <f>IF(OR(Progetti!E159="",Progetti!Z159=""),"",Progetti!Z159)</f>
        <v/>
      </c>
      <c r="R161" s="14" t="str">
        <f>IF(OR(Progetti!E159="",Progetti!AA159=""),"",Progetti!AA159)</f>
        <v/>
      </c>
      <c r="S161" s="14" t="str">
        <f>IF(OR(Progetti!E159="",Progetti!AB159=""),"",Progetti!AB159)</f>
        <v/>
      </c>
      <c r="T161" s="14" t="str">
        <f>IF(OR(Progetti!E159="",Progetti!AC159=""),"",Progetti!AC159)</f>
        <v/>
      </c>
      <c r="U161" s="14" t="str">
        <f>IF(OR(Progetti!E159="",Progetti!AD159=""),"",Progetti!AD159)</f>
        <v/>
      </c>
      <c r="V161" s="14" t="str">
        <f>IF(OR(Progetti!E159="",Progetti!AE159=""),"",Progetti!AE159)</f>
        <v/>
      </c>
      <c r="W161" s="14" t="str">
        <f>IF(OR(Progetti!E159="",Progetti!AF159=""),"",Progetti!AF159)</f>
        <v/>
      </c>
      <c r="X161" s="14" t="str">
        <f>IF(OR(Progetti!E159="",Progetti!AG159=""),"",Progetti!AG159)</f>
        <v/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</row>
    <row r="162" spans="1:84" x14ac:dyDescent="0.35">
      <c r="A162" s="29" t="str">
        <f>IF(Progetti!E160="","",Progetti!A160)</f>
        <v/>
      </c>
      <c r="B162" s="29" t="str">
        <f>IF(Progetti!F160="","",Progetti!B160)</f>
        <v/>
      </c>
      <c r="C162" s="29" t="str">
        <f>IF(Progetti!E160="","",Progetti!C160)</f>
        <v/>
      </c>
      <c r="D162" s="29" t="str">
        <f>IF(Progetti!F160="","",Progetti!D160)</f>
        <v/>
      </c>
      <c r="E162" s="29" t="str">
        <f>IF(Progetti!E160="","",Progetti!E160)</f>
        <v/>
      </c>
      <c r="F162" s="40" t="str">
        <f>IF(Progetti!K160="","",Progetti!K160)</f>
        <v/>
      </c>
      <c r="G162" s="40" t="str">
        <f>IF(Progetti!L160="","",Progetti!L160)</f>
        <v/>
      </c>
      <c r="H162" s="29" t="str">
        <f>IF(Progetti!E160="","",Progetti!N160)</f>
        <v/>
      </c>
      <c r="I162" s="29" t="str">
        <f>IF(Progetti!E160="","",Progetti!M160)</f>
        <v/>
      </c>
      <c r="J162" s="38" t="str">
        <f>IF(Progetti!E160="","",Progetti!I160)</f>
        <v/>
      </c>
      <c r="K162" s="39" t="str">
        <f>IF(OR(Progetti!E160="",Progetti!Q160=""),"",Progetti!Q160)</f>
        <v/>
      </c>
      <c r="L162" s="39" t="str">
        <f>IF(OR(Progetti!E160="",Progetti!R160=""),"",Progetti!R160)</f>
        <v/>
      </c>
      <c r="M162" s="14" t="str">
        <f>IF(OR(Progetti!E160="",Progetti!V160=""),"",Progetti!V160)</f>
        <v/>
      </c>
      <c r="N162" s="14" t="str">
        <f>IF(OR(Progetti!E160="",Progetti!W160=""),"",Progetti!W160)</f>
        <v/>
      </c>
      <c r="O162" s="14" t="str">
        <f>IF(OR(Progetti!E160="",Progetti!X160=""),"",Progetti!X160)</f>
        <v/>
      </c>
      <c r="P162" s="14" t="str">
        <f>IF(OR(Progetti!E160="",Progetti!Y160=""),"",Progetti!Y160)</f>
        <v/>
      </c>
      <c r="Q162" s="14" t="str">
        <f>IF(OR(Progetti!E160="",Progetti!Z160=""),"",Progetti!Z160)</f>
        <v/>
      </c>
      <c r="R162" s="14" t="str">
        <f>IF(OR(Progetti!E160="",Progetti!AA160=""),"",Progetti!AA160)</f>
        <v/>
      </c>
      <c r="S162" s="14" t="str">
        <f>IF(OR(Progetti!E160="",Progetti!AB160=""),"",Progetti!AB160)</f>
        <v/>
      </c>
      <c r="T162" s="14" t="str">
        <f>IF(OR(Progetti!E160="",Progetti!AC160=""),"",Progetti!AC160)</f>
        <v/>
      </c>
      <c r="U162" s="14" t="str">
        <f>IF(OR(Progetti!E160="",Progetti!AD160=""),"",Progetti!AD160)</f>
        <v/>
      </c>
      <c r="V162" s="14" t="str">
        <f>IF(OR(Progetti!E160="",Progetti!AE160=""),"",Progetti!AE160)</f>
        <v/>
      </c>
      <c r="W162" s="14" t="str">
        <f>IF(OR(Progetti!E160="",Progetti!AF160=""),"",Progetti!AF160)</f>
        <v/>
      </c>
      <c r="X162" s="14" t="str">
        <f>IF(OR(Progetti!E160="",Progetti!AG160=""),"",Progetti!AG160)</f>
        <v/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</row>
    <row r="163" spans="1:84" x14ac:dyDescent="0.35">
      <c r="A163" s="29" t="str">
        <f>IF(Progetti!E161="","",Progetti!A161)</f>
        <v/>
      </c>
      <c r="B163" s="29" t="str">
        <f>IF(Progetti!F161="","",Progetti!B161)</f>
        <v/>
      </c>
      <c r="C163" s="29" t="str">
        <f>IF(Progetti!E161="","",Progetti!C161)</f>
        <v/>
      </c>
      <c r="D163" s="29" t="str">
        <f>IF(Progetti!F161="","",Progetti!D161)</f>
        <v/>
      </c>
      <c r="E163" s="29" t="str">
        <f>IF(Progetti!E161="","",Progetti!E161)</f>
        <v/>
      </c>
      <c r="F163" s="40" t="str">
        <f>IF(Progetti!K161="","",Progetti!K161)</f>
        <v/>
      </c>
      <c r="G163" s="40" t="str">
        <f>IF(Progetti!L161="","",Progetti!L161)</f>
        <v/>
      </c>
      <c r="H163" s="29" t="str">
        <f>IF(Progetti!E161="","",Progetti!N161)</f>
        <v/>
      </c>
      <c r="I163" s="29" t="str">
        <f>IF(Progetti!E161="","",Progetti!M161)</f>
        <v/>
      </c>
      <c r="J163" s="38" t="str">
        <f>IF(Progetti!E161="","",Progetti!I161)</f>
        <v/>
      </c>
      <c r="K163" s="39" t="str">
        <f>IF(OR(Progetti!E161="",Progetti!Q161=""),"",Progetti!Q161)</f>
        <v/>
      </c>
      <c r="L163" s="39" t="str">
        <f>IF(OR(Progetti!E161="",Progetti!R161=""),"",Progetti!R161)</f>
        <v/>
      </c>
      <c r="M163" s="14" t="str">
        <f>IF(OR(Progetti!E161="",Progetti!V161=""),"",Progetti!V161)</f>
        <v/>
      </c>
      <c r="N163" s="14" t="str">
        <f>IF(OR(Progetti!E161="",Progetti!W161=""),"",Progetti!W161)</f>
        <v/>
      </c>
      <c r="O163" s="14" t="str">
        <f>IF(OR(Progetti!E161="",Progetti!X161=""),"",Progetti!X161)</f>
        <v/>
      </c>
      <c r="P163" s="14" t="str">
        <f>IF(OR(Progetti!E161="",Progetti!Y161=""),"",Progetti!Y161)</f>
        <v/>
      </c>
      <c r="Q163" s="14" t="str">
        <f>IF(OR(Progetti!E161="",Progetti!Z161=""),"",Progetti!Z161)</f>
        <v/>
      </c>
      <c r="R163" s="14" t="str">
        <f>IF(OR(Progetti!E161="",Progetti!AA161=""),"",Progetti!AA161)</f>
        <v/>
      </c>
      <c r="S163" s="14" t="str">
        <f>IF(OR(Progetti!E161="",Progetti!AB161=""),"",Progetti!AB161)</f>
        <v/>
      </c>
      <c r="T163" s="14" t="str">
        <f>IF(OR(Progetti!E161="",Progetti!AC161=""),"",Progetti!AC161)</f>
        <v/>
      </c>
      <c r="U163" s="14" t="str">
        <f>IF(OR(Progetti!E161="",Progetti!AD161=""),"",Progetti!AD161)</f>
        <v/>
      </c>
      <c r="V163" s="14" t="str">
        <f>IF(OR(Progetti!E161="",Progetti!AE161=""),"",Progetti!AE161)</f>
        <v/>
      </c>
      <c r="W163" s="14" t="str">
        <f>IF(OR(Progetti!E161="",Progetti!AF161=""),"",Progetti!AF161)</f>
        <v/>
      </c>
      <c r="X163" s="14" t="str">
        <f>IF(OR(Progetti!E161="",Progetti!AG161=""),"",Progetti!AG161)</f>
        <v/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</row>
    <row r="164" spans="1:84" x14ac:dyDescent="0.35">
      <c r="A164" s="29" t="str">
        <f>IF(Progetti!E162="","",Progetti!A162)</f>
        <v/>
      </c>
      <c r="B164" s="29" t="str">
        <f>IF(Progetti!F162="","",Progetti!B162)</f>
        <v/>
      </c>
      <c r="C164" s="29" t="str">
        <f>IF(Progetti!E162="","",Progetti!C162)</f>
        <v/>
      </c>
      <c r="D164" s="29" t="str">
        <f>IF(Progetti!F162="","",Progetti!D162)</f>
        <v/>
      </c>
      <c r="E164" s="29" t="str">
        <f>IF(Progetti!E162="","",Progetti!E162)</f>
        <v/>
      </c>
      <c r="F164" s="40" t="str">
        <f>IF(Progetti!K162="","",Progetti!K162)</f>
        <v/>
      </c>
      <c r="G164" s="40" t="str">
        <f>IF(Progetti!L162="","",Progetti!L162)</f>
        <v/>
      </c>
      <c r="H164" s="29" t="str">
        <f>IF(Progetti!E162="","",Progetti!N162)</f>
        <v/>
      </c>
      <c r="I164" s="29" t="str">
        <f>IF(Progetti!E162="","",Progetti!M162)</f>
        <v/>
      </c>
      <c r="J164" s="38" t="str">
        <f>IF(Progetti!E162="","",Progetti!I162)</f>
        <v/>
      </c>
      <c r="K164" s="39" t="str">
        <f>IF(OR(Progetti!E162="",Progetti!Q162=""),"",Progetti!Q162)</f>
        <v/>
      </c>
      <c r="L164" s="39" t="str">
        <f>IF(OR(Progetti!E162="",Progetti!R162=""),"",Progetti!R162)</f>
        <v/>
      </c>
      <c r="M164" s="14" t="str">
        <f>IF(OR(Progetti!E162="",Progetti!V162=""),"",Progetti!V162)</f>
        <v/>
      </c>
      <c r="N164" s="14" t="str">
        <f>IF(OR(Progetti!E162="",Progetti!W162=""),"",Progetti!W162)</f>
        <v/>
      </c>
      <c r="O164" s="14" t="str">
        <f>IF(OR(Progetti!E162="",Progetti!X162=""),"",Progetti!X162)</f>
        <v/>
      </c>
      <c r="P164" s="14" t="str">
        <f>IF(OR(Progetti!E162="",Progetti!Y162=""),"",Progetti!Y162)</f>
        <v/>
      </c>
      <c r="Q164" s="14" t="str">
        <f>IF(OR(Progetti!E162="",Progetti!Z162=""),"",Progetti!Z162)</f>
        <v/>
      </c>
      <c r="R164" s="14" t="str">
        <f>IF(OR(Progetti!E162="",Progetti!AA162=""),"",Progetti!AA162)</f>
        <v/>
      </c>
      <c r="S164" s="14" t="str">
        <f>IF(OR(Progetti!E162="",Progetti!AB162=""),"",Progetti!AB162)</f>
        <v/>
      </c>
      <c r="T164" s="14" t="str">
        <f>IF(OR(Progetti!E162="",Progetti!AC162=""),"",Progetti!AC162)</f>
        <v/>
      </c>
      <c r="U164" s="14" t="str">
        <f>IF(OR(Progetti!E162="",Progetti!AD162=""),"",Progetti!AD162)</f>
        <v/>
      </c>
      <c r="V164" s="14" t="str">
        <f>IF(OR(Progetti!E162="",Progetti!AE162=""),"",Progetti!AE162)</f>
        <v/>
      </c>
      <c r="W164" s="14" t="str">
        <f>IF(OR(Progetti!E162="",Progetti!AF162=""),"",Progetti!AF162)</f>
        <v/>
      </c>
      <c r="X164" s="14" t="str">
        <f>IF(OR(Progetti!E162="",Progetti!AG162=""),"",Progetti!AG162)</f>
        <v/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</row>
    <row r="165" spans="1:84" x14ac:dyDescent="0.35">
      <c r="A165" s="29" t="str">
        <f>IF(Progetti!E163="","",Progetti!A163)</f>
        <v/>
      </c>
      <c r="B165" s="29" t="str">
        <f>IF(Progetti!F163="","",Progetti!B163)</f>
        <v/>
      </c>
      <c r="C165" s="29" t="str">
        <f>IF(Progetti!E163="","",Progetti!C163)</f>
        <v/>
      </c>
      <c r="D165" s="29" t="str">
        <f>IF(Progetti!F163="","",Progetti!D163)</f>
        <v/>
      </c>
      <c r="E165" s="29" t="str">
        <f>IF(Progetti!E163="","",Progetti!E163)</f>
        <v/>
      </c>
      <c r="F165" s="40" t="str">
        <f>IF(Progetti!K163="","",Progetti!K163)</f>
        <v/>
      </c>
      <c r="G165" s="40" t="str">
        <f>IF(Progetti!L163="","",Progetti!L163)</f>
        <v/>
      </c>
      <c r="H165" s="29" t="str">
        <f>IF(Progetti!E163="","",Progetti!N163)</f>
        <v/>
      </c>
      <c r="I165" s="29" t="str">
        <f>IF(Progetti!E163="","",Progetti!M163)</f>
        <v/>
      </c>
      <c r="J165" s="38" t="str">
        <f>IF(Progetti!E163="","",Progetti!I163)</f>
        <v/>
      </c>
      <c r="K165" s="39" t="str">
        <f>IF(OR(Progetti!E163="",Progetti!Q163=""),"",Progetti!Q163)</f>
        <v/>
      </c>
      <c r="L165" s="39" t="str">
        <f>IF(OR(Progetti!E163="",Progetti!R163=""),"",Progetti!R163)</f>
        <v/>
      </c>
      <c r="M165" s="14" t="str">
        <f>IF(OR(Progetti!E163="",Progetti!V163=""),"",Progetti!V163)</f>
        <v/>
      </c>
      <c r="N165" s="14" t="str">
        <f>IF(OR(Progetti!E163="",Progetti!W163=""),"",Progetti!W163)</f>
        <v/>
      </c>
      <c r="O165" s="14" t="str">
        <f>IF(OR(Progetti!E163="",Progetti!X163=""),"",Progetti!X163)</f>
        <v/>
      </c>
      <c r="P165" s="14" t="str">
        <f>IF(OR(Progetti!E163="",Progetti!Y163=""),"",Progetti!Y163)</f>
        <v/>
      </c>
      <c r="Q165" s="14" t="str">
        <f>IF(OR(Progetti!E163="",Progetti!Z163=""),"",Progetti!Z163)</f>
        <v/>
      </c>
      <c r="R165" s="14" t="str">
        <f>IF(OR(Progetti!E163="",Progetti!AA163=""),"",Progetti!AA163)</f>
        <v/>
      </c>
      <c r="S165" s="14" t="str">
        <f>IF(OR(Progetti!E163="",Progetti!AB163=""),"",Progetti!AB163)</f>
        <v/>
      </c>
      <c r="T165" s="14" t="str">
        <f>IF(OR(Progetti!E163="",Progetti!AC163=""),"",Progetti!AC163)</f>
        <v/>
      </c>
      <c r="U165" s="14" t="str">
        <f>IF(OR(Progetti!E163="",Progetti!AD163=""),"",Progetti!AD163)</f>
        <v/>
      </c>
      <c r="V165" s="14" t="str">
        <f>IF(OR(Progetti!E163="",Progetti!AE163=""),"",Progetti!AE163)</f>
        <v/>
      </c>
      <c r="W165" s="14" t="str">
        <f>IF(OR(Progetti!E163="",Progetti!AF163=""),"",Progetti!AF163)</f>
        <v/>
      </c>
      <c r="X165" s="14" t="str">
        <f>IF(OR(Progetti!E163="",Progetti!AG163=""),"",Progetti!AG163)</f>
        <v/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</row>
    <row r="166" spans="1:84" x14ac:dyDescent="0.35">
      <c r="A166" s="29" t="str">
        <f>IF(Progetti!E164="","",Progetti!A164)</f>
        <v/>
      </c>
      <c r="B166" s="29" t="str">
        <f>IF(Progetti!F164="","",Progetti!B164)</f>
        <v/>
      </c>
      <c r="C166" s="29" t="str">
        <f>IF(Progetti!E164="","",Progetti!C164)</f>
        <v/>
      </c>
      <c r="D166" s="29" t="str">
        <f>IF(Progetti!F164="","",Progetti!D164)</f>
        <v/>
      </c>
      <c r="E166" s="29" t="str">
        <f>IF(Progetti!E164="","",Progetti!E164)</f>
        <v/>
      </c>
      <c r="F166" s="40" t="str">
        <f>IF(Progetti!K164="","",Progetti!K164)</f>
        <v/>
      </c>
      <c r="G166" s="40" t="str">
        <f>IF(Progetti!L164="","",Progetti!L164)</f>
        <v/>
      </c>
      <c r="H166" s="29" t="str">
        <f>IF(Progetti!E164="","",Progetti!N164)</f>
        <v/>
      </c>
      <c r="I166" s="29" t="str">
        <f>IF(Progetti!E164="","",Progetti!M164)</f>
        <v/>
      </c>
      <c r="J166" s="38" t="str">
        <f>IF(Progetti!E164="","",Progetti!I164)</f>
        <v/>
      </c>
      <c r="K166" s="39" t="str">
        <f>IF(OR(Progetti!E164="",Progetti!Q164=""),"",Progetti!Q164)</f>
        <v/>
      </c>
      <c r="L166" s="39" t="str">
        <f>IF(OR(Progetti!E164="",Progetti!R164=""),"",Progetti!R164)</f>
        <v/>
      </c>
      <c r="M166" s="14" t="str">
        <f>IF(OR(Progetti!E164="",Progetti!V164=""),"",Progetti!V164)</f>
        <v/>
      </c>
      <c r="N166" s="14" t="str">
        <f>IF(OR(Progetti!E164="",Progetti!W164=""),"",Progetti!W164)</f>
        <v/>
      </c>
      <c r="O166" s="14" t="str">
        <f>IF(OR(Progetti!E164="",Progetti!X164=""),"",Progetti!X164)</f>
        <v/>
      </c>
      <c r="P166" s="14" t="str">
        <f>IF(OR(Progetti!E164="",Progetti!Y164=""),"",Progetti!Y164)</f>
        <v/>
      </c>
      <c r="Q166" s="14" t="str">
        <f>IF(OR(Progetti!E164="",Progetti!Z164=""),"",Progetti!Z164)</f>
        <v/>
      </c>
      <c r="R166" s="14" t="str">
        <f>IF(OR(Progetti!E164="",Progetti!AA164=""),"",Progetti!AA164)</f>
        <v/>
      </c>
      <c r="S166" s="14" t="str">
        <f>IF(OR(Progetti!E164="",Progetti!AB164=""),"",Progetti!AB164)</f>
        <v/>
      </c>
      <c r="T166" s="14" t="str">
        <f>IF(OR(Progetti!E164="",Progetti!AC164=""),"",Progetti!AC164)</f>
        <v/>
      </c>
      <c r="U166" s="14" t="str">
        <f>IF(OR(Progetti!E164="",Progetti!AD164=""),"",Progetti!AD164)</f>
        <v/>
      </c>
      <c r="V166" s="14" t="str">
        <f>IF(OR(Progetti!E164="",Progetti!AE164=""),"",Progetti!AE164)</f>
        <v/>
      </c>
      <c r="W166" s="14" t="str">
        <f>IF(OR(Progetti!E164="",Progetti!AF164=""),"",Progetti!AF164)</f>
        <v/>
      </c>
      <c r="X166" s="14" t="str">
        <f>IF(OR(Progetti!E164="",Progetti!AG164=""),"",Progetti!AG164)</f>
        <v/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</row>
    <row r="167" spans="1:84" x14ac:dyDescent="0.35">
      <c r="A167" s="29" t="str">
        <f>IF(Progetti!E165="","",Progetti!A165)</f>
        <v/>
      </c>
      <c r="B167" s="29" t="str">
        <f>IF(Progetti!F165="","",Progetti!B165)</f>
        <v/>
      </c>
      <c r="C167" s="29" t="str">
        <f>IF(Progetti!E165="","",Progetti!C165)</f>
        <v/>
      </c>
      <c r="D167" s="29" t="str">
        <f>IF(Progetti!F165="","",Progetti!D165)</f>
        <v/>
      </c>
      <c r="E167" s="29" t="str">
        <f>IF(Progetti!E165="","",Progetti!E165)</f>
        <v/>
      </c>
      <c r="F167" s="40" t="str">
        <f>IF(Progetti!K165="","",Progetti!K165)</f>
        <v/>
      </c>
      <c r="G167" s="40" t="str">
        <f>IF(Progetti!L165="","",Progetti!L165)</f>
        <v/>
      </c>
      <c r="H167" s="29" t="str">
        <f>IF(Progetti!E165="","",Progetti!N165)</f>
        <v/>
      </c>
      <c r="I167" s="29" t="str">
        <f>IF(Progetti!E165="","",Progetti!M165)</f>
        <v/>
      </c>
      <c r="J167" s="38" t="str">
        <f>IF(Progetti!E165="","",Progetti!I165)</f>
        <v/>
      </c>
      <c r="K167" s="39" t="str">
        <f>IF(OR(Progetti!E165="",Progetti!Q165=""),"",Progetti!Q165)</f>
        <v/>
      </c>
      <c r="L167" s="39" t="str">
        <f>IF(OR(Progetti!E165="",Progetti!R165=""),"",Progetti!R165)</f>
        <v/>
      </c>
      <c r="M167" s="14" t="str">
        <f>IF(OR(Progetti!E165="",Progetti!V165=""),"",Progetti!V165)</f>
        <v/>
      </c>
      <c r="N167" s="14" t="str">
        <f>IF(OR(Progetti!E165="",Progetti!W165=""),"",Progetti!W165)</f>
        <v/>
      </c>
      <c r="O167" s="14" t="str">
        <f>IF(OR(Progetti!E165="",Progetti!X165=""),"",Progetti!X165)</f>
        <v/>
      </c>
      <c r="P167" s="14" t="str">
        <f>IF(OR(Progetti!E165="",Progetti!Y165=""),"",Progetti!Y165)</f>
        <v/>
      </c>
      <c r="Q167" s="14" t="str">
        <f>IF(OR(Progetti!E165="",Progetti!Z165=""),"",Progetti!Z165)</f>
        <v/>
      </c>
      <c r="R167" s="14" t="str">
        <f>IF(OR(Progetti!E165="",Progetti!AA165=""),"",Progetti!AA165)</f>
        <v/>
      </c>
      <c r="S167" s="14" t="str">
        <f>IF(OR(Progetti!E165="",Progetti!AB165=""),"",Progetti!AB165)</f>
        <v/>
      </c>
      <c r="T167" s="14" t="str">
        <f>IF(OR(Progetti!E165="",Progetti!AC165=""),"",Progetti!AC165)</f>
        <v/>
      </c>
      <c r="U167" s="14" t="str">
        <f>IF(OR(Progetti!E165="",Progetti!AD165=""),"",Progetti!AD165)</f>
        <v/>
      </c>
      <c r="V167" s="14" t="str">
        <f>IF(OR(Progetti!E165="",Progetti!AE165=""),"",Progetti!AE165)</f>
        <v/>
      </c>
      <c r="W167" s="14" t="str">
        <f>IF(OR(Progetti!E165="",Progetti!AF165=""),"",Progetti!AF165)</f>
        <v/>
      </c>
      <c r="X167" s="14" t="str">
        <f>IF(OR(Progetti!E165="",Progetti!AG165=""),"",Progetti!AG165)</f>
        <v/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</row>
    <row r="168" spans="1:84" x14ac:dyDescent="0.35">
      <c r="A168" s="29" t="str">
        <f>IF(Progetti!E166="","",Progetti!A166)</f>
        <v/>
      </c>
      <c r="B168" s="29" t="str">
        <f>IF(Progetti!F166="","",Progetti!B166)</f>
        <v/>
      </c>
      <c r="C168" s="29" t="str">
        <f>IF(Progetti!E166="","",Progetti!C166)</f>
        <v/>
      </c>
      <c r="D168" s="29" t="str">
        <f>IF(Progetti!F166="","",Progetti!D166)</f>
        <v/>
      </c>
      <c r="E168" s="29" t="str">
        <f>IF(Progetti!E166="","",Progetti!E166)</f>
        <v/>
      </c>
      <c r="F168" s="40" t="str">
        <f>IF(Progetti!K166="","",Progetti!K166)</f>
        <v/>
      </c>
      <c r="G168" s="40" t="str">
        <f>IF(Progetti!L166="","",Progetti!L166)</f>
        <v/>
      </c>
      <c r="H168" s="29" t="str">
        <f>IF(Progetti!E166="","",Progetti!N166)</f>
        <v/>
      </c>
      <c r="I168" s="29" t="str">
        <f>IF(Progetti!E166="","",Progetti!M166)</f>
        <v/>
      </c>
      <c r="J168" s="38" t="str">
        <f>IF(Progetti!E166="","",Progetti!I166)</f>
        <v/>
      </c>
      <c r="K168" s="39" t="str">
        <f>IF(OR(Progetti!E166="",Progetti!Q166=""),"",Progetti!Q166)</f>
        <v/>
      </c>
      <c r="L168" s="39" t="str">
        <f>IF(OR(Progetti!E166="",Progetti!R166=""),"",Progetti!R166)</f>
        <v/>
      </c>
      <c r="M168" s="14" t="str">
        <f>IF(OR(Progetti!E166="",Progetti!V166=""),"",Progetti!V166)</f>
        <v/>
      </c>
      <c r="N168" s="14" t="str">
        <f>IF(OR(Progetti!E166="",Progetti!W166=""),"",Progetti!W166)</f>
        <v/>
      </c>
      <c r="O168" s="14" t="str">
        <f>IF(OR(Progetti!E166="",Progetti!X166=""),"",Progetti!X166)</f>
        <v/>
      </c>
      <c r="P168" s="14" t="str">
        <f>IF(OR(Progetti!E166="",Progetti!Y166=""),"",Progetti!Y166)</f>
        <v/>
      </c>
      <c r="Q168" s="14" t="str">
        <f>IF(OR(Progetti!E166="",Progetti!Z166=""),"",Progetti!Z166)</f>
        <v/>
      </c>
      <c r="R168" s="14" t="str">
        <f>IF(OR(Progetti!E166="",Progetti!AA166=""),"",Progetti!AA166)</f>
        <v/>
      </c>
      <c r="S168" s="14" t="str">
        <f>IF(OR(Progetti!E166="",Progetti!AB166=""),"",Progetti!AB166)</f>
        <v/>
      </c>
      <c r="T168" s="14" t="str">
        <f>IF(OR(Progetti!E166="",Progetti!AC166=""),"",Progetti!AC166)</f>
        <v/>
      </c>
      <c r="U168" s="14" t="str">
        <f>IF(OR(Progetti!E166="",Progetti!AD166=""),"",Progetti!AD166)</f>
        <v/>
      </c>
      <c r="V168" s="14" t="str">
        <f>IF(OR(Progetti!E166="",Progetti!AE166=""),"",Progetti!AE166)</f>
        <v/>
      </c>
      <c r="W168" s="14" t="str">
        <f>IF(OR(Progetti!E166="",Progetti!AF166=""),"",Progetti!AF166)</f>
        <v/>
      </c>
      <c r="X168" s="14" t="str">
        <f>IF(OR(Progetti!E166="",Progetti!AG166=""),"",Progetti!AG166)</f>
        <v/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</row>
    <row r="169" spans="1:84" x14ac:dyDescent="0.35">
      <c r="A169" s="29" t="str">
        <f>IF(Progetti!E167="","",Progetti!A167)</f>
        <v/>
      </c>
      <c r="B169" s="29" t="str">
        <f>IF(Progetti!F167="","",Progetti!B167)</f>
        <v/>
      </c>
      <c r="C169" s="29" t="str">
        <f>IF(Progetti!E167="","",Progetti!C167)</f>
        <v/>
      </c>
      <c r="D169" s="29" t="str">
        <f>IF(Progetti!F167="","",Progetti!D167)</f>
        <v/>
      </c>
      <c r="E169" s="29" t="str">
        <f>IF(Progetti!E167="","",Progetti!E167)</f>
        <v/>
      </c>
      <c r="F169" s="40" t="str">
        <f>IF(Progetti!K167="","",Progetti!K167)</f>
        <v/>
      </c>
      <c r="G169" s="40" t="str">
        <f>IF(Progetti!L167="","",Progetti!L167)</f>
        <v/>
      </c>
      <c r="H169" s="29" t="str">
        <f>IF(Progetti!E167="","",Progetti!N167)</f>
        <v/>
      </c>
      <c r="I169" s="29" t="str">
        <f>IF(Progetti!E167="","",Progetti!M167)</f>
        <v/>
      </c>
      <c r="J169" s="38" t="str">
        <f>IF(Progetti!E167="","",Progetti!I167)</f>
        <v/>
      </c>
      <c r="K169" s="39" t="str">
        <f>IF(OR(Progetti!E167="",Progetti!Q167=""),"",Progetti!Q167)</f>
        <v/>
      </c>
      <c r="L169" s="39" t="str">
        <f>IF(OR(Progetti!E167="",Progetti!R167=""),"",Progetti!R167)</f>
        <v/>
      </c>
      <c r="M169" s="14" t="str">
        <f>IF(OR(Progetti!E167="",Progetti!V167=""),"",Progetti!V167)</f>
        <v/>
      </c>
      <c r="N169" s="14" t="str">
        <f>IF(OR(Progetti!E167="",Progetti!W167=""),"",Progetti!W167)</f>
        <v/>
      </c>
      <c r="O169" s="14" t="str">
        <f>IF(OR(Progetti!E167="",Progetti!X167=""),"",Progetti!X167)</f>
        <v/>
      </c>
      <c r="P169" s="14" t="str">
        <f>IF(OR(Progetti!E167="",Progetti!Y167=""),"",Progetti!Y167)</f>
        <v/>
      </c>
      <c r="Q169" s="14" t="str">
        <f>IF(OR(Progetti!E167="",Progetti!Z167=""),"",Progetti!Z167)</f>
        <v/>
      </c>
      <c r="R169" s="14" t="str">
        <f>IF(OR(Progetti!E167="",Progetti!AA167=""),"",Progetti!AA167)</f>
        <v/>
      </c>
      <c r="S169" s="14" t="str">
        <f>IF(OR(Progetti!E167="",Progetti!AB167=""),"",Progetti!AB167)</f>
        <v/>
      </c>
      <c r="T169" s="14" t="str">
        <f>IF(OR(Progetti!E167="",Progetti!AC167=""),"",Progetti!AC167)</f>
        <v/>
      </c>
      <c r="U169" s="14" t="str">
        <f>IF(OR(Progetti!E167="",Progetti!AD167=""),"",Progetti!AD167)</f>
        <v/>
      </c>
      <c r="V169" s="14" t="str">
        <f>IF(OR(Progetti!E167="",Progetti!AE167=""),"",Progetti!AE167)</f>
        <v/>
      </c>
      <c r="W169" s="14" t="str">
        <f>IF(OR(Progetti!E167="",Progetti!AF167=""),"",Progetti!AF167)</f>
        <v/>
      </c>
      <c r="X169" s="14" t="str">
        <f>IF(OR(Progetti!E167="",Progetti!AG167=""),"",Progetti!AG167)</f>
        <v/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</row>
    <row r="170" spans="1:84" x14ac:dyDescent="0.35">
      <c r="A170" s="29" t="str">
        <f>IF(Progetti!E168="","",Progetti!A168)</f>
        <v/>
      </c>
      <c r="B170" s="29" t="str">
        <f>IF(Progetti!F168="","",Progetti!B168)</f>
        <v/>
      </c>
      <c r="C170" s="29" t="str">
        <f>IF(Progetti!E168="","",Progetti!C168)</f>
        <v/>
      </c>
      <c r="D170" s="29" t="str">
        <f>IF(Progetti!F168="","",Progetti!D168)</f>
        <v/>
      </c>
      <c r="E170" s="29" t="str">
        <f>IF(Progetti!E168="","",Progetti!E168)</f>
        <v/>
      </c>
      <c r="F170" s="40" t="str">
        <f>IF(Progetti!K168="","",Progetti!K168)</f>
        <v/>
      </c>
      <c r="G170" s="40" t="str">
        <f>IF(Progetti!L168="","",Progetti!L168)</f>
        <v/>
      </c>
      <c r="H170" s="29" t="str">
        <f>IF(Progetti!E168="","",Progetti!N168)</f>
        <v/>
      </c>
      <c r="I170" s="29" t="str">
        <f>IF(Progetti!E168="","",Progetti!M168)</f>
        <v/>
      </c>
      <c r="J170" s="38" t="str">
        <f>IF(Progetti!E168="","",Progetti!I168)</f>
        <v/>
      </c>
      <c r="K170" s="39" t="str">
        <f>IF(OR(Progetti!E168="",Progetti!Q168=""),"",Progetti!Q168)</f>
        <v/>
      </c>
      <c r="L170" s="39" t="str">
        <f>IF(OR(Progetti!E168="",Progetti!R168=""),"",Progetti!R168)</f>
        <v/>
      </c>
      <c r="M170" s="14" t="str">
        <f>IF(OR(Progetti!E168="",Progetti!V168=""),"",Progetti!V168)</f>
        <v/>
      </c>
      <c r="N170" s="14" t="str">
        <f>IF(OR(Progetti!E168="",Progetti!W168=""),"",Progetti!W168)</f>
        <v/>
      </c>
      <c r="O170" s="14" t="str">
        <f>IF(OR(Progetti!E168="",Progetti!X168=""),"",Progetti!X168)</f>
        <v/>
      </c>
      <c r="P170" s="14" t="str">
        <f>IF(OR(Progetti!E168="",Progetti!Y168=""),"",Progetti!Y168)</f>
        <v/>
      </c>
      <c r="Q170" s="14" t="str">
        <f>IF(OR(Progetti!E168="",Progetti!Z168=""),"",Progetti!Z168)</f>
        <v/>
      </c>
      <c r="R170" s="14" t="str">
        <f>IF(OR(Progetti!E168="",Progetti!AA168=""),"",Progetti!AA168)</f>
        <v/>
      </c>
      <c r="S170" s="14" t="str">
        <f>IF(OR(Progetti!E168="",Progetti!AB168=""),"",Progetti!AB168)</f>
        <v/>
      </c>
      <c r="T170" s="14" t="str">
        <f>IF(OR(Progetti!E168="",Progetti!AC168=""),"",Progetti!AC168)</f>
        <v/>
      </c>
      <c r="U170" s="14" t="str">
        <f>IF(OR(Progetti!E168="",Progetti!AD168=""),"",Progetti!AD168)</f>
        <v/>
      </c>
      <c r="V170" s="14" t="str">
        <f>IF(OR(Progetti!E168="",Progetti!AE168=""),"",Progetti!AE168)</f>
        <v/>
      </c>
      <c r="W170" s="14" t="str">
        <f>IF(OR(Progetti!E168="",Progetti!AF168=""),"",Progetti!AF168)</f>
        <v/>
      </c>
      <c r="X170" s="14" t="str">
        <f>IF(OR(Progetti!E168="",Progetti!AG168=""),"",Progetti!AG168)</f>
        <v/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</row>
    <row r="171" spans="1:84" x14ac:dyDescent="0.35">
      <c r="A171" s="29" t="str">
        <f>IF(Progetti!E169="","",Progetti!A169)</f>
        <v/>
      </c>
      <c r="B171" s="29" t="str">
        <f>IF(Progetti!F169="","",Progetti!B169)</f>
        <v/>
      </c>
      <c r="C171" s="29" t="str">
        <f>IF(Progetti!E169="","",Progetti!C169)</f>
        <v/>
      </c>
      <c r="D171" s="29" t="str">
        <f>IF(Progetti!F169="","",Progetti!D169)</f>
        <v/>
      </c>
      <c r="E171" s="29" t="str">
        <f>IF(Progetti!E169="","",Progetti!E169)</f>
        <v/>
      </c>
      <c r="F171" s="40" t="str">
        <f>IF(Progetti!K169="","",Progetti!K169)</f>
        <v/>
      </c>
      <c r="G171" s="40" t="str">
        <f>IF(Progetti!L169="","",Progetti!L169)</f>
        <v/>
      </c>
      <c r="H171" s="29" t="str">
        <f>IF(Progetti!E169="","",Progetti!N169)</f>
        <v/>
      </c>
      <c r="I171" s="29" t="str">
        <f>IF(Progetti!E169="","",Progetti!M169)</f>
        <v/>
      </c>
      <c r="J171" s="38" t="str">
        <f>IF(Progetti!E169="","",Progetti!I169)</f>
        <v/>
      </c>
      <c r="K171" s="39" t="str">
        <f>IF(OR(Progetti!E169="",Progetti!Q169=""),"",Progetti!Q169)</f>
        <v/>
      </c>
      <c r="L171" s="39" t="str">
        <f>IF(OR(Progetti!E169="",Progetti!R169=""),"",Progetti!R169)</f>
        <v/>
      </c>
      <c r="M171" s="14" t="str">
        <f>IF(OR(Progetti!E169="",Progetti!V169=""),"",Progetti!V169)</f>
        <v/>
      </c>
      <c r="N171" s="14" t="str">
        <f>IF(OR(Progetti!E169="",Progetti!W169=""),"",Progetti!W169)</f>
        <v/>
      </c>
      <c r="O171" s="14" t="str">
        <f>IF(OR(Progetti!E169="",Progetti!X169=""),"",Progetti!X169)</f>
        <v/>
      </c>
      <c r="P171" s="14" t="str">
        <f>IF(OR(Progetti!E169="",Progetti!Y169=""),"",Progetti!Y169)</f>
        <v/>
      </c>
      <c r="Q171" s="14" t="str">
        <f>IF(OR(Progetti!E169="",Progetti!Z169=""),"",Progetti!Z169)</f>
        <v/>
      </c>
      <c r="R171" s="14" t="str">
        <f>IF(OR(Progetti!E169="",Progetti!AA169=""),"",Progetti!AA169)</f>
        <v/>
      </c>
      <c r="S171" s="14" t="str">
        <f>IF(OR(Progetti!E169="",Progetti!AB169=""),"",Progetti!AB169)</f>
        <v/>
      </c>
      <c r="T171" s="14" t="str">
        <f>IF(OR(Progetti!E169="",Progetti!AC169=""),"",Progetti!AC169)</f>
        <v/>
      </c>
      <c r="U171" s="14" t="str">
        <f>IF(OR(Progetti!E169="",Progetti!AD169=""),"",Progetti!AD169)</f>
        <v/>
      </c>
      <c r="V171" s="14" t="str">
        <f>IF(OR(Progetti!E169="",Progetti!AE169=""),"",Progetti!AE169)</f>
        <v/>
      </c>
      <c r="W171" s="14" t="str">
        <f>IF(OR(Progetti!E169="",Progetti!AF169=""),"",Progetti!AF169)</f>
        <v/>
      </c>
      <c r="X171" s="14" t="str">
        <f>IF(OR(Progetti!E169="",Progetti!AG169=""),"",Progetti!AG169)</f>
        <v/>
      </c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</row>
    <row r="172" spans="1:84" x14ac:dyDescent="0.35">
      <c r="A172" s="29" t="str">
        <f>IF(Progetti!E170="","",Progetti!A170)</f>
        <v/>
      </c>
      <c r="B172" s="29" t="str">
        <f>IF(Progetti!F170="","",Progetti!B170)</f>
        <v/>
      </c>
      <c r="C172" s="29" t="str">
        <f>IF(Progetti!E170="","",Progetti!C170)</f>
        <v/>
      </c>
      <c r="D172" s="29" t="str">
        <f>IF(Progetti!F170="","",Progetti!D170)</f>
        <v/>
      </c>
      <c r="E172" s="29" t="str">
        <f>IF(Progetti!E170="","",Progetti!E170)</f>
        <v/>
      </c>
      <c r="F172" s="40" t="str">
        <f>IF(Progetti!K170="","",Progetti!K170)</f>
        <v/>
      </c>
      <c r="G172" s="40" t="str">
        <f>IF(Progetti!L170="","",Progetti!L170)</f>
        <v/>
      </c>
      <c r="H172" s="29" t="str">
        <f>IF(Progetti!E170="","",Progetti!N170)</f>
        <v/>
      </c>
      <c r="I172" s="29" t="str">
        <f>IF(Progetti!E170="","",Progetti!M170)</f>
        <v/>
      </c>
      <c r="J172" s="38" t="str">
        <f>IF(Progetti!E170="","",Progetti!I170)</f>
        <v/>
      </c>
      <c r="K172" s="39" t="str">
        <f>IF(OR(Progetti!E170="",Progetti!Q170=""),"",Progetti!Q170)</f>
        <v/>
      </c>
      <c r="L172" s="39" t="str">
        <f>IF(OR(Progetti!E170="",Progetti!R170=""),"",Progetti!R170)</f>
        <v/>
      </c>
      <c r="M172" s="14" t="str">
        <f>IF(OR(Progetti!E170="",Progetti!V170=""),"",Progetti!V170)</f>
        <v/>
      </c>
      <c r="N172" s="14" t="str">
        <f>IF(OR(Progetti!E170="",Progetti!W170=""),"",Progetti!W170)</f>
        <v/>
      </c>
      <c r="O172" s="14" t="str">
        <f>IF(OR(Progetti!E170="",Progetti!X170=""),"",Progetti!X170)</f>
        <v/>
      </c>
      <c r="P172" s="14" t="str">
        <f>IF(OR(Progetti!E170="",Progetti!Y170=""),"",Progetti!Y170)</f>
        <v/>
      </c>
      <c r="Q172" s="14" t="str">
        <f>IF(OR(Progetti!E170="",Progetti!Z170=""),"",Progetti!Z170)</f>
        <v/>
      </c>
      <c r="R172" s="14" t="str">
        <f>IF(OR(Progetti!E170="",Progetti!AA170=""),"",Progetti!AA170)</f>
        <v/>
      </c>
      <c r="S172" s="14" t="str">
        <f>IF(OR(Progetti!E170="",Progetti!AB170=""),"",Progetti!AB170)</f>
        <v/>
      </c>
      <c r="T172" s="14" t="str">
        <f>IF(OR(Progetti!E170="",Progetti!AC170=""),"",Progetti!AC170)</f>
        <v/>
      </c>
      <c r="U172" s="14" t="str">
        <f>IF(OR(Progetti!E170="",Progetti!AD170=""),"",Progetti!AD170)</f>
        <v/>
      </c>
      <c r="V172" s="14" t="str">
        <f>IF(OR(Progetti!E170="",Progetti!AE170=""),"",Progetti!AE170)</f>
        <v/>
      </c>
      <c r="W172" s="14" t="str">
        <f>IF(OR(Progetti!E170="",Progetti!AF170=""),"",Progetti!AF170)</f>
        <v/>
      </c>
      <c r="X172" s="14" t="str">
        <f>IF(OR(Progetti!E170="",Progetti!AG170=""),"",Progetti!AG170)</f>
        <v/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</row>
    <row r="173" spans="1:84" x14ac:dyDescent="0.35">
      <c r="A173" s="29" t="str">
        <f>IF(Progetti!E171="","",Progetti!A171)</f>
        <v/>
      </c>
      <c r="B173" s="29" t="str">
        <f>IF(Progetti!F171="","",Progetti!B171)</f>
        <v/>
      </c>
      <c r="C173" s="29" t="str">
        <f>IF(Progetti!E171="","",Progetti!C171)</f>
        <v/>
      </c>
      <c r="D173" s="29" t="str">
        <f>IF(Progetti!F171="","",Progetti!D171)</f>
        <v/>
      </c>
      <c r="E173" s="29" t="str">
        <f>IF(Progetti!E171="","",Progetti!E171)</f>
        <v/>
      </c>
      <c r="F173" s="40" t="str">
        <f>IF(Progetti!K171="","",Progetti!K171)</f>
        <v/>
      </c>
      <c r="G173" s="40" t="str">
        <f>IF(Progetti!L171="","",Progetti!L171)</f>
        <v/>
      </c>
      <c r="H173" s="29" t="str">
        <f>IF(Progetti!E171="","",Progetti!N171)</f>
        <v/>
      </c>
      <c r="I173" s="29" t="str">
        <f>IF(Progetti!E171="","",Progetti!M171)</f>
        <v/>
      </c>
      <c r="J173" s="38" t="str">
        <f>IF(Progetti!E171="","",Progetti!I171)</f>
        <v/>
      </c>
      <c r="K173" s="39" t="str">
        <f>IF(OR(Progetti!E171="",Progetti!Q171=""),"",Progetti!Q171)</f>
        <v/>
      </c>
      <c r="L173" s="39" t="str">
        <f>IF(OR(Progetti!E171="",Progetti!R171=""),"",Progetti!R171)</f>
        <v/>
      </c>
      <c r="M173" s="14" t="str">
        <f>IF(OR(Progetti!E171="",Progetti!V171=""),"",Progetti!V171)</f>
        <v/>
      </c>
      <c r="N173" s="14" t="str">
        <f>IF(OR(Progetti!E171="",Progetti!W171=""),"",Progetti!W171)</f>
        <v/>
      </c>
      <c r="O173" s="14" t="str">
        <f>IF(OR(Progetti!E171="",Progetti!X171=""),"",Progetti!X171)</f>
        <v/>
      </c>
      <c r="P173" s="14" t="str">
        <f>IF(OR(Progetti!E171="",Progetti!Y171=""),"",Progetti!Y171)</f>
        <v/>
      </c>
      <c r="Q173" s="14" t="str">
        <f>IF(OR(Progetti!E171="",Progetti!Z171=""),"",Progetti!Z171)</f>
        <v/>
      </c>
      <c r="R173" s="14" t="str">
        <f>IF(OR(Progetti!E171="",Progetti!AA171=""),"",Progetti!AA171)</f>
        <v/>
      </c>
      <c r="S173" s="14" t="str">
        <f>IF(OR(Progetti!E171="",Progetti!AB171=""),"",Progetti!AB171)</f>
        <v/>
      </c>
      <c r="T173" s="14" t="str">
        <f>IF(OR(Progetti!E171="",Progetti!AC171=""),"",Progetti!AC171)</f>
        <v/>
      </c>
      <c r="U173" s="14" t="str">
        <f>IF(OR(Progetti!E171="",Progetti!AD171=""),"",Progetti!AD171)</f>
        <v/>
      </c>
      <c r="V173" s="14" t="str">
        <f>IF(OR(Progetti!E171="",Progetti!AE171=""),"",Progetti!AE171)</f>
        <v/>
      </c>
      <c r="W173" s="14" t="str">
        <f>IF(OR(Progetti!E171="",Progetti!AF171=""),"",Progetti!AF171)</f>
        <v/>
      </c>
      <c r="X173" s="14" t="str">
        <f>IF(OR(Progetti!E171="",Progetti!AG171=""),"",Progetti!AG171)</f>
        <v/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</row>
    <row r="174" spans="1:84" x14ac:dyDescent="0.35">
      <c r="A174" s="29" t="str">
        <f>IF(Progetti!E172="","",Progetti!A172)</f>
        <v/>
      </c>
      <c r="B174" s="29" t="str">
        <f>IF(Progetti!F172="","",Progetti!B172)</f>
        <v/>
      </c>
      <c r="C174" s="29" t="str">
        <f>IF(Progetti!E172="","",Progetti!C172)</f>
        <v/>
      </c>
      <c r="D174" s="29" t="str">
        <f>IF(Progetti!F172="","",Progetti!D172)</f>
        <v/>
      </c>
      <c r="E174" s="29" t="str">
        <f>IF(Progetti!E172="","",Progetti!E172)</f>
        <v/>
      </c>
      <c r="F174" s="40" t="str">
        <f>IF(Progetti!K172="","",Progetti!K172)</f>
        <v/>
      </c>
      <c r="G174" s="40" t="str">
        <f>IF(Progetti!L172="","",Progetti!L172)</f>
        <v/>
      </c>
      <c r="H174" s="29" t="str">
        <f>IF(Progetti!E172="","",Progetti!N172)</f>
        <v/>
      </c>
      <c r="I174" s="29" t="str">
        <f>IF(Progetti!E172="","",Progetti!M172)</f>
        <v/>
      </c>
      <c r="J174" s="38" t="str">
        <f>IF(Progetti!E172="","",Progetti!I172)</f>
        <v/>
      </c>
      <c r="K174" s="39" t="str">
        <f>IF(OR(Progetti!E172="",Progetti!Q172=""),"",Progetti!Q172)</f>
        <v/>
      </c>
      <c r="L174" s="39" t="str">
        <f>IF(OR(Progetti!E172="",Progetti!R172=""),"",Progetti!R172)</f>
        <v/>
      </c>
      <c r="M174" s="14" t="str">
        <f>IF(OR(Progetti!E172="",Progetti!V172=""),"",Progetti!V172)</f>
        <v/>
      </c>
      <c r="N174" s="14" t="str">
        <f>IF(OR(Progetti!E172="",Progetti!W172=""),"",Progetti!W172)</f>
        <v/>
      </c>
      <c r="O174" s="14" t="str">
        <f>IF(OR(Progetti!E172="",Progetti!X172=""),"",Progetti!X172)</f>
        <v/>
      </c>
      <c r="P174" s="14" t="str">
        <f>IF(OR(Progetti!E172="",Progetti!Y172=""),"",Progetti!Y172)</f>
        <v/>
      </c>
      <c r="Q174" s="14" t="str">
        <f>IF(OR(Progetti!E172="",Progetti!Z172=""),"",Progetti!Z172)</f>
        <v/>
      </c>
      <c r="R174" s="14" t="str">
        <f>IF(OR(Progetti!E172="",Progetti!AA172=""),"",Progetti!AA172)</f>
        <v/>
      </c>
      <c r="S174" s="14" t="str">
        <f>IF(OR(Progetti!E172="",Progetti!AB172=""),"",Progetti!AB172)</f>
        <v/>
      </c>
      <c r="T174" s="14" t="str">
        <f>IF(OR(Progetti!E172="",Progetti!AC172=""),"",Progetti!AC172)</f>
        <v/>
      </c>
      <c r="U174" s="14" t="str">
        <f>IF(OR(Progetti!E172="",Progetti!AD172=""),"",Progetti!AD172)</f>
        <v/>
      </c>
      <c r="V174" s="14" t="str">
        <f>IF(OR(Progetti!E172="",Progetti!AE172=""),"",Progetti!AE172)</f>
        <v/>
      </c>
      <c r="W174" s="14" t="str">
        <f>IF(OR(Progetti!E172="",Progetti!AF172=""),"",Progetti!AF172)</f>
        <v/>
      </c>
      <c r="X174" s="14" t="str">
        <f>IF(OR(Progetti!E172="",Progetti!AG172=""),"",Progetti!AG172)</f>
        <v/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</row>
    <row r="175" spans="1:84" x14ac:dyDescent="0.35">
      <c r="A175" s="29" t="str">
        <f>IF(Progetti!E173="","",Progetti!A173)</f>
        <v/>
      </c>
      <c r="B175" s="29" t="str">
        <f>IF(Progetti!F173="","",Progetti!B173)</f>
        <v/>
      </c>
      <c r="C175" s="29" t="str">
        <f>IF(Progetti!E173="","",Progetti!C173)</f>
        <v/>
      </c>
      <c r="D175" s="29" t="str">
        <f>IF(Progetti!F173="","",Progetti!D173)</f>
        <v/>
      </c>
      <c r="E175" s="29" t="str">
        <f>IF(Progetti!E173="","",Progetti!E173)</f>
        <v/>
      </c>
      <c r="F175" s="40" t="str">
        <f>IF(Progetti!K173="","",Progetti!K173)</f>
        <v/>
      </c>
      <c r="G175" s="40" t="str">
        <f>IF(Progetti!L173="","",Progetti!L173)</f>
        <v/>
      </c>
      <c r="H175" s="29" t="str">
        <f>IF(Progetti!E173="","",Progetti!N173)</f>
        <v/>
      </c>
      <c r="I175" s="29" t="str">
        <f>IF(Progetti!E173="","",Progetti!M173)</f>
        <v/>
      </c>
      <c r="J175" s="38" t="str">
        <f>IF(Progetti!E173="","",Progetti!I173)</f>
        <v/>
      </c>
      <c r="K175" s="39" t="str">
        <f>IF(OR(Progetti!E173="",Progetti!Q173=""),"",Progetti!Q173)</f>
        <v/>
      </c>
      <c r="L175" s="39" t="str">
        <f>IF(OR(Progetti!E173="",Progetti!R173=""),"",Progetti!R173)</f>
        <v/>
      </c>
      <c r="M175" s="14" t="str">
        <f>IF(OR(Progetti!E173="",Progetti!V173=""),"",Progetti!V173)</f>
        <v/>
      </c>
      <c r="N175" s="14" t="str">
        <f>IF(OR(Progetti!E173="",Progetti!W173=""),"",Progetti!W173)</f>
        <v/>
      </c>
      <c r="O175" s="14" t="str">
        <f>IF(OR(Progetti!E173="",Progetti!X173=""),"",Progetti!X173)</f>
        <v/>
      </c>
      <c r="P175" s="14" t="str">
        <f>IF(OR(Progetti!E173="",Progetti!Y173=""),"",Progetti!Y173)</f>
        <v/>
      </c>
      <c r="Q175" s="14" t="str">
        <f>IF(OR(Progetti!E173="",Progetti!Z173=""),"",Progetti!Z173)</f>
        <v/>
      </c>
      <c r="R175" s="14" t="str">
        <f>IF(OR(Progetti!E173="",Progetti!AA173=""),"",Progetti!AA173)</f>
        <v/>
      </c>
      <c r="S175" s="14" t="str">
        <f>IF(OR(Progetti!E173="",Progetti!AB173=""),"",Progetti!AB173)</f>
        <v/>
      </c>
      <c r="T175" s="14" t="str">
        <f>IF(OR(Progetti!E173="",Progetti!AC173=""),"",Progetti!AC173)</f>
        <v/>
      </c>
      <c r="U175" s="14" t="str">
        <f>IF(OR(Progetti!E173="",Progetti!AD173=""),"",Progetti!AD173)</f>
        <v/>
      </c>
      <c r="V175" s="14" t="str">
        <f>IF(OR(Progetti!E173="",Progetti!AE173=""),"",Progetti!AE173)</f>
        <v/>
      </c>
      <c r="W175" s="14" t="str">
        <f>IF(OR(Progetti!E173="",Progetti!AF173=""),"",Progetti!AF173)</f>
        <v/>
      </c>
      <c r="X175" s="14" t="str">
        <f>IF(OR(Progetti!E173="",Progetti!AG173=""),"",Progetti!AG173)</f>
        <v/>
      </c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</row>
    <row r="176" spans="1:84" x14ac:dyDescent="0.35">
      <c r="A176" s="29" t="str">
        <f>IF(Progetti!E174="","",Progetti!A174)</f>
        <v/>
      </c>
      <c r="B176" s="29" t="str">
        <f>IF(Progetti!F174="","",Progetti!B174)</f>
        <v/>
      </c>
      <c r="C176" s="29" t="str">
        <f>IF(Progetti!E174="","",Progetti!C174)</f>
        <v/>
      </c>
      <c r="D176" s="29" t="str">
        <f>IF(Progetti!F174="","",Progetti!D174)</f>
        <v/>
      </c>
      <c r="E176" s="29" t="str">
        <f>IF(Progetti!E174="","",Progetti!E174)</f>
        <v/>
      </c>
      <c r="F176" s="40" t="str">
        <f>IF(Progetti!K174="","",Progetti!K174)</f>
        <v/>
      </c>
      <c r="G176" s="40" t="str">
        <f>IF(Progetti!L174="","",Progetti!L174)</f>
        <v/>
      </c>
      <c r="H176" s="29" t="str">
        <f>IF(Progetti!E174="","",Progetti!N174)</f>
        <v/>
      </c>
      <c r="I176" s="29" t="str">
        <f>IF(Progetti!E174="","",Progetti!M174)</f>
        <v/>
      </c>
      <c r="J176" s="38" t="str">
        <f>IF(Progetti!E174="","",Progetti!I174)</f>
        <v/>
      </c>
      <c r="K176" s="39" t="str">
        <f>IF(OR(Progetti!E174="",Progetti!Q174=""),"",Progetti!Q174)</f>
        <v/>
      </c>
      <c r="L176" s="39" t="str">
        <f>IF(OR(Progetti!E174="",Progetti!R174=""),"",Progetti!R174)</f>
        <v/>
      </c>
      <c r="M176" s="14" t="str">
        <f>IF(OR(Progetti!E174="",Progetti!V174=""),"",Progetti!V174)</f>
        <v/>
      </c>
      <c r="N176" s="14" t="str">
        <f>IF(OR(Progetti!E174="",Progetti!W174=""),"",Progetti!W174)</f>
        <v/>
      </c>
      <c r="O176" s="14" t="str">
        <f>IF(OR(Progetti!E174="",Progetti!X174=""),"",Progetti!X174)</f>
        <v/>
      </c>
      <c r="P176" s="14" t="str">
        <f>IF(OR(Progetti!E174="",Progetti!Y174=""),"",Progetti!Y174)</f>
        <v/>
      </c>
      <c r="Q176" s="14" t="str">
        <f>IF(OR(Progetti!E174="",Progetti!Z174=""),"",Progetti!Z174)</f>
        <v/>
      </c>
      <c r="R176" s="14" t="str">
        <f>IF(OR(Progetti!E174="",Progetti!AA174=""),"",Progetti!AA174)</f>
        <v/>
      </c>
      <c r="S176" s="14" t="str">
        <f>IF(OR(Progetti!E174="",Progetti!AB174=""),"",Progetti!AB174)</f>
        <v/>
      </c>
      <c r="T176" s="14" t="str">
        <f>IF(OR(Progetti!E174="",Progetti!AC174=""),"",Progetti!AC174)</f>
        <v/>
      </c>
      <c r="U176" s="14" t="str">
        <f>IF(OR(Progetti!E174="",Progetti!AD174=""),"",Progetti!AD174)</f>
        <v/>
      </c>
      <c r="V176" s="14" t="str">
        <f>IF(OR(Progetti!E174="",Progetti!AE174=""),"",Progetti!AE174)</f>
        <v/>
      </c>
      <c r="W176" s="14" t="str">
        <f>IF(OR(Progetti!E174="",Progetti!AF174=""),"",Progetti!AF174)</f>
        <v/>
      </c>
      <c r="X176" s="14" t="str">
        <f>IF(OR(Progetti!E174="",Progetti!AG174=""),"",Progetti!AG174)</f>
        <v/>
      </c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</row>
    <row r="177" spans="1:84" x14ac:dyDescent="0.35">
      <c r="A177" s="29" t="str">
        <f>IF(Progetti!E175="","",Progetti!A175)</f>
        <v/>
      </c>
      <c r="B177" s="29" t="str">
        <f>IF(Progetti!F175="","",Progetti!B175)</f>
        <v/>
      </c>
      <c r="C177" s="29" t="str">
        <f>IF(Progetti!E175="","",Progetti!C175)</f>
        <v/>
      </c>
      <c r="D177" s="29" t="str">
        <f>IF(Progetti!F175="","",Progetti!D175)</f>
        <v/>
      </c>
      <c r="E177" s="29" t="str">
        <f>IF(Progetti!E175="","",Progetti!E175)</f>
        <v/>
      </c>
      <c r="F177" s="40" t="str">
        <f>IF(Progetti!K175="","",Progetti!K175)</f>
        <v/>
      </c>
      <c r="G177" s="40" t="str">
        <f>IF(Progetti!L175="","",Progetti!L175)</f>
        <v/>
      </c>
      <c r="H177" s="29" t="str">
        <f>IF(Progetti!E175="","",Progetti!N175)</f>
        <v/>
      </c>
      <c r="I177" s="29" t="str">
        <f>IF(Progetti!E175="","",Progetti!M175)</f>
        <v/>
      </c>
      <c r="J177" s="38" t="str">
        <f>IF(Progetti!E175="","",Progetti!I175)</f>
        <v/>
      </c>
      <c r="K177" s="39" t="str">
        <f>IF(OR(Progetti!E175="",Progetti!Q175=""),"",Progetti!Q175)</f>
        <v/>
      </c>
      <c r="L177" s="39" t="str">
        <f>IF(OR(Progetti!E175="",Progetti!R175=""),"",Progetti!R175)</f>
        <v/>
      </c>
      <c r="M177" s="14" t="str">
        <f>IF(OR(Progetti!E175="",Progetti!V175=""),"",Progetti!V175)</f>
        <v/>
      </c>
      <c r="N177" s="14" t="str">
        <f>IF(OR(Progetti!E175="",Progetti!W175=""),"",Progetti!W175)</f>
        <v/>
      </c>
      <c r="O177" s="14" t="str">
        <f>IF(OR(Progetti!E175="",Progetti!X175=""),"",Progetti!X175)</f>
        <v/>
      </c>
      <c r="P177" s="14" t="str">
        <f>IF(OR(Progetti!E175="",Progetti!Y175=""),"",Progetti!Y175)</f>
        <v/>
      </c>
      <c r="Q177" s="14" t="str">
        <f>IF(OR(Progetti!E175="",Progetti!Z175=""),"",Progetti!Z175)</f>
        <v/>
      </c>
      <c r="R177" s="14" t="str">
        <f>IF(OR(Progetti!E175="",Progetti!AA175=""),"",Progetti!AA175)</f>
        <v/>
      </c>
      <c r="S177" s="14" t="str">
        <f>IF(OR(Progetti!E175="",Progetti!AB175=""),"",Progetti!AB175)</f>
        <v/>
      </c>
      <c r="T177" s="14" t="str">
        <f>IF(OR(Progetti!E175="",Progetti!AC175=""),"",Progetti!AC175)</f>
        <v/>
      </c>
      <c r="U177" s="14" t="str">
        <f>IF(OR(Progetti!E175="",Progetti!AD175=""),"",Progetti!AD175)</f>
        <v/>
      </c>
      <c r="V177" s="14" t="str">
        <f>IF(OR(Progetti!E175="",Progetti!AE175=""),"",Progetti!AE175)</f>
        <v/>
      </c>
      <c r="W177" s="14" t="str">
        <f>IF(OR(Progetti!E175="",Progetti!AF175=""),"",Progetti!AF175)</f>
        <v/>
      </c>
      <c r="X177" s="14" t="str">
        <f>IF(OR(Progetti!E175="",Progetti!AG175=""),"",Progetti!AG175)</f>
        <v/>
      </c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</row>
    <row r="178" spans="1:84" x14ac:dyDescent="0.35">
      <c r="A178" s="29" t="str">
        <f>IF(Progetti!E176="","",Progetti!A176)</f>
        <v/>
      </c>
      <c r="B178" s="29" t="str">
        <f>IF(Progetti!F176="","",Progetti!B176)</f>
        <v/>
      </c>
      <c r="C178" s="29" t="str">
        <f>IF(Progetti!E176="","",Progetti!C176)</f>
        <v/>
      </c>
      <c r="D178" s="29" t="str">
        <f>IF(Progetti!F176="","",Progetti!D176)</f>
        <v/>
      </c>
      <c r="E178" s="29" t="str">
        <f>IF(Progetti!E176="","",Progetti!E176)</f>
        <v/>
      </c>
      <c r="F178" s="40" t="str">
        <f>IF(Progetti!K176="","",Progetti!K176)</f>
        <v/>
      </c>
      <c r="G178" s="40" t="str">
        <f>IF(Progetti!L176="","",Progetti!L176)</f>
        <v/>
      </c>
      <c r="H178" s="29" t="str">
        <f>IF(Progetti!E176="","",Progetti!N176)</f>
        <v/>
      </c>
      <c r="I178" s="29" t="str">
        <f>IF(Progetti!E176="","",Progetti!M176)</f>
        <v/>
      </c>
      <c r="J178" s="38" t="str">
        <f>IF(Progetti!E176="","",Progetti!I176)</f>
        <v/>
      </c>
      <c r="K178" s="39" t="str">
        <f>IF(OR(Progetti!E176="",Progetti!Q176=""),"",Progetti!Q176)</f>
        <v/>
      </c>
      <c r="L178" s="39" t="str">
        <f>IF(OR(Progetti!E176="",Progetti!R176=""),"",Progetti!R176)</f>
        <v/>
      </c>
      <c r="M178" s="14" t="str">
        <f>IF(OR(Progetti!E176="",Progetti!V176=""),"",Progetti!V176)</f>
        <v/>
      </c>
      <c r="N178" s="14" t="str">
        <f>IF(OR(Progetti!E176="",Progetti!W176=""),"",Progetti!W176)</f>
        <v/>
      </c>
      <c r="O178" s="14" t="str">
        <f>IF(OR(Progetti!E176="",Progetti!X176=""),"",Progetti!X176)</f>
        <v/>
      </c>
      <c r="P178" s="14" t="str">
        <f>IF(OR(Progetti!E176="",Progetti!Y176=""),"",Progetti!Y176)</f>
        <v/>
      </c>
      <c r="Q178" s="14" t="str">
        <f>IF(OR(Progetti!E176="",Progetti!Z176=""),"",Progetti!Z176)</f>
        <v/>
      </c>
      <c r="R178" s="14" t="str">
        <f>IF(OR(Progetti!E176="",Progetti!AA176=""),"",Progetti!AA176)</f>
        <v/>
      </c>
      <c r="S178" s="14" t="str">
        <f>IF(OR(Progetti!E176="",Progetti!AB176=""),"",Progetti!AB176)</f>
        <v/>
      </c>
      <c r="T178" s="14" t="str">
        <f>IF(OR(Progetti!E176="",Progetti!AC176=""),"",Progetti!AC176)</f>
        <v/>
      </c>
      <c r="U178" s="14" t="str">
        <f>IF(OR(Progetti!E176="",Progetti!AD176=""),"",Progetti!AD176)</f>
        <v/>
      </c>
      <c r="V178" s="14" t="str">
        <f>IF(OR(Progetti!E176="",Progetti!AE176=""),"",Progetti!AE176)</f>
        <v/>
      </c>
      <c r="W178" s="14" t="str">
        <f>IF(OR(Progetti!E176="",Progetti!AF176=""),"",Progetti!AF176)</f>
        <v/>
      </c>
      <c r="X178" s="14" t="str">
        <f>IF(OR(Progetti!E176="",Progetti!AG176=""),"",Progetti!AG176)</f>
        <v/>
      </c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</row>
    <row r="179" spans="1:84" x14ac:dyDescent="0.35">
      <c r="A179" s="29" t="str">
        <f>IF(Progetti!E177="","",Progetti!A177)</f>
        <v/>
      </c>
      <c r="B179" s="29" t="str">
        <f>IF(Progetti!F177="","",Progetti!B177)</f>
        <v/>
      </c>
      <c r="C179" s="29" t="str">
        <f>IF(Progetti!E177="","",Progetti!C177)</f>
        <v/>
      </c>
      <c r="D179" s="29" t="str">
        <f>IF(Progetti!F177="","",Progetti!D177)</f>
        <v/>
      </c>
      <c r="E179" s="29" t="str">
        <f>IF(Progetti!E177="","",Progetti!E177)</f>
        <v/>
      </c>
      <c r="F179" s="40" t="str">
        <f>IF(Progetti!K177="","",Progetti!K177)</f>
        <v/>
      </c>
      <c r="G179" s="40" t="str">
        <f>IF(Progetti!L177="","",Progetti!L177)</f>
        <v/>
      </c>
      <c r="H179" s="29" t="str">
        <f>IF(Progetti!E177="","",Progetti!N177)</f>
        <v/>
      </c>
      <c r="I179" s="29" t="str">
        <f>IF(Progetti!E177="","",Progetti!M177)</f>
        <v/>
      </c>
      <c r="J179" s="38" t="str">
        <f>IF(Progetti!E177="","",Progetti!I177)</f>
        <v/>
      </c>
      <c r="K179" s="39" t="str">
        <f>IF(OR(Progetti!E177="",Progetti!Q177=""),"",Progetti!Q177)</f>
        <v/>
      </c>
      <c r="L179" s="39" t="str">
        <f>IF(OR(Progetti!E177="",Progetti!R177=""),"",Progetti!R177)</f>
        <v/>
      </c>
      <c r="M179" s="14" t="str">
        <f>IF(OR(Progetti!E177="",Progetti!V177=""),"",Progetti!V177)</f>
        <v/>
      </c>
      <c r="N179" s="14" t="str">
        <f>IF(OR(Progetti!E177="",Progetti!W177=""),"",Progetti!W177)</f>
        <v/>
      </c>
      <c r="O179" s="14" t="str">
        <f>IF(OR(Progetti!E177="",Progetti!X177=""),"",Progetti!X177)</f>
        <v/>
      </c>
      <c r="P179" s="14" t="str">
        <f>IF(OR(Progetti!E177="",Progetti!Y177=""),"",Progetti!Y177)</f>
        <v/>
      </c>
      <c r="Q179" s="14" t="str">
        <f>IF(OR(Progetti!E177="",Progetti!Z177=""),"",Progetti!Z177)</f>
        <v/>
      </c>
      <c r="R179" s="14" t="str">
        <f>IF(OR(Progetti!E177="",Progetti!AA177=""),"",Progetti!AA177)</f>
        <v/>
      </c>
      <c r="S179" s="14" t="str">
        <f>IF(OR(Progetti!E177="",Progetti!AB177=""),"",Progetti!AB177)</f>
        <v/>
      </c>
      <c r="T179" s="14" t="str">
        <f>IF(OR(Progetti!E177="",Progetti!AC177=""),"",Progetti!AC177)</f>
        <v/>
      </c>
      <c r="U179" s="14" t="str">
        <f>IF(OR(Progetti!E177="",Progetti!AD177=""),"",Progetti!AD177)</f>
        <v/>
      </c>
      <c r="V179" s="14" t="str">
        <f>IF(OR(Progetti!E177="",Progetti!AE177=""),"",Progetti!AE177)</f>
        <v/>
      </c>
      <c r="W179" s="14" t="str">
        <f>IF(OR(Progetti!E177="",Progetti!AF177=""),"",Progetti!AF177)</f>
        <v/>
      </c>
      <c r="X179" s="14" t="str">
        <f>IF(OR(Progetti!E177="",Progetti!AG177=""),"",Progetti!AG177)</f>
        <v/>
      </c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</row>
    <row r="180" spans="1:84" x14ac:dyDescent="0.35">
      <c r="A180" s="29" t="str">
        <f>IF(Progetti!E178="","",Progetti!A178)</f>
        <v/>
      </c>
      <c r="B180" s="29" t="str">
        <f>IF(Progetti!F178="","",Progetti!B178)</f>
        <v/>
      </c>
      <c r="C180" s="29" t="str">
        <f>IF(Progetti!E178="","",Progetti!C178)</f>
        <v/>
      </c>
      <c r="D180" s="29" t="str">
        <f>IF(Progetti!F178="","",Progetti!D178)</f>
        <v/>
      </c>
      <c r="E180" s="29" t="str">
        <f>IF(Progetti!E178="","",Progetti!E178)</f>
        <v/>
      </c>
      <c r="F180" s="40" t="str">
        <f>IF(Progetti!K178="","",Progetti!K178)</f>
        <v/>
      </c>
      <c r="G180" s="40" t="str">
        <f>IF(Progetti!L178="","",Progetti!L178)</f>
        <v/>
      </c>
      <c r="H180" s="29" t="str">
        <f>IF(Progetti!E178="","",Progetti!N178)</f>
        <v/>
      </c>
      <c r="I180" s="29" t="str">
        <f>IF(Progetti!E178="","",Progetti!M178)</f>
        <v/>
      </c>
      <c r="J180" s="38" t="str">
        <f>IF(Progetti!E178="","",Progetti!I178)</f>
        <v/>
      </c>
      <c r="K180" s="39" t="str">
        <f>IF(OR(Progetti!E178="",Progetti!Q178=""),"",Progetti!Q178)</f>
        <v/>
      </c>
      <c r="L180" s="39" t="str">
        <f>IF(OR(Progetti!E178="",Progetti!R178=""),"",Progetti!R178)</f>
        <v/>
      </c>
      <c r="M180" s="14" t="str">
        <f>IF(OR(Progetti!E178="",Progetti!V178=""),"",Progetti!V178)</f>
        <v/>
      </c>
      <c r="N180" s="14" t="str">
        <f>IF(OR(Progetti!E178="",Progetti!W178=""),"",Progetti!W178)</f>
        <v/>
      </c>
      <c r="O180" s="14" t="str">
        <f>IF(OR(Progetti!E178="",Progetti!X178=""),"",Progetti!X178)</f>
        <v/>
      </c>
      <c r="P180" s="14" t="str">
        <f>IF(OR(Progetti!E178="",Progetti!Y178=""),"",Progetti!Y178)</f>
        <v/>
      </c>
      <c r="Q180" s="14" t="str">
        <f>IF(OR(Progetti!E178="",Progetti!Z178=""),"",Progetti!Z178)</f>
        <v/>
      </c>
      <c r="R180" s="14" t="str">
        <f>IF(OR(Progetti!E178="",Progetti!AA178=""),"",Progetti!AA178)</f>
        <v/>
      </c>
      <c r="S180" s="14" t="str">
        <f>IF(OR(Progetti!E178="",Progetti!AB178=""),"",Progetti!AB178)</f>
        <v/>
      </c>
      <c r="T180" s="14" t="str">
        <f>IF(OR(Progetti!E178="",Progetti!AC178=""),"",Progetti!AC178)</f>
        <v/>
      </c>
      <c r="U180" s="14" t="str">
        <f>IF(OR(Progetti!E178="",Progetti!AD178=""),"",Progetti!AD178)</f>
        <v/>
      </c>
      <c r="V180" s="14" t="str">
        <f>IF(OR(Progetti!E178="",Progetti!AE178=""),"",Progetti!AE178)</f>
        <v/>
      </c>
      <c r="W180" s="14" t="str">
        <f>IF(OR(Progetti!E178="",Progetti!AF178=""),"",Progetti!AF178)</f>
        <v/>
      </c>
      <c r="X180" s="14" t="str">
        <f>IF(OR(Progetti!E178="",Progetti!AG178=""),"",Progetti!AG178)</f>
        <v/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</row>
    <row r="181" spans="1:84" x14ac:dyDescent="0.35">
      <c r="A181" s="29" t="str">
        <f>IF(Progetti!E179="","",Progetti!A179)</f>
        <v/>
      </c>
      <c r="B181" s="29" t="str">
        <f>IF(Progetti!F179="","",Progetti!B179)</f>
        <v/>
      </c>
      <c r="C181" s="29" t="str">
        <f>IF(Progetti!E179="","",Progetti!C179)</f>
        <v/>
      </c>
      <c r="D181" s="29" t="str">
        <f>IF(Progetti!F179="","",Progetti!D179)</f>
        <v/>
      </c>
      <c r="E181" s="29" t="str">
        <f>IF(Progetti!E179="","",Progetti!E179)</f>
        <v/>
      </c>
      <c r="F181" s="40" t="str">
        <f>IF(Progetti!K179="","",Progetti!K179)</f>
        <v/>
      </c>
      <c r="G181" s="40" t="str">
        <f>IF(Progetti!L179="","",Progetti!L179)</f>
        <v/>
      </c>
      <c r="H181" s="29" t="str">
        <f>IF(Progetti!E179="","",Progetti!N179)</f>
        <v/>
      </c>
      <c r="I181" s="29" t="str">
        <f>IF(Progetti!E179="","",Progetti!M179)</f>
        <v/>
      </c>
      <c r="J181" s="38" t="str">
        <f>IF(Progetti!E179="","",Progetti!I179)</f>
        <v/>
      </c>
      <c r="K181" s="39" t="str">
        <f>IF(OR(Progetti!E179="",Progetti!Q179=""),"",Progetti!Q179)</f>
        <v/>
      </c>
      <c r="L181" s="39" t="str">
        <f>IF(OR(Progetti!E179="",Progetti!R179=""),"",Progetti!R179)</f>
        <v/>
      </c>
      <c r="M181" s="14" t="str">
        <f>IF(OR(Progetti!E179="",Progetti!V179=""),"",Progetti!V179)</f>
        <v/>
      </c>
      <c r="N181" s="14" t="str">
        <f>IF(OR(Progetti!E179="",Progetti!W179=""),"",Progetti!W179)</f>
        <v/>
      </c>
      <c r="O181" s="14" t="str">
        <f>IF(OR(Progetti!E179="",Progetti!X179=""),"",Progetti!X179)</f>
        <v/>
      </c>
      <c r="P181" s="14" t="str">
        <f>IF(OR(Progetti!E179="",Progetti!Y179=""),"",Progetti!Y179)</f>
        <v/>
      </c>
      <c r="Q181" s="14" t="str">
        <f>IF(OR(Progetti!E179="",Progetti!Z179=""),"",Progetti!Z179)</f>
        <v/>
      </c>
      <c r="R181" s="14" t="str">
        <f>IF(OR(Progetti!E179="",Progetti!AA179=""),"",Progetti!AA179)</f>
        <v/>
      </c>
      <c r="S181" s="14" t="str">
        <f>IF(OR(Progetti!E179="",Progetti!AB179=""),"",Progetti!AB179)</f>
        <v/>
      </c>
      <c r="T181" s="14" t="str">
        <f>IF(OR(Progetti!E179="",Progetti!AC179=""),"",Progetti!AC179)</f>
        <v/>
      </c>
      <c r="U181" s="14" t="str">
        <f>IF(OR(Progetti!E179="",Progetti!AD179=""),"",Progetti!AD179)</f>
        <v/>
      </c>
      <c r="V181" s="14" t="str">
        <f>IF(OR(Progetti!E179="",Progetti!AE179=""),"",Progetti!AE179)</f>
        <v/>
      </c>
      <c r="W181" s="14" t="str">
        <f>IF(OR(Progetti!E179="",Progetti!AF179=""),"",Progetti!AF179)</f>
        <v/>
      </c>
      <c r="X181" s="14" t="str">
        <f>IF(OR(Progetti!E179="",Progetti!AG179=""),"",Progetti!AG179)</f>
        <v/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</row>
    <row r="182" spans="1:84" x14ac:dyDescent="0.35">
      <c r="A182" s="29" t="str">
        <f>IF(Progetti!E180="","",Progetti!A180)</f>
        <v/>
      </c>
      <c r="B182" s="29" t="str">
        <f>IF(Progetti!F180="","",Progetti!B180)</f>
        <v/>
      </c>
      <c r="C182" s="29" t="str">
        <f>IF(Progetti!E180="","",Progetti!C180)</f>
        <v/>
      </c>
      <c r="D182" s="29" t="str">
        <f>IF(Progetti!F180="","",Progetti!D180)</f>
        <v/>
      </c>
      <c r="E182" s="29" t="str">
        <f>IF(Progetti!E180="","",Progetti!E180)</f>
        <v/>
      </c>
      <c r="F182" s="40" t="str">
        <f>IF(Progetti!K180="","",Progetti!K180)</f>
        <v/>
      </c>
      <c r="G182" s="40" t="str">
        <f>IF(Progetti!L180="","",Progetti!L180)</f>
        <v/>
      </c>
      <c r="H182" s="29" t="str">
        <f>IF(Progetti!E180="","",Progetti!N180)</f>
        <v/>
      </c>
      <c r="I182" s="29" t="str">
        <f>IF(Progetti!E180="","",Progetti!M180)</f>
        <v/>
      </c>
      <c r="J182" s="38" t="str">
        <f>IF(Progetti!E180="","",Progetti!I180)</f>
        <v/>
      </c>
      <c r="K182" s="39" t="str">
        <f>IF(OR(Progetti!E180="",Progetti!Q180=""),"",Progetti!Q180)</f>
        <v/>
      </c>
      <c r="L182" s="39" t="str">
        <f>IF(OR(Progetti!E180="",Progetti!R180=""),"",Progetti!R180)</f>
        <v/>
      </c>
      <c r="M182" s="14" t="str">
        <f>IF(OR(Progetti!E180="",Progetti!V180=""),"",Progetti!V180)</f>
        <v/>
      </c>
      <c r="N182" s="14" t="str">
        <f>IF(OR(Progetti!E180="",Progetti!W180=""),"",Progetti!W180)</f>
        <v/>
      </c>
      <c r="O182" s="14" t="str">
        <f>IF(OR(Progetti!E180="",Progetti!X180=""),"",Progetti!X180)</f>
        <v/>
      </c>
      <c r="P182" s="14" t="str">
        <f>IF(OR(Progetti!E180="",Progetti!Y180=""),"",Progetti!Y180)</f>
        <v/>
      </c>
      <c r="Q182" s="14" t="str">
        <f>IF(OR(Progetti!E180="",Progetti!Z180=""),"",Progetti!Z180)</f>
        <v/>
      </c>
      <c r="R182" s="14" t="str">
        <f>IF(OR(Progetti!E180="",Progetti!AA180=""),"",Progetti!AA180)</f>
        <v/>
      </c>
      <c r="S182" s="14" t="str">
        <f>IF(OR(Progetti!E180="",Progetti!AB180=""),"",Progetti!AB180)</f>
        <v/>
      </c>
      <c r="T182" s="14" t="str">
        <f>IF(OR(Progetti!E180="",Progetti!AC180=""),"",Progetti!AC180)</f>
        <v/>
      </c>
      <c r="U182" s="14" t="str">
        <f>IF(OR(Progetti!E180="",Progetti!AD180=""),"",Progetti!AD180)</f>
        <v/>
      </c>
      <c r="V182" s="14" t="str">
        <f>IF(OR(Progetti!E180="",Progetti!AE180=""),"",Progetti!AE180)</f>
        <v/>
      </c>
      <c r="W182" s="14" t="str">
        <f>IF(OR(Progetti!E180="",Progetti!AF180=""),"",Progetti!AF180)</f>
        <v/>
      </c>
      <c r="X182" s="14" t="str">
        <f>IF(OR(Progetti!E180="",Progetti!AG180=""),"",Progetti!AG180)</f>
        <v/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</row>
    <row r="183" spans="1:84" x14ac:dyDescent="0.35">
      <c r="A183" s="29" t="str">
        <f>IF(Progetti!E181="","",Progetti!A181)</f>
        <v/>
      </c>
      <c r="B183" s="29" t="str">
        <f>IF(Progetti!F181="","",Progetti!B181)</f>
        <v/>
      </c>
      <c r="C183" s="29" t="str">
        <f>IF(Progetti!E181="","",Progetti!C181)</f>
        <v/>
      </c>
      <c r="D183" s="29" t="str">
        <f>IF(Progetti!F181="","",Progetti!D181)</f>
        <v/>
      </c>
      <c r="E183" s="29" t="str">
        <f>IF(Progetti!E181="","",Progetti!E181)</f>
        <v/>
      </c>
      <c r="F183" s="40" t="str">
        <f>IF(Progetti!K181="","",Progetti!K181)</f>
        <v/>
      </c>
      <c r="G183" s="40" t="str">
        <f>IF(Progetti!L181="","",Progetti!L181)</f>
        <v/>
      </c>
      <c r="H183" s="29" t="str">
        <f>IF(Progetti!E181="","",Progetti!N181)</f>
        <v/>
      </c>
      <c r="I183" s="29" t="str">
        <f>IF(Progetti!E181="","",Progetti!M181)</f>
        <v/>
      </c>
      <c r="J183" s="38" t="str">
        <f>IF(Progetti!E181="","",Progetti!I181)</f>
        <v/>
      </c>
      <c r="K183" s="39" t="str">
        <f>IF(OR(Progetti!E181="",Progetti!Q181=""),"",Progetti!Q181)</f>
        <v/>
      </c>
      <c r="L183" s="39" t="str">
        <f>IF(OR(Progetti!E181="",Progetti!R181=""),"",Progetti!R181)</f>
        <v/>
      </c>
      <c r="M183" s="14" t="str">
        <f>IF(OR(Progetti!E181="",Progetti!V181=""),"",Progetti!V181)</f>
        <v/>
      </c>
      <c r="N183" s="14" t="str">
        <f>IF(OR(Progetti!E181="",Progetti!W181=""),"",Progetti!W181)</f>
        <v/>
      </c>
      <c r="O183" s="14" t="str">
        <f>IF(OR(Progetti!E181="",Progetti!X181=""),"",Progetti!X181)</f>
        <v/>
      </c>
      <c r="P183" s="14" t="str">
        <f>IF(OR(Progetti!E181="",Progetti!Y181=""),"",Progetti!Y181)</f>
        <v/>
      </c>
      <c r="Q183" s="14" t="str">
        <f>IF(OR(Progetti!E181="",Progetti!Z181=""),"",Progetti!Z181)</f>
        <v/>
      </c>
      <c r="R183" s="14" t="str">
        <f>IF(OR(Progetti!E181="",Progetti!AA181=""),"",Progetti!AA181)</f>
        <v/>
      </c>
      <c r="S183" s="14" t="str">
        <f>IF(OR(Progetti!E181="",Progetti!AB181=""),"",Progetti!AB181)</f>
        <v/>
      </c>
      <c r="T183" s="14" t="str">
        <f>IF(OR(Progetti!E181="",Progetti!AC181=""),"",Progetti!AC181)</f>
        <v/>
      </c>
      <c r="U183" s="14" t="str">
        <f>IF(OR(Progetti!E181="",Progetti!AD181=""),"",Progetti!AD181)</f>
        <v/>
      </c>
      <c r="V183" s="14" t="str">
        <f>IF(OR(Progetti!E181="",Progetti!AE181=""),"",Progetti!AE181)</f>
        <v/>
      </c>
      <c r="W183" s="14" t="str">
        <f>IF(OR(Progetti!E181="",Progetti!AF181=""),"",Progetti!AF181)</f>
        <v/>
      </c>
      <c r="X183" s="14" t="str">
        <f>IF(OR(Progetti!E181="",Progetti!AG181=""),"",Progetti!AG181)</f>
        <v/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</row>
    <row r="184" spans="1:84" x14ac:dyDescent="0.35">
      <c r="A184" s="29" t="str">
        <f>IF(Progetti!E182="","",Progetti!A182)</f>
        <v/>
      </c>
      <c r="B184" s="29" t="str">
        <f>IF(Progetti!F182="","",Progetti!B182)</f>
        <v/>
      </c>
      <c r="C184" s="29" t="str">
        <f>IF(Progetti!E182="","",Progetti!C182)</f>
        <v/>
      </c>
      <c r="D184" s="29" t="str">
        <f>IF(Progetti!F182="","",Progetti!D182)</f>
        <v/>
      </c>
      <c r="E184" s="29" t="str">
        <f>IF(Progetti!E182="","",Progetti!E182)</f>
        <v/>
      </c>
      <c r="F184" s="40" t="str">
        <f>IF(Progetti!K182="","",Progetti!K182)</f>
        <v/>
      </c>
      <c r="G184" s="40" t="str">
        <f>IF(Progetti!L182="","",Progetti!L182)</f>
        <v/>
      </c>
      <c r="H184" s="29" t="str">
        <f>IF(Progetti!E182="","",Progetti!N182)</f>
        <v/>
      </c>
      <c r="I184" s="29" t="str">
        <f>IF(Progetti!E182="","",Progetti!M182)</f>
        <v/>
      </c>
      <c r="J184" s="38" t="str">
        <f>IF(Progetti!E182="","",Progetti!I182)</f>
        <v/>
      </c>
      <c r="K184" s="39" t="str">
        <f>IF(OR(Progetti!E182="",Progetti!Q182=""),"",Progetti!Q182)</f>
        <v/>
      </c>
      <c r="L184" s="39" t="str">
        <f>IF(OR(Progetti!E182="",Progetti!R182=""),"",Progetti!R182)</f>
        <v/>
      </c>
      <c r="M184" s="14" t="str">
        <f>IF(OR(Progetti!E182="",Progetti!V182=""),"",Progetti!V182)</f>
        <v/>
      </c>
      <c r="N184" s="14" t="str">
        <f>IF(OR(Progetti!E182="",Progetti!W182=""),"",Progetti!W182)</f>
        <v/>
      </c>
      <c r="O184" s="14" t="str">
        <f>IF(OR(Progetti!E182="",Progetti!X182=""),"",Progetti!X182)</f>
        <v/>
      </c>
      <c r="P184" s="14" t="str">
        <f>IF(OR(Progetti!E182="",Progetti!Y182=""),"",Progetti!Y182)</f>
        <v/>
      </c>
      <c r="Q184" s="14" t="str">
        <f>IF(OR(Progetti!E182="",Progetti!Z182=""),"",Progetti!Z182)</f>
        <v/>
      </c>
      <c r="R184" s="14" t="str">
        <f>IF(OR(Progetti!E182="",Progetti!AA182=""),"",Progetti!AA182)</f>
        <v/>
      </c>
      <c r="S184" s="14" t="str">
        <f>IF(OR(Progetti!E182="",Progetti!AB182=""),"",Progetti!AB182)</f>
        <v/>
      </c>
      <c r="T184" s="14" t="str">
        <f>IF(OR(Progetti!E182="",Progetti!AC182=""),"",Progetti!AC182)</f>
        <v/>
      </c>
      <c r="U184" s="14" t="str">
        <f>IF(OR(Progetti!E182="",Progetti!AD182=""),"",Progetti!AD182)</f>
        <v/>
      </c>
      <c r="V184" s="14" t="str">
        <f>IF(OR(Progetti!E182="",Progetti!AE182=""),"",Progetti!AE182)</f>
        <v/>
      </c>
      <c r="W184" s="14" t="str">
        <f>IF(OR(Progetti!E182="",Progetti!AF182=""),"",Progetti!AF182)</f>
        <v/>
      </c>
      <c r="X184" s="14" t="str">
        <f>IF(OR(Progetti!E182="",Progetti!AG182=""),"",Progetti!AG182)</f>
        <v/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</row>
    <row r="185" spans="1:84" x14ac:dyDescent="0.35">
      <c r="A185" s="29" t="str">
        <f>IF(Progetti!E183="","",Progetti!A183)</f>
        <v/>
      </c>
      <c r="B185" s="29" t="str">
        <f>IF(Progetti!F183="","",Progetti!B183)</f>
        <v/>
      </c>
      <c r="C185" s="29" t="str">
        <f>IF(Progetti!E183="","",Progetti!C183)</f>
        <v/>
      </c>
      <c r="D185" s="29" t="str">
        <f>IF(Progetti!F183="","",Progetti!D183)</f>
        <v/>
      </c>
      <c r="E185" s="29" t="str">
        <f>IF(Progetti!E183="","",Progetti!E183)</f>
        <v/>
      </c>
      <c r="F185" s="40" t="str">
        <f>IF(Progetti!K183="","",Progetti!K183)</f>
        <v/>
      </c>
      <c r="G185" s="40" t="str">
        <f>IF(Progetti!L183="","",Progetti!L183)</f>
        <v/>
      </c>
      <c r="H185" s="29" t="str">
        <f>IF(Progetti!E183="","",Progetti!N183)</f>
        <v/>
      </c>
      <c r="I185" s="29" t="str">
        <f>IF(Progetti!E183="","",Progetti!M183)</f>
        <v/>
      </c>
      <c r="J185" s="38" t="str">
        <f>IF(Progetti!E183="","",Progetti!I183)</f>
        <v/>
      </c>
      <c r="K185" s="39" t="str">
        <f>IF(OR(Progetti!E183="",Progetti!Q183=""),"",Progetti!Q183)</f>
        <v/>
      </c>
      <c r="L185" s="39" t="str">
        <f>IF(OR(Progetti!E183="",Progetti!R183=""),"",Progetti!R183)</f>
        <v/>
      </c>
      <c r="M185" s="14" t="str">
        <f>IF(OR(Progetti!E183="",Progetti!V183=""),"",Progetti!V183)</f>
        <v/>
      </c>
      <c r="N185" s="14" t="str">
        <f>IF(OR(Progetti!E183="",Progetti!W183=""),"",Progetti!W183)</f>
        <v/>
      </c>
      <c r="O185" s="14" t="str">
        <f>IF(OR(Progetti!E183="",Progetti!X183=""),"",Progetti!X183)</f>
        <v/>
      </c>
      <c r="P185" s="14" t="str">
        <f>IF(OR(Progetti!E183="",Progetti!Y183=""),"",Progetti!Y183)</f>
        <v/>
      </c>
      <c r="Q185" s="14" t="str">
        <f>IF(OR(Progetti!E183="",Progetti!Z183=""),"",Progetti!Z183)</f>
        <v/>
      </c>
      <c r="R185" s="14" t="str">
        <f>IF(OR(Progetti!E183="",Progetti!AA183=""),"",Progetti!AA183)</f>
        <v/>
      </c>
      <c r="S185" s="14" t="str">
        <f>IF(OR(Progetti!E183="",Progetti!AB183=""),"",Progetti!AB183)</f>
        <v/>
      </c>
      <c r="T185" s="14" t="str">
        <f>IF(OR(Progetti!E183="",Progetti!AC183=""),"",Progetti!AC183)</f>
        <v/>
      </c>
      <c r="U185" s="14" t="str">
        <f>IF(OR(Progetti!E183="",Progetti!AD183=""),"",Progetti!AD183)</f>
        <v/>
      </c>
      <c r="V185" s="14" t="str">
        <f>IF(OR(Progetti!E183="",Progetti!AE183=""),"",Progetti!AE183)</f>
        <v/>
      </c>
      <c r="W185" s="14" t="str">
        <f>IF(OR(Progetti!E183="",Progetti!AF183=""),"",Progetti!AF183)</f>
        <v/>
      </c>
      <c r="X185" s="14" t="str">
        <f>IF(OR(Progetti!E183="",Progetti!AG183=""),"",Progetti!AG183)</f>
        <v/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</row>
    <row r="186" spans="1:84" x14ac:dyDescent="0.35">
      <c r="A186" s="29" t="str">
        <f>IF(Progetti!E184="","",Progetti!A184)</f>
        <v/>
      </c>
      <c r="B186" s="29" t="str">
        <f>IF(Progetti!F184="","",Progetti!B184)</f>
        <v/>
      </c>
      <c r="C186" s="29" t="str">
        <f>IF(Progetti!E184="","",Progetti!C184)</f>
        <v/>
      </c>
      <c r="D186" s="29" t="str">
        <f>IF(Progetti!F184="","",Progetti!D184)</f>
        <v/>
      </c>
      <c r="E186" s="29" t="str">
        <f>IF(Progetti!E184="","",Progetti!E184)</f>
        <v/>
      </c>
      <c r="F186" s="40" t="str">
        <f>IF(Progetti!K184="","",Progetti!K184)</f>
        <v/>
      </c>
      <c r="G186" s="40" t="str">
        <f>IF(Progetti!L184="","",Progetti!L184)</f>
        <v/>
      </c>
      <c r="H186" s="29" t="str">
        <f>IF(Progetti!E184="","",Progetti!N184)</f>
        <v/>
      </c>
      <c r="I186" s="29" t="str">
        <f>IF(Progetti!E184="","",Progetti!M184)</f>
        <v/>
      </c>
      <c r="J186" s="38" t="str">
        <f>IF(Progetti!E184="","",Progetti!I184)</f>
        <v/>
      </c>
      <c r="K186" s="39" t="str">
        <f>IF(OR(Progetti!E184="",Progetti!Q184=""),"",Progetti!Q184)</f>
        <v/>
      </c>
      <c r="L186" s="39" t="str">
        <f>IF(OR(Progetti!E184="",Progetti!R184=""),"",Progetti!R184)</f>
        <v/>
      </c>
      <c r="M186" s="14" t="str">
        <f>IF(OR(Progetti!E184="",Progetti!V184=""),"",Progetti!V184)</f>
        <v/>
      </c>
      <c r="N186" s="14" t="str">
        <f>IF(OR(Progetti!E184="",Progetti!W184=""),"",Progetti!W184)</f>
        <v/>
      </c>
      <c r="O186" s="14" t="str">
        <f>IF(OR(Progetti!E184="",Progetti!X184=""),"",Progetti!X184)</f>
        <v/>
      </c>
      <c r="P186" s="14" t="str">
        <f>IF(OR(Progetti!E184="",Progetti!Y184=""),"",Progetti!Y184)</f>
        <v/>
      </c>
      <c r="Q186" s="14" t="str">
        <f>IF(OR(Progetti!E184="",Progetti!Z184=""),"",Progetti!Z184)</f>
        <v/>
      </c>
      <c r="R186" s="14" t="str">
        <f>IF(OR(Progetti!E184="",Progetti!AA184=""),"",Progetti!AA184)</f>
        <v/>
      </c>
      <c r="S186" s="14" t="str">
        <f>IF(OR(Progetti!E184="",Progetti!AB184=""),"",Progetti!AB184)</f>
        <v/>
      </c>
      <c r="T186" s="14" t="str">
        <f>IF(OR(Progetti!E184="",Progetti!AC184=""),"",Progetti!AC184)</f>
        <v/>
      </c>
      <c r="U186" s="14" t="str">
        <f>IF(OR(Progetti!E184="",Progetti!AD184=""),"",Progetti!AD184)</f>
        <v/>
      </c>
      <c r="V186" s="14" t="str">
        <f>IF(OR(Progetti!E184="",Progetti!AE184=""),"",Progetti!AE184)</f>
        <v/>
      </c>
      <c r="W186" s="14" t="str">
        <f>IF(OR(Progetti!E184="",Progetti!AF184=""),"",Progetti!AF184)</f>
        <v/>
      </c>
      <c r="X186" s="14" t="str">
        <f>IF(OR(Progetti!E184="",Progetti!AG184=""),"",Progetti!AG184)</f>
        <v/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</row>
    <row r="187" spans="1:84" x14ac:dyDescent="0.35">
      <c r="A187" s="29" t="str">
        <f>IF(Progetti!E185="","",Progetti!A185)</f>
        <v/>
      </c>
      <c r="B187" s="29" t="str">
        <f>IF(Progetti!F185="","",Progetti!B185)</f>
        <v/>
      </c>
      <c r="C187" s="29" t="str">
        <f>IF(Progetti!E185="","",Progetti!C185)</f>
        <v/>
      </c>
      <c r="D187" s="29" t="str">
        <f>IF(Progetti!F185="","",Progetti!D185)</f>
        <v/>
      </c>
      <c r="E187" s="29" t="str">
        <f>IF(Progetti!E185="","",Progetti!E185)</f>
        <v/>
      </c>
      <c r="F187" s="40" t="str">
        <f>IF(Progetti!K185="","",Progetti!K185)</f>
        <v/>
      </c>
      <c r="G187" s="40" t="str">
        <f>IF(Progetti!L185="","",Progetti!L185)</f>
        <v/>
      </c>
      <c r="H187" s="29" t="str">
        <f>IF(Progetti!E185="","",Progetti!N185)</f>
        <v/>
      </c>
      <c r="I187" s="29" t="str">
        <f>IF(Progetti!E185="","",Progetti!M185)</f>
        <v/>
      </c>
      <c r="J187" s="38" t="str">
        <f>IF(Progetti!E185="","",Progetti!I185)</f>
        <v/>
      </c>
      <c r="K187" s="39" t="str">
        <f>IF(OR(Progetti!E185="",Progetti!Q185=""),"",Progetti!Q185)</f>
        <v/>
      </c>
      <c r="L187" s="39" t="str">
        <f>IF(OR(Progetti!E185="",Progetti!R185=""),"",Progetti!R185)</f>
        <v/>
      </c>
      <c r="M187" s="14" t="str">
        <f>IF(OR(Progetti!E185="",Progetti!V185=""),"",Progetti!V185)</f>
        <v/>
      </c>
      <c r="N187" s="14" t="str">
        <f>IF(OR(Progetti!E185="",Progetti!W185=""),"",Progetti!W185)</f>
        <v/>
      </c>
      <c r="O187" s="14" t="str">
        <f>IF(OR(Progetti!E185="",Progetti!X185=""),"",Progetti!X185)</f>
        <v/>
      </c>
      <c r="P187" s="14" t="str">
        <f>IF(OR(Progetti!E185="",Progetti!Y185=""),"",Progetti!Y185)</f>
        <v/>
      </c>
      <c r="Q187" s="14" t="str">
        <f>IF(OR(Progetti!E185="",Progetti!Z185=""),"",Progetti!Z185)</f>
        <v/>
      </c>
      <c r="R187" s="14" t="str">
        <f>IF(OR(Progetti!E185="",Progetti!AA185=""),"",Progetti!AA185)</f>
        <v/>
      </c>
      <c r="S187" s="14" t="str">
        <f>IF(OR(Progetti!E185="",Progetti!AB185=""),"",Progetti!AB185)</f>
        <v/>
      </c>
      <c r="T187" s="14" t="str">
        <f>IF(OR(Progetti!E185="",Progetti!AC185=""),"",Progetti!AC185)</f>
        <v/>
      </c>
      <c r="U187" s="14" t="str">
        <f>IF(OR(Progetti!E185="",Progetti!AD185=""),"",Progetti!AD185)</f>
        <v/>
      </c>
      <c r="V187" s="14" t="str">
        <f>IF(OR(Progetti!E185="",Progetti!AE185=""),"",Progetti!AE185)</f>
        <v/>
      </c>
      <c r="W187" s="14" t="str">
        <f>IF(OR(Progetti!E185="",Progetti!AF185=""),"",Progetti!AF185)</f>
        <v/>
      </c>
      <c r="X187" s="14" t="str">
        <f>IF(OR(Progetti!E185="",Progetti!AG185=""),"",Progetti!AG185)</f>
        <v/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</row>
    <row r="188" spans="1:84" x14ac:dyDescent="0.35">
      <c r="A188" s="29" t="str">
        <f>IF(Progetti!E186="","",Progetti!A186)</f>
        <v/>
      </c>
      <c r="B188" s="29" t="str">
        <f>IF(Progetti!F186="","",Progetti!B186)</f>
        <v/>
      </c>
      <c r="C188" s="29" t="str">
        <f>IF(Progetti!E186="","",Progetti!C186)</f>
        <v/>
      </c>
      <c r="D188" s="29" t="str">
        <f>IF(Progetti!F186="","",Progetti!D186)</f>
        <v/>
      </c>
      <c r="E188" s="29" t="str">
        <f>IF(Progetti!E186="","",Progetti!E186)</f>
        <v/>
      </c>
      <c r="F188" s="40" t="str">
        <f>IF(Progetti!K186="","",Progetti!K186)</f>
        <v/>
      </c>
      <c r="G188" s="40" t="str">
        <f>IF(Progetti!L186="","",Progetti!L186)</f>
        <v/>
      </c>
      <c r="H188" s="29" t="str">
        <f>IF(Progetti!E186="","",Progetti!N186)</f>
        <v/>
      </c>
      <c r="I188" s="29" t="str">
        <f>IF(Progetti!E186="","",Progetti!M186)</f>
        <v/>
      </c>
      <c r="J188" s="38" t="str">
        <f>IF(Progetti!E186="","",Progetti!I186)</f>
        <v/>
      </c>
      <c r="K188" s="39" t="str">
        <f>IF(OR(Progetti!E186="",Progetti!Q186=""),"",Progetti!Q186)</f>
        <v/>
      </c>
      <c r="L188" s="39" t="str">
        <f>IF(OR(Progetti!E186="",Progetti!R186=""),"",Progetti!R186)</f>
        <v/>
      </c>
      <c r="M188" s="14" t="str">
        <f>IF(OR(Progetti!E186="",Progetti!V186=""),"",Progetti!V186)</f>
        <v/>
      </c>
      <c r="N188" s="14" t="str">
        <f>IF(OR(Progetti!E186="",Progetti!W186=""),"",Progetti!W186)</f>
        <v/>
      </c>
      <c r="O188" s="14" t="str">
        <f>IF(OR(Progetti!E186="",Progetti!X186=""),"",Progetti!X186)</f>
        <v/>
      </c>
      <c r="P188" s="14" t="str">
        <f>IF(OR(Progetti!E186="",Progetti!Y186=""),"",Progetti!Y186)</f>
        <v/>
      </c>
      <c r="Q188" s="14" t="str">
        <f>IF(OR(Progetti!E186="",Progetti!Z186=""),"",Progetti!Z186)</f>
        <v/>
      </c>
      <c r="R188" s="14" t="str">
        <f>IF(OR(Progetti!E186="",Progetti!AA186=""),"",Progetti!AA186)</f>
        <v/>
      </c>
      <c r="S188" s="14" t="str">
        <f>IF(OR(Progetti!E186="",Progetti!AB186=""),"",Progetti!AB186)</f>
        <v/>
      </c>
      <c r="T188" s="14" t="str">
        <f>IF(OR(Progetti!E186="",Progetti!AC186=""),"",Progetti!AC186)</f>
        <v/>
      </c>
      <c r="U188" s="14" t="str">
        <f>IF(OR(Progetti!E186="",Progetti!AD186=""),"",Progetti!AD186)</f>
        <v/>
      </c>
      <c r="V188" s="14" t="str">
        <f>IF(OR(Progetti!E186="",Progetti!AE186=""),"",Progetti!AE186)</f>
        <v/>
      </c>
      <c r="W188" s="14" t="str">
        <f>IF(OR(Progetti!E186="",Progetti!AF186=""),"",Progetti!AF186)</f>
        <v/>
      </c>
      <c r="X188" s="14" t="str">
        <f>IF(OR(Progetti!E186="",Progetti!AG186=""),"",Progetti!AG186)</f>
        <v/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</row>
    <row r="189" spans="1:84" x14ac:dyDescent="0.35">
      <c r="A189" s="29" t="str">
        <f>IF(Progetti!E187="","",Progetti!A187)</f>
        <v/>
      </c>
      <c r="B189" s="29" t="str">
        <f>IF(Progetti!F187="","",Progetti!B187)</f>
        <v/>
      </c>
      <c r="C189" s="29" t="str">
        <f>IF(Progetti!E187="","",Progetti!C187)</f>
        <v/>
      </c>
      <c r="D189" s="29" t="str">
        <f>IF(Progetti!F187="","",Progetti!D187)</f>
        <v/>
      </c>
      <c r="E189" s="29" t="str">
        <f>IF(Progetti!E187="","",Progetti!E187)</f>
        <v/>
      </c>
      <c r="F189" s="40" t="str">
        <f>IF(Progetti!K187="","",Progetti!K187)</f>
        <v/>
      </c>
      <c r="G189" s="40" t="str">
        <f>IF(Progetti!L187="","",Progetti!L187)</f>
        <v/>
      </c>
      <c r="H189" s="29" t="str">
        <f>IF(Progetti!E187="","",Progetti!N187)</f>
        <v/>
      </c>
      <c r="I189" s="29" t="str">
        <f>IF(Progetti!E187="","",Progetti!M187)</f>
        <v/>
      </c>
      <c r="J189" s="38" t="str">
        <f>IF(Progetti!E187="","",Progetti!I187)</f>
        <v/>
      </c>
      <c r="K189" s="39" t="str">
        <f>IF(OR(Progetti!E187="",Progetti!Q187=""),"",Progetti!Q187)</f>
        <v/>
      </c>
      <c r="L189" s="39" t="str">
        <f>IF(OR(Progetti!E187="",Progetti!R187=""),"",Progetti!R187)</f>
        <v/>
      </c>
      <c r="M189" s="14" t="str">
        <f>IF(OR(Progetti!E187="",Progetti!V187=""),"",Progetti!V187)</f>
        <v/>
      </c>
      <c r="N189" s="14" t="str">
        <f>IF(OR(Progetti!E187="",Progetti!W187=""),"",Progetti!W187)</f>
        <v/>
      </c>
      <c r="O189" s="14" t="str">
        <f>IF(OR(Progetti!E187="",Progetti!X187=""),"",Progetti!X187)</f>
        <v/>
      </c>
      <c r="P189" s="14" t="str">
        <f>IF(OR(Progetti!E187="",Progetti!Y187=""),"",Progetti!Y187)</f>
        <v/>
      </c>
      <c r="Q189" s="14" t="str">
        <f>IF(OR(Progetti!E187="",Progetti!Z187=""),"",Progetti!Z187)</f>
        <v/>
      </c>
      <c r="R189" s="14" t="str">
        <f>IF(OR(Progetti!E187="",Progetti!AA187=""),"",Progetti!AA187)</f>
        <v/>
      </c>
      <c r="S189" s="14" t="str">
        <f>IF(OR(Progetti!E187="",Progetti!AB187=""),"",Progetti!AB187)</f>
        <v/>
      </c>
      <c r="T189" s="14" t="str">
        <f>IF(OR(Progetti!E187="",Progetti!AC187=""),"",Progetti!AC187)</f>
        <v/>
      </c>
      <c r="U189" s="14" t="str">
        <f>IF(OR(Progetti!E187="",Progetti!AD187=""),"",Progetti!AD187)</f>
        <v/>
      </c>
      <c r="V189" s="14" t="str">
        <f>IF(OR(Progetti!E187="",Progetti!AE187=""),"",Progetti!AE187)</f>
        <v/>
      </c>
      <c r="W189" s="14" t="str">
        <f>IF(OR(Progetti!E187="",Progetti!AF187=""),"",Progetti!AF187)</f>
        <v/>
      </c>
      <c r="X189" s="14" t="str">
        <f>IF(OR(Progetti!E187="",Progetti!AG187=""),"",Progetti!AG187)</f>
        <v/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</row>
    <row r="190" spans="1:84" x14ac:dyDescent="0.35">
      <c r="A190" s="29" t="str">
        <f>IF(Progetti!E188="","",Progetti!A188)</f>
        <v/>
      </c>
      <c r="B190" s="29" t="str">
        <f>IF(Progetti!F188="","",Progetti!B188)</f>
        <v/>
      </c>
      <c r="C190" s="29" t="str">
        <f>IF(Progetti!E188="","",Progetti!C188)</f>
        <v/>
      </c>
      <c r="D190" s="29" t="str">
        <f>IF(Progetti!F188="","",Progetti!D188)</f>
        <v/>
      </c>
      <c r="E190" s="29" t="str">
        <f>IF(Progetti!E188="","",Progetti!E188)</f>
        <v/>
      </c>
      <c r="F190" s="40" t="str">
        <f>IF(Progetti!K188="","",Progetti!K188)</f>
        <v/>
      </c>
      <c r="G190" s="40" t="str">
        <f>IF(Progetti!L188="","",Progetti!L188)</f>
        <v/>
      </c>
      <c r="H190" s="29" t="str">
        <f>IF(Progetti!E188="","",Progetti!N188)</f>
        <v/>
      </c>
      <c r="I190" s="29" t="str">
        <f>IF(Progetti!E188="","",Progetti!M188)</f>
        <v/>
      </c>
      <c r="J190" s="38" t="str">
        <f>IF(Progetti!E188="","",Progetti!I188)</f>
        <v/>
      </c>
      <c r="K190" s="39" t="str">
        <f>IF(OR(Progetti!E188="",Progetti!Q188=""),"",Progetti!Q188)</f>
        <v/>
      </c>
      <c r="L190" s="39" t="str">
        <f>IF(OR(Progetti!E188="",Progetti!R188=""),"",Progetti!R188)</f>
        <v/>
      </c>
      <c r="M190" s="14" t="str">
        <f>IF(OR(Progetti!E188="",Progetti!V188=""),"",Progetti!V188)</f>
        <v/>
      </c>
      <c r="N190" s="14" t="str">
        <f>IF(OR(Progetti!E188="",Progetti!W188=""),"",Progetti!W188)</f>
        <v/>
      </c>
      <c r="O190" s="14" t="str">
        <f>IF(OR(Progetti!E188="",Progetti!X188=""),"",Progetti!X188)</f>
        <v/>
      </c>
      <c r="P190" s="14" t="str">
        <f>IF(OR(Progetti!E188="",Progetti!Y188=""),"",Progetti!Y188)</f>
        <v/>
      </c>
      <c r="Q190" s="14" t="str">
        <f>IF(OR(Progetti!E188="",Progetti!Z188=""),"",Progetti!Z188)</f>
        <v/>
      </c>
      <c r="R190" s="14" t="str">
        <f>IF(OR(Progetti!E188="",Progetti!AA188=""),"",Progetti!AA188)</f>
        <v/>
      </c>
      <c r="S190" s="14" t="str">
        <f>IF(OR(Progetti!E188="",Progetti!AB188=""),"",Progetti!AB188)</f>
        <v/>
      </c>
      <c r="T190" s="14" t="str">
        <f>IF(OR(Progetti!E188="",Progetti!AC188=""),"",Progetti!AC188)</f>
        <v/>
      </c>
      <c r="U190" s="14" t="str">
        <f>IF(OR(Progetti!E188="",Progetti!AD188=""),"",Progetti!AD188)</f>
        <v/>
      </c>
      <c r="V190" s="14" t="str">
        <f>IF(OR(Progetti!E188="",Progetti!AE188=""),"",Progetti!AE188)</f>
        <v/>
      </c>
      <c r="W190" s="14" t="str">
        <f>IF(OR(Progetti!E188="",Progetti!AF188=""),"",Progetti!AF188)</f>
        <v/>
      </c>
      <c r="X190" s="14" t="str">
        <f>IF(OR(Progetti!E188="",Progetti!AG188=""),"",Progetti!AG188)</f>
        <v/>
      </c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</row>
    <row r="191" spans="1:84" x14ac:dyDescent="0.35">
      <c r="A191" s="29" t="str">
        <f>IF(Progetti!E189="","",Progetti!A189)</f>
        <v/>
      </c>
      <c r="B191" s="29" t="str">
        <f>IF(Progetti!F189="","",Progetti!B189)</f>
        <v/>
      </c>
      <c r="C191" s="29" t="str">
        <f>IF(Progetti!E189="","",Progetti!C189)</f>
        <v/>
      </c>
      <c r="D191" s="29" t="str">
        <f>IF(Progetti!F189="","",Progetti!D189)</f>
        <v/>
      </c>
      <c r="E191" s="29" t="str">
        <f>IF(Progetti!E189="","",Progetti!E189)</f>
        <v/>
      </c>
      <c r="F191" s="40" t="str">
        <f>IF(Progetti!K189="","",Progetti!K189)</f>
        <v/>
      </c>
      <c r="G191" s="40" t="str">
        <f>IF(Progetti!L189="","",Progetti!L189)</f>
        <v/>
      </c>
      <c r="H191" s="29" t="str">
        <f>IF(Progetti!E189="","",Progetti!N189)</f>
        <v/>
      </c>
      <c r="I191" s="29" t="str">
        <f>IF(Progetti!E189="","",Progetti!M189)</f>
        <v/>
      </c>
      <c r="J191" s="38" t="str">
        <f>IF(Progetti!E189="","",Progetti!I189)</f>
        <v/>
      </c>
      <c r="K191" s="39" t="str">
        <f>IF(OR(Progetti!E189="",Progetti!Q189=""),"",Progetti!Q189)</f>
        <v/>
      </c>
      <c r="L191" s="39" t="str">
        <f>IF(OR(Progetti!E189="",Progetti!R189=""),"",Progetti!R189)</f>
        <v/>
      </c>
      <c r="M191" s="14" t="str">
        <f>IF(OR(Progetti!E189="",Progetti!V189=""),"",Progetti!V189)</f>
        <v/>
      </c>
      <c r="N191" s="14" t="str">
        <f>IF(OR(Progetti!E189="",Progetti!W189=""),"",Progetti!W189)</f>
        <v/>
      </c>
      <c r="O191" s="14" t="str">
        <f>IF(OR(Progetti!E189="",Progetti!X189=""),"",Progetti!X189)</f>
        <v/>
      </c>
      <c r="P191" s="14" t="str">
        <f>IF(OR(Progetti!E189="",Progetti!Y189=""),"",Progetti!Y189)</f>
        <v/>
      </c>
      <c r="Q191" s="14" t="str">
        <f>IF(OR(Progetti!E189="",Progetti!Z189=""),"",Progetti!Z189)</f>
        <v/>
      </c>
      <c r="R191" s="14" t="str">
        <f>IF(OR(Progetti!E189="",Progetti!AA189=""),"",Progetti!AA189)</f>
        <v/>
      </c>
      <c r="S191" s="14" t="str">
        <f>IF(OR(Progetti!E189="",Progetti!AB189=""),"",Progetti!AB189)</f>
        <v/>
      </c>
      <c r="T191" s="14" t="str">
        <f>IF(OR(Progetti!E189="",Progetti!AC189=""),"",Progetti!AC189)</f>
        <v/>
      </c>
      <c r="U191" s="14" t="str">
        <f>IF(OR(Progetti!E189="",Progetti!AD189=""),"",Progetti!AD189)</f>
        <v/>
      </c>
      <c r="V191" s="14" t="str">
        <f>IF(OR(Progetti!E189="",Progetti!AE189=""),"",Progetti!AE189)</f>
        <v/>
      </c>
      <c r="W191" s="14" t="str">
        <f>IF(OR(Progetti!E189="",Progetti!AF189=""),"",Progetti!AF189)</f>
        <v/>
      </c>
      <c r="X191" s="14" t="str">
        <f>IF(OR(Progetti!E189="",Progetti!AG189=""),"",Progetti!AG189)</f>
        <v/>
      </c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</row>
    <row r="192" spans="1:84" x14ac:dyDescent="0.35">
      <c r="A192" s="29" t="str">
        <f>IF(Progetti!E190="","",Progetti!A190)</f>
        <v/>
      </c>
      <c r="B192" s="29" t="str">
        <f>IF(Progetti!F190="","",Progetti!B190)</f>
        <v/>
      </c>
      <c r="C192" s="29" t="str">
        <f>IF(Progetti!E190="","",Progetti!C190)</f>
        <v/>
      </c>
      <c r="D192" s="29" t="str">
        <f>IF(Progetti!F190="","",Progetti!D190)</f>
        <v/>
      </c>
      <c r="E192" s="29" t="str">
        <f>IF(Progetti!E190="","",Progetti!E190)</f>
        <v/>
      </c>
      <c r="F192" s="40" t="str">
        <f>IF(Progetti!K190="","",Progetti!K190)</f>
        <v/>
      </c>
      <c r="G192" s="40" t="str">
        <f>IF(Progetti!L190="","",Progetti!L190)</f>
        <v/>
      </c>
      <c r="H192" s="29" t="str">
        <f>IF(Progetti!E190="","",Progetti!N190)</f>
        <v/>
      </c>
      <c r="I192" s="29" t="str">
        <f>IF(Progetti!E190="","",Progetti!M190)</f>
        <v/>
      </c>
      <c r="J192" s="38" t="str">
        <f>IF(Progetti!E190="","",Progetti!I190)</f>
        <v/>
      </c>
      <c r="K192" s="39" t="str">
        <f>IF(OR(Progetti!E190="",Progetti!Q190=""),"",Progetti!Q190)</f>
        <v/>
      </c>
      <c r="L192" s="39" t="str">
        <f>IF(OR(Progetti!E190="",Progetti!R190=""),"",Progetti!R190)</f>
        <v/>
      </c>
      <c r="M192" s="14" t="str">
        <f>IF(OR(Progetti!E190="",Progetti!V190=""),"",Progetti!V190)</f>
        <v/>
      </c>
      <c r="N192" s="14" t="str">
        <f>IF(OR(Progetti!E190="",Progetti!W190=""),"",Progetti!W190)</f>
        <v/>
      </c>
      <c r="O192" s="14" t="str">
        <f>IF(OR(Progetti!E190="",Progetti!X190=""),"",Progetti!X190)</f>
        <v/>
      </c>
      <c r="P192" s="14" t="str">
        <f>IF(OR(Progetti!E190="",Progetti!Y190=""),"",Progetti!Y190)</f>
        <v/>
      </c>
      <c r="Q192" s="14" t="str">
        <f>IF(OR(Progetti!E190="",Progetti!Z190=""),"",Progetti!Z190)</f>
        <v/>
      </c>
      <c r="R192" s="14" t="str">
        <f>IF(OR(Progetti!E190="",Progetti!AA190=""),"",Progetti!AA190)</f>
        <v/>
      </c>
      <c r="S192" s="14" t="str">
        <f>IF(OR(Progetti!E190="",Progetti!AB190=""),"",Progetti!AB190)</f>
        <v/>
      </c>
      <c r="T192" s="14" t="str">
        <f>IF(OR(Progetti!E190="",Progetti!AC190=""),"",Progetti!AC190)</f>
        <v/>
      </c>
      <c r="U192" s="14" t="str">
        <f>IF(OR(Progetti!E190="",Progetti!AD190=""),"",Progetti!AD190)</f>
        <v/>
      </c>
      <c r="V192" s="14" t="str">
        <f>IF(OR(Progetti!E190="",Progetti!AE190=""),"",Progetti!AE190)</f>
        <v/>
      </c>
      <c r="W192" s="14" t="str">
        <f>IF(OR(Progetti!E190="",Progetti!AF190=""),"",Progetti!AF190)</f>
        <v/>
      </c>
      <c r="X192" s="14" t="str">
        <f>IF(OR(Progetti!E190="",Progetti!AG190=""),"",Progetti!AG190)</f>
        <v/>
      </c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</row>
    <row r="193" spans="1:84" x14ac:dyDescent="0.35">
      <c r="A193" s="29" t="str">
        <f>IF(Progetti!E191="","",Progetti!A191)</f>
        <v/>
      </c>
      <c r="B193" s="29" t="str">
        <f>IF(Progetti!F191="","",Progetti!B191)</f>
        <v/>
      </c>
      <c r="C193" s="29" t="str">
        <f>IF(Progetti!E191="","",Progetti!C191)</f>
        <v/>
      </c>
      <c r="D193" s="29" t="str">
        <f>IF(Progetti!F191="","",Progetti!D191)</f>
        <v/>
      </c>
      <c r="E193" s="29" t="str">
        <f>IF(Progetti!E191="","",Progetti!E191)</f>
        <v/>
      </c>
      <c r="F193" s="40" t="str">
        <f>IF(Progetti!K191="","",Progetti!K191)</f>
        <v/>
      </c>
      <c r="G193" s="40" t="str">
        <f>IF(Progetti!L191="","",Progetti!L191)</f>
        <v/>
      </c>
      <c r="H193" s="29" t="str">
        <f>IF(Progetti!E191="","",Progetti!N191)</f>
        <v/>
      </c>
      <c r="I193" s="29" t="str">
        <f>IF(Progetti!E191="","",Progetti!M191)</f>
        <v/>
      </c>
      <c r="J193" s="38" t="str">
        <f>IF(Progetti!E191="","",Progetti!I191)</f>
        <v/>
      </c>
      <c r="K193" s="39" t="str">
        <f>IF(OR(Progetti!E191="",Progetti!Q191=""),"",Progetti!Q191)</f>
        <v/>
      </c>
      <c r="L193" s="39" t="str">
        <f>IF(OR(Progetti!E191="",Progetti!R191=""),"",Progetti!R191)</f>
        <v/>
      </c>
      <c r="M193" s="14" t="str">
        <f>IF(OR(Progetti!E191="",Progetti!V191=""),"",Progetti!V191)</f>
        <v/>
      </c>
      <c r="N193" s="14" t="str">
        <f>IF(OR(Progetti!E191="",Progetti!W191=""),"",Progetti!W191)</f>
        <v/>
      </c>
      <c r="O193" s="14" t="str">
        <f>IF(OR(Progetti!E191="",Progetti!X191=""),"",Progetti!X191)</f>
        <v/>
      </c>
      <c r="P193" s="14" t="str">
        <f>IF(OR(Progetti!E191="",Progetti!Y191=""),"",Progetti!Y191)</f>
        <v/>
      </c>
      <c r="Q193" s="14" t="str">
        <f>IF(OR(Progetti!E191="",Progetti!Z191=""),"",Progetti!Z191)</f>
        <v/>
      </c>
      <c r="R193" s="14" t="str">
        <f>IF(OR(Progetti!E191="",Progetti!AA191=""),"",Progetti!AA191)</f>
        <v/>
      </c>
      <c r="S193" s="14" t="str">
        <f>IF(OR(Progetti!E191="",Progetti!AB191=""),"",Progetti!AB191)</f>
        <v/>
      </c>
      <c r="T193" s="14" t="str">
        <f>IF(OR(Progetti!E191="",Progetti!AC191=""),"",Progetti!AC191)</f>
        <v/>
      </c>
      <c r="U193" s="14" t="str">
        <f>IF(OR(Progetti!E191="",Progetti!AD191=""),"",Progetti!AD191)</f>
        <v/>
      </c>
      <c r="V193" s="14" t="str">
        <f>IF(OR(Progetti!E191="",Progetti!AE191=""),"",Progetti!AE191)</f>
        <v/>
      </c>
      <c r="W193" s="14" t="str">
        <f>IF(OR(Progetti!E191="",Progetti!AF191=""),"",Progetti!AF191)</f>
        <v/>
      </c>
      <c r="X193" s="14" t="str">
        <f>IF(OR(Progetti!E191="",Progetti!AG191=""),"",Progetti!AG191)</f>
        <v/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</row>
    <row r="194" spans="1:84" x14ac:dyDescent="0.35">
      <c r="A194" s="29" t="str">
        <f>IF(Progetti!E192="","",Progetti!A192)</f>
        <v/>
      </c>
      <c r="B194" s="29" t="str">
        <f>IF(Progetti!F192="","",Progetti!B192)</f>
        <v/>
      </c>
      <c r="C194" s="29" t="str">
        <f>IF(Progetti!E192="","",Progetti!C192)</f>
        <v/>
      </c>
      <c r="D194" s="29" t="str">
        <f>IF(Progetti!F192="","",Progetti!D192)</f>
        <v/>
      </c>
      <c r="E194" s="29" t="str">
        <f>IF(Progetti!E192="","",Progetti!E192)</f>
        <v/>
      </c>
      <c r="F194" s="40" t="str">
        <f>IF(Progetti!K192="","",Progetti!K192)</f>
        <v/>
      </c>
      <c r="G194" s="40" t="str">
        <f>IF(Progetti!L192="","",Progetti!L192)</f>
        <v/>
      </c>
      <c r="H194" s="29" t="str">
        <f>IF(Progetti!E192="","",Progetti!N192)</f>
        <v/>
      </c>
      <c r="I194" s="29" t="str">
        <f>IF(Progetti!E192="","",Progetti!M192)</f>
        <v/>
      </c>
      <c r="J194" s="38" t="str">
        <f>IF(Progetti!E192="","",Progetti!I192)</f>
        <v/>
      </c>
      <c r="K194" s="39" t="str">
        <f>IF(OR(Progetti!E192="",Progetti!Q192=""),"",Progetti!Q192)</f>
        <v/>
      </c>
      <c r="L194" s="39" t="str">
        <f>IF(OR(Progetti!E192="",Progetti!R192=""),"",Progetti!R192)</f>
        <v/>
      </c>
      <c r="M194" s="14" t="str">
        <f>IF(OR(Progetti!E192="",Progetti!V192=""),"",Progetti!V192)</f>
        <v/>
      </c>
      <c r="N194" s="14" t="str">
        <f>IF(OR(Progetti!E192="",Progetti!W192=""),"",Progetti!W192)</f>
        <v/>
      </c>
      <c r="O194" s="14" t="str">
        <f>IF(OR(Progetti!E192="",Progetti!X192=""),"",Progetti!X192)</f>
        <v/>
      </c>
      <c r="P194" s="14" t="str">
        <f>IF(OR(Progetti!E192="",Progetti!Y192=""),"",Progetti!Y192)</f>
        <v/>
      </c>
      <c r="Q194" s="14" t="str">
        <f>IF(OR(Progetti!E192="",Progetti!Z192=""),"",Progetti!Z192)</f>
        <v/>
      </c>
      <c r="R194" s="14" t="str">
        <f>IF(OR(Progetti!E192="",Progetti!AA192=""),"",Progetti!AA192)</f>
        <v/>
      </c>
      <c r="S194" s="14" t="str">
        <f>IF(OR(Progetti!E192="",Progetti!AB192=""),"",Progetti!AB192)</f>
        <v/>
      </c>
      <c r="T194" s="14" t="str">
        <f>IF(OR(Progetti!E192="",Progetti!AC192=""),"",Progetti!AC192)</f>
        <v/>
      </c>
      <c r="U194" s="14" t="str">
        <f>IF(OR(Progetti!E192="",Progetti!AD192=""),"",Progetti!AD192)</f>
        <v/>
      </c>
      <c r="V194" s="14" t="str">
        <f>IF(OR(Progetti!E192="",Progetti!AE192=""),"",Progetti!AE192)</f>
        <v/>
      </c>
      <c r="W194" s="14" t="str">
        <f>IF(OR(Progetti!E192="",Progetti!AF192=""),"",Progetti!AF192)</f>
        <v/>
      </c>
      <c r="X194" s="14" t="str">
        <f>IF(OR(Progetti!E192="",Progetti!AG192=""),"",Progetti!AG192)</f>
        <v/>
      </c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</row>
    <row r="195" spans="1:84" x14ac:dyDescent="0.35">
      <c r="A195" s="29" t="str">
        <f>IF(Progetti!E193="","",Progetti!A193)</f>
        <v/>
      </c>
      <c r="B195" s="29" t="str">
        <f>IF(Progetti!F193="","",Progetti!B193)</f>
        <v/>
      </c>
      <c r="C195" s="29" t="str">
        <f>IF(Progetti!E193="","",Progetti!C193)</f>
        <v/>
      </c>
      <c r="D195" s="29" t="str">
        <f>IF(Progetti!F193="","",Progetti!D193)</f>
        <v/>
      </c>
      <c r="E195" s="29" t="str">
        <f>IF(Progetti!E193="","",Progetti!E193)</f>
        <v/>
      </c>
      <c r="F195" s="40" t="str">
        <f>IF(Progetti!K193="","",Progetti!K193)</f>
        <v/>
      </c>
      <c r="G195" s="40" t="str">
        <f>IF(Progetti!L193="","",Progetti!L193)</f>
        <v/>
      </c>
      <c r="H195" s="29" t="str">
        <f>IF(Progetti!E193="","",Progetti!N193)</f>
        <v/>
      </c>
      <c r="I195" s="29" t="str">
        <f>IF(Progetti!E193="","",Progetti!M193)</f>
        <v/>
      </c>
      <c r="J195" s="38" t="str">
        <f>IF(Progetti!E193="","",Progetti!I193)</f>
        <v/>
      </c>
      <c r="K195" s="39" t="str">
        <f>IF(OR(Progetti!E193="",Progetti!Q193=""),"",Progetti!Q193)</f>
        <v/>
      </c>
      <c r="L195" s="39" t="str">
        <f>IF(OR(Progetti!E193="",Progetti!R193=""),"",Progetti!R193)</f>
        <v/>
      </c>
      <c r="M195" s="14" t="str">
        <f>IF(OR(Progetti!E193="",Progetti!V193=""),"",Progetti!V193)</f>
        <v/>
      </c>
      <c r="N195" s="14" t="str">
        <f>IF(OR(Progetti!E193="",Progetti!W193=""),"",Progetti!W193)</f>
        <v/>
      </c>
      <c r="O195" s="14" t="str">
        <f>IF(OR(Progetti!E193="",Progetti!X193=""),"",Progetti!X193)</f>
        <v/>
      </c>
      <c r="P195" s="14" t="str">
        <f>IF(OR(Progetti!E193="",Progetti!Y193=""),"",Progetti!Y193)</f>
        <v/>
      </c>
      <c r="Q195" s="14" t="str">
        <f>IF(OR(Progetti!E193="",Progetti!Z193=""),"",Progetti!Z193)</f>
        <v/>
      </c>
      <c r="R195" s="14" t="str">
        <f>IF(OR(Progetti!E193="",Progetti!AA193=""),"",Progetti!AA193)</f>
        <v/>
      </c>
      <c r="S195" s="14" t="str">
        <f>IF(OR(Progetti!E193="",Progetti!AB193=""),"",Progetti!AB193)</f>
        <v/>
      </c>
      <c r="T195" s="14" t="str">
        <f>IF(OR(Progetti!E193="",Progetti!AC193=""),"",Progetti!AC193)</f>
        <v/>
      </c>
      <c r="U195" s="14" t="str">
        <f>IF(OR(Progetti!E193="",Progetti!AD193=""),"",Progetti!AD193)</f>
        <v/>
      </c>
      <c r="V195" s="14" t="str">
        <f>IF(OR(Progetti!E193="",Progetti!AE193=""),"",Progetti!AE193)</f>
        <v/>
      </c>
      <c r="W195" s="14" t="str">
        <f>IF(OR(Progetti!E193="",Progetti!AF193=""),"",Progetti!AF193)</f>
        <v/>
      </c>
      <c r="X195" s="14" t="str">
        <f>IF(OR(Progetti!E193="",Progetti!AG193=""),"",Progetti!AG193)</f>
        <v/>
      </c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</row>
    <row r="196" spans="1:84" x14ac:dyDescent="0.35">
      <c r="A196" s="29" t="str">
        <f>IF(Progetti!E194="","",Progetti!A194)</f>
        <v/>
      </c>
      <c r="B196" s="29" t="str">
        <f>IF(Progetti!F194="","",Progetti!B194)</f>
        <v/>
      </c>
      <c r="C196" s="29" t="str">
        <f>IF(Progetti!E194="","",Progetti!C194)</f>
        <v/>
      </c>
      <c r="D196" s="29" t="str">
        <f>IF(Progetti!F194="","",Progetti!D194)</f>
        <v/>
      </c>
      <c r="E196" s="29" t="str">
        <f>IF(Progetti!E194="","",Progetti!E194)</f>
        <v/>
      </c>
      <c r="F196" s="40" t="str">
        <f>IF(Progetti!K194="","",Progetti!K194)</f>
        <v/>
      </c>
      <c r="G196" s="40" t="str">
        <f>IF(Progetti!L194="","",Progetti!L194)</f>
        <v/>
      </c>
      <c r="H196" s="29" t="str">
        <f>IF(Progetti!E194="","",Progetti!N194)</f>
        <v/>
      </c>
      <c r="I196" s="29" t="str">
        <f>IF(Progetti!E194="","",Progetti!M194)</f>
        <v/>
      </c>
      <c r="J196" s="38" t="str">
        <f>IF(Progetti!E194="","",Progetti!I194)</f>
        <v/>
      </c>
      <c r="K196" s="39" t="str">
        <f>IF(OR(Progetti!E194="",Progetti!Q194=""),"",Progetti!Q194)</f>
        <v/>
      </c>
      <c r="L196" s="39" t="str">
        <f>IF(OR(Progetti!E194="",Progetti!R194=""),"",Progetti!R194)</f>
        <v/>
      </c>
      <c r="M196" s="14" t="str">
        <f>IF(OR(Progetti!E194="",Progetti!V194=""),"",Progetti!V194)</f>
        <v/>
      </c>
      <c r="N196" s="14" t="str">
        <f>IF(OR(Progetti!E194="",Progetti!W194=""),"",Progetti!W194)</f>
        <v/>
      </c>
      <c r="O196" s="14" t="str">
        <f>IF(OR(Progetti!E194="",Progetti!X194=""),"",Progetti!X194)</f>
        <v/>
      </c>
      <c r="P196" s="14" t="str">
        <f>IF(OR(Progetti!E194="",Progetti!Y194=""),"",Progetti!Y194)</f>
        <v/>
      </c>
      <c r="Q196" s="14" t="str">
        <f>IF(OR(Progetti!E194="",Progetti!Z194=""),"",Progetti!Z194)</f>
        <v/>
      </c>
      <c r="R196" s="14" t="str">
        <f>IF(OR(Progetti!E194="",Progetti!AA194=""),"",Progetti!AA194)</f>
        <v/>
      </c>
      <c r="S196" s="14" t="str">
        <f>IF(OR(Progetti!E194="",Progetti!AB194=""),"",Progetti!AB194)</f>
        <v/>
      </c>
      <c r="T196" s="14" t="str">
        <f>IF(OR(Progetti!E194="",Progetti!AC194=""),"",Progetti!AC194)</f>
        <v/>
      </c>
      <c r="U196" s="14" t="str">
        <f>IF(OR(Progetti!E194="",Progetti!AD194=""),"",Progetti!AD194)</f>
        <v/>
      </c>
      <c r="V196" s="14" t="str">
        <f>IF(OR(Progetti!E194="",Progetti!AE194=""),"",Progetti!AE194)</f>
        <v/>
      </c>
      <c r="W196" s="14" t="str">
        <f>IF(OR(Progetti!E194="",Progetti!AF194=""),"",Progetti!AF194)</f>
        <v/>
      </c>
      <c r="X196" s="14" t="str">
        <f>IF(OR(Progetti!E194="",Progetti!AG194=""),"",Progetti!AG194)</f>
        <v/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</row>
    <row r="197" spans="1:84" x14ac:dyDescent="0.35">
      <c r="A197" s="29" t="str">
        <f>IF(Progetti!E195="","",Progetti!A195)</f>
        <v/>
      </c>
      <c r="B197" s="29" t="str">
        <f>IF(Progetti!F195="","",Progetti!B195)</f>
        <v/>
      </c>
      <c r="C197" s="29" t="str">
        <f>IF(Progetti!E195="","",Progetti!C195)</f>
        <v/>
      </c>
      <c r="D197" s="29" t="str">
        <f>IF(Progetti!F195="","",Progetti!D195)</f>
        <v/>
      </c>
      <c r="E197" s="29" t="str">
        <f>IF(Progetti!E195="","",Progetti!E195)</f>
        <v/>
      </c>
      <c r="F197" s="40" t="str">
        <f>IF(Progetti!K195="","",Progetti!K195)</f>
        <v/>
      </c>
      <c r="G197" s="40" t="str">
        <f>IF(Progetti!L195="","",Progetti!L195)</f>
        <v/>
      </c>
      <c r="H197" s="29" t="str">
        <f>IF(Progetti!E195="","",Progetti!N195)</f>
        <v/>
      </c>
      <c r="I197" s="29" t="str">
        <f>IF(Progetti!E195="","",Progetti!M195)</f>
        <v/>
      </c>
      <c r="J197" s="38" t="str">
        <f>IF(Progetti!E195="","",Progetti!I195)</f>
        <v/>
      </c>
      <c r="K197" s="39" t="str">
        <f>IF(OR(Progetti!E195="",Progetti!Q195=""),"",Progetti!Q195)</f>
        <v/>
      </c>
      <c r="L197" s="39" t="str">
        <f>IF(OR(Progetti!E195="",Progetti!R195=""),"",Progetti!R195)</f>
        <v/>
      </c>
      <c r="M197" s="14" t="str">
        <f>IF(OR(Progetti!E195="",Progetti!V195=""),"",Progetti!V195)</f>
        <v/>
      </c>
      <c r="N197" s="14" t="str">
        <f>IF(OR(Progetti!E195="",Progetti!W195=""),"",Progetti!W195)</f>
        <v/>
      </c>
      <c r="O197" s="14" t="str">
        <f>IF(OR(Progetti!E195="",Progetti!X195=""),"",Progetti!X195)</f>
        <v/>
      </c>
      <c r="P197" s="14" t="str">
        <f>IF(OR(Progetti!E195="",Progetti!Y195=""),"",Progetti!Y195)</f>
        <v/>
      </c>
      <c r="Q197" s="14" t="str">
        <f>IF(OR(Progetti!E195="",Progetti!Z195=""),"",Progetti!Z195)</f>
        <v/>
      </c>
      <c r="R197" s="14" t="str">
        <f>IF(OR(Progetti!E195="",Progetti!AA195=""),"",Progetti!AA195)</f>
        <v/>
      </c>
      <c r="S197" s="14" t="str">
        <f>IF(OR(Progetti!E195="",Progetti!AB195=""),"",Progetti!AB195)</f>
        <v/>
      </c>
      <c r="T197" s="14" t="str">
        <f>IF(OR(Progetti!E195="",Progetti!AC195=""),"",Progetti!AC195)</f>
        <v/>
      </c>
      <c r="U197" s="14" t="str">
        <f>IF(OR(Progetti!E195="",Progetti!AD195=""),"",Progetti!AD195)</f>
        <v/>
      </c>
      <c r="V197" s="14" t="str">
        <f>IF(OR(Progetti!E195="",Progetti!AE195=""),"",Progetti!AE195)</f>
        <v/>
      </c>
      <c r="W197" s="14" t="str">
        <f>IF(OR(Progetti!E195="",Progetti!AF195=""),"",Progetti!AF195)</f>
        <v/>
      </c>
      <c r="X197" s="14" t="str">
        <f>IF(OR(Progetti!E195="",Progetti!AG195=""),"",Progetti!AG195)</f>
        <v/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</row>
    <row r="198" spans="1:84" x14ac:dyDescent="0.35">
      <c r="A198" s="29" t="str">
        <f>IF(Progetti!E196="","",Progetti!A196)</f>
        <v/>
      </c>
      <c r="B198" s="29" t="str">
        <f>IF(Progetti!F196="","",Progetti!B196)</f>
        <v/>
      </c>
      <c r="C198" s="29" t="str">
        <f>IF(Progetti!E196="","",Progetti!C196)</f>
        <v/>
      </c>
      <c r="D198" s="29" t="str">
        <f>IF(Progetti!F196="","",Progetti!D196)</f>
        <v/>
      </c>
      <c r="E198" s="29" t="str">
        <f>IF(Progetti!E196="","",Progetti!E196)</f>
        <v/>
      </c>
      <c r="F198" s="40" t="str">
        <f>IF(Progetti!K196="","",Progetti!K196)</f>
        <v/>
      </c>
      <c r="G198" s="40" t="str">
        <f>IF(Progetti!L196="","",Progetti!L196)</f>
        <v/>
      </c>
      <c r="H198" s="29" t="str">
        <f>IF(Progetti!E196="","",Progetti!N196)</f>
        <v/>
      </c>
      <c r="I198" s="29" t="str">
        <f>IF(Progetti!E196="","",Progetti!M196)</f>
        <v/>
      </c>
      <c r="J198" s="38" t="str">
        <f>IF(Progetti!E196="","",Progetti!I196)</f>
        <v/>
      </c>
      <c r="K198" s="39" t="str">
        <f>IF(OR(Progetti!E196="",Progetti!Q196=""),"",Progetti!Q196)</f>
        <v/>
      </c>
      <c r="L198" s="39" t="str">
        <f>IF(OR(Progetti!E196="",Progetti!R196=""),"",Progetti!R196)</f>
        <v/>
      </c>
      <c r="M198" s="14" t="str">
        <f>IF(OR(Progetti!E196="",Progetti!V196=""),"",Progetti!V196)</f>
        <v/>
      </c>
      <c r="N198" s="14" t="str">
        <f>IF(OR(Progetti!E196="",Progetti!W196=""),"",Progetti!W196)</f>
        <v/>
      </c>
      <c r="O198" s="14" t="str">
        <f>IF(OR(Progetti!E196="",Progetti!X196=""),"",Progetti!X196)</f>
        <v/>
      </c>
      <c r="P198" s="14" t="str">
        <f>IF(OR(Progetti!E196="",Progetti!Y196=""),"",Progetti!Y196)</f>
        <v/>
      </c>
      <c r="Q198" s="14" t="str">
        <f>IF(OR(Progetti!E196="",Progetti!Z196=""),"",Progetti!Z196)</f>
        <v/>
      </c>
      <c r="R198" s="14" t="str">
        <f>IF(OR(Progetti!E196="",Progetti!AA196=""),"",Progetti!AA196)</f>
        <v/>
      </c>
      <c r="S198" s="14" t="str">
        <f>IF(OR(Progetti!E196="",Progetti!AB196=""),"",Progetti!AB196)</f>
        <v/>
      </c>
      <c r="T198" s="14" t="str">
        <f>IF(OR(Progetti!E196="",Progetti!AC196=""),"",Progetti!AC196)</f>
        <v/>
      </c>
      <c r="U198" s="14" t="str">
        <f>IF(OR(Progetti!E196="",Progetti!AD196=""),"",Progetti!AD196)</f>
        <v/>
      </c>
      <c r="V198" s="14" t="str">
        <f>IF(OR(Progetti!E196="",Progetti!AE196=""),"",Progetti!AE196)</f>
        <v/>
      </c>
      <c r="W198" s="14" t="str">
        <f>IF(OR(Progetti!E196="",Progetti!AF196=""),"",Progetti!AF196)</f>
        <v/>
      </c>
      <c r="X198" s="14" t="str">
        <f>IF(OR(Progetti!E196="",Progetti!AG196=""),"",Progetti!AG196)</f>
        <v/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</row>
    <row r="199" spans="1:84" x14ac:dyDescent="0.35">
      <c r="A199" s="29" t="str">
        <f>IF(Progetti!E197="","",Progetti!A197)</f>
        <v/>
      </c>
      <c r="B199" s="29" t="str">
        <f>IF(Progetti!F197="","",Progetti!B197)</f>
        <v/>
      </c>
      <c r="C199" s="29" t="str">
        <f>IF(Progetti!E197="","",Progetti!C197)</f>
        <v/>
      </c>
      <c r="D199" s="29" t="str">
        <f>IF(Progetti!F197="","",Progetti!D197)</f>
        <v/>
      </c>
      <c r="E199" s="29" t="str">
        <f>IF(Progetti!E197="","",Progetti!E197)</f>
        <v/>
      </c>
      <c r="F199" s="40" t="str">
        <f>IF(Progetti!K197="","",Progetti!K197)</f>
        <v/>
      </c>
      <c r="G199" s="40" t="str">
        <f>IF(Progetti!L197="","",Progetti!L197)</f>
        <v/>
      </c>
      <c r="H199" s="29" t="str">
        <f>IF(Progetti!E197="","",Progetti!N197)</f>
        <v/>
      </c>
      <c r="I199" s="29" t="str">
        <f>IF(Progetti!E197="","",Progetti!M197)</f>
        <v/>
      </c>
      <c r="J199" s="38" t="str">
        <f>IF(Progetti!E197="","",Progetti!I197)</f>
        <v/>
      </c>
      <c r="K199" s="39" t="str">
        <f>IF(OR(Progetti!E197="",Progetti!Q197=""),"",Progetti!Q197)</f>
        <v/>
      </c>
      <c r="L199" s="39" t="str">
        <f>IF(OR(Progetti!E197="",Progetti!R197=""),"",Progetti!R197)</f>
        <v/>
      </c>
      <c r="M199" s="14" t="str">
        <f>IF(OR(Progetti!E197="",Progetti!V197=""),"",Progetti!V197)</f>
        <v/>
      </c>
      <c r="N199" s="14" t="str">
        <f>IF(OR(Progetti!E197="",Progetti!W197=""),"",Progetti!W197)</f>
        <v/>
      </c>
      <c r="O199" s="14" t="str">
        <f>IF(OR(Progetti!E197="",Progetti!X197=""),"",Progetti!X197)</f>
        <v/>
      </c>
      <c r="P199" s="14" t="str">
        <f>IF(OR(Progetti!E197="",Progetti!Y197=""),"",Progetti!Y197)</f>
        <v/>
      </c>
      <c r="Q199" s="14" t="str">
        <f>IF(OR(Progetti!E197="",Progetti!Z197=""),"",Progetti!Z197)</f>
        <v/>
      </c>
      <c r="R199" s="14" t="str">
        <f>IF(OR(Progetti!E197="",Progetti!AA197=""),"",Progetti!AA197)</f>
        <v/>
      </c>
      <c r="S199" s="14" t="str">
        <f>IF(OR(Progetti!E197="",Progetti!AB197=""),"",Progetti!AB197)</f>
        <v/>
      </c>
      <c r="T199" s="14" t="str">
        <f>IF(OR(Progetti!E197="",Progetti!AC197=""),"",Progetti!AC197)</f>
        <v/>
      </c>
      <c r="U199" s="14" t="str">
        <f>IF(OR(Progetti!E197="",Progetti!AD197=""),"",Progetti!AD197)</f>
        <v/>
      </c>
      <c r="V199" s="14" t="str">
        <f>IF(OR(Progetti!E197="",Progetti!AE197=""),"",Progetti!AE197)</f>
        <v/>
      </c>
      <c r="W199" s="14" t="str">
        <f>IF(OR(Progetti!E197="",Progetti!AF197=""),"",Progetti!AF197)</f>
        <v/>
      </c>
      <c r="X199" s="14" t="str">
        <f>IF(OR(Progetti!E197="",Progetti!AG197=""),"",Progetti!AG197)</f>
        <v/>
      </c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</row>
    <row r="200" spans="1:84" x14ac:dyDescent="0.35">
      <c r="A200" s="29" t="str">
        <f>IF(Progetti!E198="","",Progetti!A198)</f>
        <v/>
      </c>
      <c r="B200" s="29" t="str">
        <f>IF(Progetti!F198="","",Progetti!B198)</f>
        <v/>
      </c>
      <c r="C200" s="29" t="str">
        <f>IF(Progetti!E198="","",Progetti!C198)</f>
        <v/>
      </c>
      <c r="D200" s="29" t="str">
        <f>IF(Progetti!F198="","",Progetti!D198)</f>
        <v/>
      </c>
      <c r="E200" s="29" t="str">
        <f>IF(Progetti!E198="","",Progetti!E198)</f>
        <v/>
      </c>
      <c r="F200" s="40" t="str">
        <f>IF(Progetti!K198="","",Progetti!K198)</f>
        <v/>
      </c>
      <c r="G200" s="40" t="str">
        <f>IF(Progetti!L198="","",Progetti!L198)</f>
        <v/>
      </c>
      <c r="H200" s="29" t="str">
        <f>IF(Progetti!E198="","",Progetti!N198)</f>
        <v/>
      </c>
      <c r="I200" s="29" t="str">
        <f>IF(Progetti!E198="","",Progetti!M198)</f>
        <v/>
      </c>
      <c r="J200" s="38" t="str">
        <f>IF(Progetti!E198="","",Progetti!I198)</f>
        <v/>
      </c>
      <c r="K200" s="39" t="str">
        <f>IF(OR(Progetti!E198="",Progetti!Q198=""),"",Progetti!Q198)</f>
        <v/>
      </c>
      <c r="L200" s="39" t="str">
        <f>IF(OR(Progetti!E198="",Progetti!R198=""),"",Progetti!R198)</f>
        <v/>
      </c>
      <c r="M200" s="14" t="str">
        <f>IF(OR(Progetti!E198="",Progetti!V198=""),"",Progetti!V198)</f>
        <v/>
      </c>
      <c r="N200" s="14" t="str">
        <f>IF(OR(Progetti!E198="",Progetti!W198=""),"",Progetti!W198)</f>
        <v/>
      </c>
      <c r="O200" s="14" t="str">
        <f>IF(OR(Progetti!E198="",Progetti!X198=""),"",Progetti!X198)</f>
        <v/>
      </c>
      <c r="P200" s="14" t="str">
        <f>IF(OR(Progetti!E198="",Progetti!Y198=""),"",Progetti!Y198)</f>
        <v/>
      </c>
      <c r="Q200" s="14" t="str">
        <f>IF(OR(Progetti!E198="",Progetti!Z198=""),"",Progetti!Z198)</f>
        <v/>
      </c>
      <c r="R200" s="14" t="str">
        <f>IF(OR(Progetti!E198="",Progetti!AA198=""),"",Progetti!AA198)</f>
        <v/>
      </c>
      <c r="S200" s="14" t="str">
        <f>IF(OR(Progetti!E198="",Progetti!AB198=""),"",Progetti!AB198)</f>
        <v/>
      </c>
      <c r="T200" s="14" t="str">
        <f>IF(OR(Progetti!E198="",Progetti!AC198=""),"",Progetti!AC198)</f>
        <v/>
      </c>
      <c r="U200" s="14" t="str">
        <f>IF(OR(Progetti!E198="",Progetti!AD198=""),"",Progetti!AD198)</f>
        <v/>
      </c>
      <c r="V200" s="14" t="str">
        <f>IF(OR(Progetti!E198="",Progetti!AE198=""),"",Progetti!AE198)</f>
        <v/>
      </c>
      <c r="W200" s="14" t="str">
        <f>IF(OR(Progetti!E198="",Progetti!AF198=""),"",Progetti!AF198)</f>
        <v/>
      </c>
      <c r="X200" s="14" t="str">
        <f>IF(OR(Progetti!E198="",Progetti!AG198=""),"",Progetti!AG198)</f>
        <v/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</row>
    <row r="201" spans="1:84" x14ac:dyDescent="0.35">
      <c r="A201" s="29" t="str">
        <f>IF(Progetti!E199="","",Progetti!A199)</f>
        <v/>
      </c>
      <c r="B201" s="29" t="str">
        <f>IF(Progetti!F199="","",Progetti!B199)</f>
        <v/>
      </c>
      <c r="C201" s="29" t="str">
        <f>IF(Progetti!E199="","",Progetti!C199)</f>
        <v/>
      </c>
      <c r="D201" s="29" t="str">
        <f>IF(Progetti!F199="","",Progetti!D199)</f>
        <v/>
      </c>
      <c r="E201" s="29" t="str">
        <f>IF(Progetti!E199="","",Progetti!E199)</f>
        <v/>
      </c>
      <c r="F201" s="40" t="str">
        <f>IF(Progetti!K199="","",Progetti!K199)</f>
        <v/>
      </c>
      <c r="G201" s="40" t="str">
        <f>IF(Progetti!L199="","",Progetti!L199)</f>
        <v/>
      </c>
      <c r="H201" s="29" t="str">
        <f>IF(Progetti!E199="","",Progetti!N199)</f>
        <v/>
      </c>
      <c r="I201" s="29" t="str">
        <f>IF(Progetti!E199="","",Progetti!M199)</f>
        <v/>
      </c>
      <c r="J201" s="38" t="str">
        <f>IF(Progetti!E199="","",Progetti!I199)</f>
        <v/>
      </c>
      <c r="K201" s="39" t="str">
        <f>IF(OR(Progetti!E199="",Progetti!Q199=""),"",Progetti!Q199)</f>
        <v/>
      </c>
      <c r="L201" s="39" t="str">
        <f>IF(OR(Progetti!E199="",Progetti!R199=""),"",Progetti!R199)</f>
        <v/>
      </c>
      <c r="M201" s="14" t="str">
        <f>IF(OR(Progetti!E199="",Progetti!V199=""),"",Progetti!V199)</f>
        <v/>
      </c>
      <c r="N201" s="14" t="str">
        <f>IF(OR(Progetti!E199="",Progetti!W199=""),"",Progetti!W199)</f>
        <v/>
      </c>
      <c r="O201" s="14" t="str">
        <f>IF(OR(Progetti!E199="",Progetti!X199=""),"",Progetti!X199)</f>
        <v/>
      </c>
      <c r="P201" s="14" t="str">
        <f>IF(OR(Progetti!E199="",Progetti!Y199=""),"",Progetti!Y199)</f>
        <v/>
      </c>
      <c r="Q201" s="14" t="str">
        <f>IF(OR(Progetti!E199="",Progetti!Z199=""),"",Progetti!Z199)</f>
        <v/>
      </c>
      <c r="R201" s="14" t="str">
        <f>IF(OR(Progetti!E199="",Progetti!AA199=""),"",Progetti!AA199)</f>
        <v/>
      </c>
      <c r="S201" s="14" t="str">
        <f>IF(OR(Progetti!E199="",Progetti!AB199=""),"",Progetti!AB199)</f>
        <v/>
      </c>
      <c r="T201" s="14" t="str">
        <f>IF(OR(Progetti!E199="",Progetti!AC199=""),"",Progetti!AC199)</f>
        <v/>
      </c>
      <c r="U201" s="14" t="str">
        <f>IF(OR(Progetti!E199="",Progetti!AD199=""),"",Progetti!AD199)</f>
        <v/>
      </c>
      <c r="V201" s="14" t="str">
        <f>IF(OR(Progetti!E199="",Progetti!AE199=""),"",Progetti!AE199)</f>
        <v/>
      </c>
      <c r="W201" s="14" t="str">
        <f>IF(OR(Progetti!E199="",Progetti!AF199=""),"",Progetti!AF199)</f>
        <v/>
      </c>
      <c r="X201" s="14" t="str">
        <f>IF(OR(Progetti!E199="",Progetti!AG199=""),"",Progetti!AG199)</f>
        <v/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</row>
    <row r="202" spans="1:84" x14ac:dyDescent="0.35">
      <c r="A202" s="29" t="str">
        <f>IF(Progetti!E200="","",Progetti!A200)</f>
        <v/>
      </c>
      <c r="B202" s="29" t="str">
        <f>IF(Progetti!F200="","",Progetti!B200)</f>
        <v/>
      </c>
      <c r="C202" s="29" t="str">
        <f>IF(Progetti!E200="","",Progetti!C200)</f>
        <v/>
      </c>
      <c r="D202" s="29" t="str">
        <f>IF(Progetti!F200="","",Progetti!D200)</f>
        <v/>
      </c>
      <c r="E202" s="29" t="str">
        <f>IF(Progetti!E200="","",Progetti!E200)</f>
        <v/>
      </c>
      <c r="F202" s="40" t="str">
        <f>IF(Progetti!K200="","",Progetti!K200)</f>
        <v/>
      </c>
      <c r="G202" s="40" t="str">
        <f>IF(Progetti!L200="","",Progetti!L200)</f>
        <v/>
      </c>
      <c r="H202" s="29" t="str">
        <f>IF(Progetti!E200="","",Progetti!N200)</f>
        <v/>
      </c>
      <c r="I202" s="29" t="str">
        <f>IF(Progetti!E200="","",Progetti!M200)</f>
        <v/>
      </c>
      <c r="J202" s="38" t="str">
        <f>IF(Progetti!E200="","",Progetti!I200)</f>
        <v/>
      </c>
      <c r="K202" s="39" t="str">
        <f>IF(OR(Progetti!E200="",Progetti!Q200=""),"",Progetti!Q200)</f>
        <v/>
      </c>
      <c r="L202" s="39" t="str">
        <f>IF(OR(Progetti!E200="",Progetti!R200=""),"",Progetti!R200)</f>
        <v/>
      </c>
      <c r="M202" s="14" t="str">
        <f>IF(OR(Progetti!E200="",Progetti!V200=""),"",Progetti!V200)</f>
        <v/>
      </c>
      <c r="N202" s="14" t="str">
        <f>IF(OR(Progetti!E200="",Progetti!W200=""),"",Progetti!W200)</f>
        <v/>
      </c>
      <c r="O202" s="14" t="str">
        <f>IF(OR(Progetti!E200="",Progetti!X200=""),"",Progetti!X200)</f>
        <v/>
      </c>
      <c r="P202" s="14" t="str">
        <f>IF(OR(Progetti!E200="",Progetti!Y200=""),"",Progetti!Y200)</f>
        <v/>
      </c>
      <c r="Q202" s="14" t="str">
        <f>IF(OR(Progetti!E200="",Progetti!Z200=""),"",Progetti!Z200)</f>
        <v/>
      </c>
      <c r="R202" s="14" t="str">
        <f>IF(OR(Progetti!E200="",Progetti!AA200=""),"",Progetti!AA200)</f>
        <v/>
      </c>
      <c r="S202" s="14" t="str">
        <f>IF(OR(Progetti!E200="",Progetti!AB200=""),"",Progetti!AB200)</f>
        <v/>
      </c>
      <c r="T202" s="14" t="str">
        <f>IF(OR(Progetti!E200="",Progetti!AC200=""),"",Progetti!AC200)</f>
        <v/>
      </c>
      <c r="U202" s="14" t="str">
        <f>IF(OR(Progetti!E200="",Progetti!AD200=""),"",Progetti!AD200)</f>
        <v/>
      </c>
      <c r="V202" s="14" t="str">
        <f>IF(OR(Progetti!E200="",Progetti!AE200=""),"",Progetti!AE200)</f>
        <v/>
      </c>
      <c r="W202" s="14" t="str">
        <f>IF(OR(Progetti!E200="",Progetti!AF200=""),"",Progetti!AF200)</f>
        <v/>
      </c>
      <c r="X202" s="14" t="str">
        <f>IF(OR(Progetti!E200="",Progetti!AG200=""),"",Progetti!AG200)</f>
        <v/>
      </c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</row>
    <row r="203" spans="1:84" x14ac:dyDescent="0.35">
      <c r="A203" s="29" t="str">
        <f>IF(Progetti!E201="","",Progetti!A201)</f>
        <v/>
      </c>
      <c r="B203" s="29" t="str">
        <f>IF(Progetti!F201="","",Progetti!B201)</f>
        <v/>
      </c>
      <c r="C203" s="29" t="str">
        <f>IF(Progetti!E201="","",Progetti!C201)</f>
        <v/>
      </c>
      <c r="D203" s="29" t="str">
        <f>IF(Progetti!F201="","",Progetti!D201)</f>
        <v/>
      </c>
      <c r="E203" s="29" t="str">
        <f>IF(Progetti!E201="","",Progetti!E201)</f>
        <v/>
      </c>
      <c r="F203" s="40" t="str">
        <f>IF(Progetti!K201="","",Progetti!K201)</f>
        <v/>
      </c>
      <c r="G203" s="40" t="str">
        <f>IF(Progetti!L201="","",Progetti!L201)</f>
        <v/>
      </c>
      <c r="H203" s="29" t="str">
        <f>IF(Progetti!E201="","",Progetti!N201)</f>
        <v/>
      </c>
      <c r="I203" s="29" t="str">
        <f>IF(Progetti!E201="","",Progetti!M201)</f>
        <v/>
      </c>
      <c r="J203" s="38" t="str">
        <f>IF(Progetti!E201="","",Progetti!I201)</f>
        <v/>
      </c>
      <c r="K203" s="39" t="str">
        <f>IF(OR(Progetti!E201="",Progetti!Q201=""),"",Progetti!Q201)</f>
        <v/>
      </c>
      <c r="L203" s="39" t="str">
        <f>IF(OR(Progetti!E201="",Progetti!R201=""),"",Progetti!R201)</f>
        <v/>
      </c>
      <c r="M203" s="14" t="str">
        <f>IF(OR(Progetti!E201="",Progetti!V201=""),"",Progetti!V201)</f>
        <v/>
      </c>
      <c r="N203" s="14" t="str">
        <f>IF(OR(Progetti!E201="",Progetti!W201=""),"",Progetti!W201)</f>
        <v/>
      </c>
      <c r="O203" s="14" t="str">
        <f>IF(OR(Progetti!E201="",Progetti!X201=""),"",Progetti!X201)</f>
        <v/>
      </c>
      <c r="P203" s="14" t="str">
        <f>IF(OR(Progetti!E201="",Progetti!Y201=""),"",Progetti!Y201)</f>
        <v/>
      </c>
      <c r="Q203" s="14" t="str">
        <f>IF(OR(Progetti!E201="",Progetti!Z201=""),"",Progetti!Z201)</f>
        <v/>
      </c>
      <c r="R203" s="14" t="str">
        <f>IF(OR(Progetti!E201="",Progetti!AA201=""),"",Progetti!AA201)</f>
        <v/>
      </c>
      <c r="S203" s="14" t="str">
        <f>IF(OR(Progetti!E201="",Progetti!AB201=""),"",Progetti!AB201)</f>
        <v/>
      </c>
      <c r="T203" s="14" t="str">
        <f>IF(OR(Progetti!E201="",Progetti!AC201=""),"",Progetti!AC201)</f>
        <v/>
      </c>
      <c r="U203" s="14" t="str">
        <f>IF(OR(Progetti!E201="",Progetti!AD201=""),"",Progetti!AD201)</f>
        <v/>
      </c>
      <c r="V203" s="14" t="str">
        <f>IF(OR(Progetti!E201="",Progetti!AE201=""),"",Progetti!AE201)</f>
        <v/>
      </c>
      <c r="W203" s="14" t="str">
        <f>IF(OR(Progetti!E201="",Progetti!AF201=""),"",Progetti!AF201)</f>
        <v/>
      </c>
      <c r="X203" s="14" t="str">
        <f>IF(OR(Progetti!E201="",Progetti!AG201=""),"",Progetti!AG201)</f>
        <v/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</row>
    <row r="204" spans="1:84" x14ac:dyDescent="0.35">
      <c r="A204" s="29" t="str">
        <f>IF(Progetti!E202="","",Progetti!A202)</f>
        <v/>
      </c>
      <c r="B204" s="29" t="str">
        <f>IF(Progetti!F202="","",Progetti!B202)</f>
        <v/>
      </c>
      <c r="C204" s="29" t="str">
        <f>IF(Progetti!E202="","",Progetti!C202)</f>
        <v/>
      </c>
      <c r="D204" s="29" t="str">
        <f>IF(Progetti!F202="","",Progetti!D202)</f>
        <v/>
      </c>
      <c r="E204" s="29" t="str">
        <f>IF(Progetti!E202="","",Progetti!E202)</f>
        <v/>
      </c>
      <c r="F204" s="40" t="str">
        <f>IF(Progetti!K202="","",Progetti!K202)</f>
        <v/>
      </c>
      <c r="G204" s="40" t="str">
        <f>IF(Progetti!L202="","",Progetti!L202)</f>
        <v/>
      </c>
      <c r="H204" s="29" t="str">
        <f>IF(Progetti!E202="","",Progetti!N202)</f>
        <v/>
      </c>
      <c r="I204" s="29" t="str">
        <f>IF(Progetti!E202="","",Progetti!M202)</f>
        <v/>
      </c>
      <c r="J204" s="38" t="str">
        <f>IF(Progetti!E202="","",Progetti!I202)</f>
        <v/>
      </c>
      <c r="K204" s="39" t="str">
        <f>IF(OR(Progetti!E202="",Progetti!Q202=""),"",Progetti!Q202)</f>
        <v/>
      </c>
      <c r="L204" s="39" t="str">
        <f>IF(OR(Progetti!E202="",Progetti!R202=""),"",Progetti!R202)</f>
        <v/>
      </c>
      <c r="M204" s="14" t="str">
        <f>IF(OR(Progetti!E202="",Progetti!V202=""),"",Progetti!V202)</f>
        <v/>
      </c>
      <c r="N204" s="14" t="str">
        <f>IF(OR(Progetti!E202="",Progetti!W202=""),"",Progetti!W202)</f>
        <v/>
      </c>
      <c r="O204" s="14" t="str">
        <f>IF(OR(Progetti!E202="",Progetti!X202=""),"",Progetti!X202)</f>
        <v/>
      </c>
      <c r="P204" s="14" t="str">
        <f>IF(OR(Progetti!E202="",Progetti!Y202=""),"",Progetti!Y202)</f>
        <v/>
      </c>
      <c r="Q204" s="14" t="str">
        <f>IF(OR(Progetti!E202="",Progetti!Z202=""),"",Progetti!Z202)</f>
        <v/>
      </c>
      <c r="R204" s="14" t="str">
        <f>IF(OR(Progetti!E202="",Progetti!AA202=""),"",Progetti!AA202)</f>
        <v/>
      </c>
      <c r="S204" s="14" t="str">
        <f>IF(OR(Progetti!E202="",Progetti!AB202=""),"",Progetti!AB202)</f>
        <v/>
      </c>
      <c r="T204" s="14" t="str">
        <f>IF(OR(Progetti!E202="",Progetti!AC202=""),"",Progetti!AC202)</f>
        <v/>
      </c>
      <c r="U204" s="14" t="str">
        <f>IF(OR(Progetti!E202="",Progetti!AD202=""),"",Progetti!AD202)</f>
        <v/>
      </c>
      <c r="V204" s="14" t="str">
        <f>IF(OR(Progetti!E202="",Progetti!AE202=""),"",Progetti!AE202)</f>
        <v/>
      </c>
      <c r="W204" s="14" t="str">
        <f>IF(OR(Progetti!E202="",Progetti!AF202=""),"",Progetti!AF202)</f>
        <v/>
      </c>
      <c r="X204" s="14" t="str">
        <f>IF(OR(Progetti!E202="",Progetti!AG202=""),"",Progetti!AG202)</f>
        <v/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</row>
    <row r="205" spans="1:84" x14ac:dyDescent="0.35">
      <c r="A205" s="29" t="str">
        <f>IF(Progetti!E203="","",Progetti!A203)</f>
        <v/>
      </c>
      <c r="B205" s="29" t="str">
        <f>IF(Progetti!F203="","",Progetti!B203)</f>
        <v/>
      </c>
      <c r="C205" s="29" t="str">
        <f>IF(Progetti!E203="","",Progetti!C203)</f>
        <v/>
      </c>
      <c r="D205" s="29" t="str">
        <f>IF(Progetti!F203="","",Progetti!D203)</f>
        <v/>
      </c>
      <c r="E205" s="29" t="str">
        <f>IF(Progetti!E203="","",Progetti!E203)</f>
        <v/>
      </c>
      <c r="F205" s="40" t="str">
        <f>IF(Progetti!K203="","",Progetti!K203)</f>
        <v/>
      </c>
      <c r="G205" s="40" t="str">
        <f>IF(Progetti!L203="","",Progetti!L203)</f>
        <v/>
      </c>
      <c r="H205" s="29" t="str">
        <f>IF(Progetti!E203="","",Progetti!N203)</f>
        <v/>
      </c>
      <c r="I205" s="29" t="str">
        <f>IF(Progetti!E203="","",Progetti!M203)</f>
        <v/>
      </c>
      <c r="J205" s="38" t="str">
        <f>IF(Progetti!E203="","",Progetti!I203)</f>
        <v/>
      </c>
      <c r="K205" s="39" t="str">
        <f>IF(OR(Progetti!E203="",Progetti!Q203=""),"",Progetti!Q203)</f>
        <v/>
      </c>
      <c r="L205" s="39" t="str">
        <f>IF(OR(Progetti!E203="",Progetti!R203=""),"",Progetti!R203)</f>
        <v/>
      </c>
      <c r="M205" s="14" t="str">
        <f>IF(OR(Progetti!E203="",Progetti!V203=""),"",Progetti!V203)</f>
        <v/>
      </c>
      <c r="N205" s="14" t="str">
        <f>IF(OR(Progetti!E203="",Progetti!W203=""),"",Progetti!W203)</f>
        <v/>
      </c>
      <c r="O205" s="14" t="str">
        <f>IF(OR(Progetti!E203="",Progetti!X203=""),"",Progetti!X203)</f>
        <v/>
      </c>
      <c r="P205" s="14" t="str">
        <f>IF(OR(Progetti!E203="",Progetti!Y203=""),"",Progetti!Y203)</f>
        <v/>
      </c>
      <c r="Q205" s="14" t="str">
        <f>IF(OR(Progetti!E203="",Progetti!Z203=""),"",Progetti!Z203)</f>
        <v/>
      </c>
      <c r="R205" s="14" t="str">
        <f>IF(OR(Progetti!E203="",Progetti!AA203=""),"",Progetti!AA203)</f>
        <v/>
      </c>
      <c r="S205" s="14" t="str">
        <f>IF(OR(Progetti!E203="",Progetti!AB203=""),"",Progetti!AB203)</f>
        <v/>
      </c>
      <c r="T205" s="14" t="str">
        <f>IF(OR(Progetti!E203="",Progetti!AC203=""),"",Progetti!AC203)</f>
        <v/>
      </c>
      <c r="U205" s="14" t="str">
        <f>IF(OR(Progetti!E203="",Progetti!AD203=""),"",Progetti!AD203)</f>
        <v/>
      </c>
      <c r="V205" s="14" t="str">
        <f>IF(OR(Progetti!E203="",Progetti!AE203=""),"",Progetti!AE203)</f>
        <v/>
      </c>
      <c r="W205" s="14" t="str">
        <f>IF(OR(Progetti!E203="",Progetti!AF203=""),"",Progetti!AF203)</f>
        <v/>
      </c>
      <c r="X205" s="14" t="str">
        <f>IF(OR(Progetti!E203="",Progetti!AG203=""),"",Progetti!AG203)</f>
        <v/>
      </c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</row>
    <row r="206" spans="1:84" x14ac:dyDescent="0.35">
      <c r="A206" s="29" t="str">
        <f>IF(Progetti!E204="","",Progetti!A204)</f>
        <v/>
      </c>
      <c r="B206" s="29" t="str">
        <f>IF(Progetti!F204="","",Progetti!B204)</f>
        <v/>
      </c>
      <c r="C206" s="29" t="str">
        <f>IF(Progetti!E204="","",Progetti!C204)</f>
        <v/>
      </c>
      <c r="D206" s="29" t="str">
        <f>IF(Progetti!F204="","",Progetti!D204)</f>
        <v/>
      </c>
      <c r="E206" s="29" t="str">
        <f>IF(Progetti!E204="","",Progetti!E204)</f>
        <v/>
      </c>
      <c r="F206" s="40" t="str">
        <f>IF(Progetti!K204="","",Progetti!K204)</f>
        <v/>
      </c>
      <c r="G206" s="40" t="str">
        <f>IF(Progetti!L204="","",Progetti!L204)</f>
        <v/>
      </c>
      <c r="H206" s="29" t="str">
        <f>IF(Progetti!E204="","",Progetti!N204)</f>
        <v/>
      </c>
      <c r="I206" s="29" t="str">
        <f>IF(Progetti!E204="","",Progetti!M204)</f>
        <v/>
      </c>
      <c r="J206" s="38" t="str">
        <f>IF(Progetti!E204="","",Progetti!I204)</f>
        <v/>
      </c>
      <c r="K206" s="39" t="str">
        <f>IF(OR(Progetti!E204="",Progetti!Q204=""),"",Progetti!Q204)</f>
        <v/>
      </c>
      <c r="L206" s="39" t="str">
        <f>IF(OR(Progetti!E204="",Progetti!R204=""),"",Progetti!R204)</f>
        <v/>
      </c>
      <c r="M206" s="14" t="str">
        <f>IF(OR(Progetti!E204="",Progetti!V204=""),"",Progetti!V204)</f>
        <v/>
      </c>
      <c r="N206" s="14" t="str">
        <f>IF(OR(Progetti!E204="",Progetti!W204=""),"",Progetti!W204)</f>
        <v/>
      </c>
      <c r="O206" s="14" t="str">
        <f>IF(OR(Progetti!E204="",Progetti!X204=""),"",Progetti!X204)</f>
        <v/>
      </c>
      <c r="P206" s="14" t="str">
        <f>IF(OR(Progetti!E204="",Progetti!Y204=""),"",Progetti!Y204)</f>
        <v/>
      </c>
      <c r="Q206" s="14" t="str">
        <f>IF(OR(Progetti!E204="",Progetti!Z204=""),"",Progetti!Z204)</f>
        <v/>
      </c>
      <c r="R206" s="14" t="str">
        <f>IF(OR(Progetti!E204="",Progetti!AA204=""),"",Progetti!AA204)</f>
        <v/>
      </c>
      <c r="S206" s="14" t="str">
        <f>IF(OR(Progetti!E204="",Progetti!AB204=""),"",Progetti!AB204)</f>
        <v/>
      </c>
      <c r="T206" s="14" t="str">
        <f>IF(OR(Progetti!E204="",Progetti!AC204=""),"",Progetti!AC204)</f>
        <v/>
      </c>
      <c r="U206" s="14" t="str">
        <f>IF(OR(Progetti!E204="",Progetti!AD204=""),"",Progetti!AD204)</f>
        <v/>
      </c>
      <c r="V206" s="14" t="str">
        <f>IF(OR(Progetti!E204="",Progetti!AE204=""),"",Progetti!AE204)</f>
        <v/>
      </c>
      <c r="W206" s="14" t="str">
        <f>IF(OR(Progetti!E204="",Progetti!AF204=""),"",Progetti!AF204)</f>
        <v/>
      </c>
      <c r="X206" s="14" t="str">
        <f>IF(OR(Progetti!E204="",Progetti!AG204=""),"",Progetti!AG204)</f>
        <v/>
      </c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</row>
  </sheetData>
  <sheetProtection algorithmName="SHA-512" hashValue="IuPLYbtmAwadcWZp+1YdCKJV0ShlIA8aimC0emvYGQFRRUgsM8GWrOU2B+GTR7O+gphsE5hdHEXVwcZn2BCMmA==" saltValue="15RIvHHaFMABmbR+O8ynGw==" spinCount="100000" sheet="1" objects="1" scenarios="1" sort="0" autoFilter="0"/>
  <autoFilter ref="A6:L206" xr:uid="{00000000-0009-0000-0000-000003000000}"/>
  <conditionalFormatting sqref="Y6:CF206">
    <cfRule type="expression" dxfId="6" priority="7">
      <formula>AND(Y$6&lt;=TODAY(),EOMONTH(Y$6,0)&gt;=TODAY())</formula>
    </cfRule>
  </conditionalFormatting>
  <conditionalFormatting sqref="Y7:CF206">
    <cfRule type="expression" dxfId="5" priority="1">
      <formula>AND($M7&lt;&gt;"",Y$6&lt;=IF($N7="",$M7,$N7),EOMONTH(Y$6,0)&gt;=$M7)</formula>
    </cfRule>
    <cfRule type="expression" dxfId="4" priority="2">
      <formula>AND($O7&lt;&gt;"",Y$6&lt;=IF($P7="",$O7,$P7),EOMONTH(Y$6,0)&gt;=$O7)</formula>
    </cfRule>
    <cfRule type="expression" dxfId="3" priority="3">
      <formula>AND($Q7&lt;&gt;"",Y$6&lt;=IF($R7="",$Q7,$R7),EOMONTH(Y$6,0)&gt;=$Q7)</formula>
    </cfRule>
    <cfRule type="expression" dxfId="2" priority="4">
      <formula>AND($S7&lt;&gt;"",Y$6&lt;=IF($T7="",$S7,$T7),EOMONTH(Y$6,0)&gt;=$S7)</formula>
    </cfRule>
    <cfRule type="expression" dxfId="1" priority="5">
      <formula>AND($U7&lt;&gt;"",Y$6&lt;=IF($V7="",$U7,$V7),EOMONTH(Y$6,0)&gt;=$U7)</formula>
    </cfRule>
    <cfRule type="expression" dxfId="0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117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</row>
    <row r="2" spans="1:21" x14ac:dyDescent="0.35">
      <c r="A2" t="s">
        <v>205</v>
      </c>
      <c r="B2" t="s">
        <v>224</v>
      </c>
      <c r="C2" t="s">
        <v>225</v>
      </c>
      <c r="D2" t="s">
        <v>226</v>
      </c>
      <c r="E2" t="s">
        <v>227</v>
      </c>
      <c r="F2" t="s">
        <v>39</v>
      </c>
      <c r="G2" t="s">
        <v>228</v>
      </c>
      <c r="H2" t="s">
        <v>55</v>
      </c>
      <c r="I2" t="s">
        <v>56</v>
      </c>
      <c r="J2" t="s">
        <v>35</v>
      </c>
      <c r="K2" t="s">
        <v>229</v>
      </c>
      <c r="L2" t="s">
        <v>230</v>
      </c>
      <c r="M2" t="s">
        <v>231</v>
      </c>
      <c r="N2" t="s">
        <v>30</v>
      </c>
      <c r="O2" t="s">
        <v>50</v>
      </c>
      <c r="P2" t="s">
        <v>146</v>
      </c>
      <c r="Q2" t="s">
        <v>232</v>
      </c>
      <c r="R2" t="s">
        <v>233</v>
      </c>
      <c r="S2" t="s">
        <v>67</v>
      </c>
      <c r="T2" t="s">
        <v>222</v>
      </c>
      <c r="U2" t="s">
        <v>234</v>
      </c>
    </row>
    <row r="3" spans="1:21" x14ac:dyDescent="0.35">
      <c r="A3" t="s">
        <v>206</v>
      </c>
      <c r="B3" t="s">
        <v>235</v>
      </c>
      <c r="C3" t="s">
        <v>236</v>
      </c>
      <c r="D3" t="s">
        <v>52</v>
      </c>
      <c r="E3" t="s">
        <v>237</v>
      </c>
      <c r="F3" t="s">
        <v>238</v>
      </c>
      <c r="G3" t="s">
        <v>239</v>
      </c>
      <c r="H3" t="s">
        <v>240</v>
      </c>
      <c r="I3" t="s">
        <v>241</v>
      </c>
      <c r="J3" t="s">
        <v>46</v>
      </c>
      <c r="K3" t="s">
        <v>242</v>
      </c>
      <c r="L3" t="s">
        <v>243</v>
      </c>
      <c r="M3" t="s">
        <v>244</v>
      </c>
      <c r="N3" t="s">
        <v>245</v>
      </c>
      <c r="O3" t="s">
        <v>246</v>
      </c>
      <c r="P3" t="s">
        <v>247</v>
      </c>
      <c r="Q3" t="s">
        <v>54</v>
      </c>
      <c r="R3" t="s">
        <v>76</v>
      </c>
      <c r="S3" t="s">
        <v>248</v>
      </c>
      <c r="U3" t="s">
        <v>65</v>
      </c>
    </row>
    <row r="4" spans="1:21" x14ac:dyDescent="0.35">
      <c r="A4" t="s">
        <v>207</v>
      </c>
      <c r="B4" t="s">
        <v>249</v>
      </c>
      <c r="D4" t="s">
        <v>250</v>
      </c>
      <c r="E4" t="s">
        <v>251</v>
      </c>
      <c r="F4" t="s">
        <v>252</v>
      </c>
      <c r="G4" t="s">
        <v>253</v>
      </c>
      <c r="H4" t="s">
        <v>254</v>
      </c>
      <c r="I4" t="s">
        <v>255</v>
      </c>
      <c r="J4" t="s">
        <v>256</v>
      </c>
      <c r="K4" t="s">
        <v>257</v>
      </c>
      <c r="M4" t="s">
        <v>258</v>
      </c>
      <c r="N4" t="s">
        <v>259</v>
      </c>
      <c r="O4" t="s">
        <v>260</v>
      </c>
      <c r="P4" t="s">
        <v>3</v>
      </c>
      <c r="Q4" t="s">
        <v>261</v>
      </c>
      <c r="U4" t="s">
        <v>262</v>
      </c>
    </row>
    <row r="5" spans="1:21" x14ac:dyDescent="0.35">
      <c r="A5" t="s">
        <v>208</v>
      </c>
      <c r="B5" t="s">
        <v>263</v>
      </c>
      <c r="D5" t="s">
        <v>264</v>
      </c>
      <c r="E5" t="s">
        <v>64</v>
      </c>
      <c r="F5" t="s">
        <v>265</v>
      </c>
      <c r="G5" t="s">
        <v>78</v>
      </c>
      <c r="H5" t="s">
        <v>266</v>
      </c>
      <c r="I5" t="s">
        <v>267</v>
      </c>
      <c r="J5" t="s">
        <v>268</v>
      </c>
      <c r="K5" t="s">
        <v>269</v>
      </c>
      <c r="M5" t="s">
        <v>53</v>
      </c>
      <c r="N5" t="s">
        <v>270</v>
      </c>
      <c r="O5" t="s">
        <v>72</v>
      </c>
      <c r="P5" t="s">
        <v>159</v>
      </c>
      <c r="Q5" t="s">
        <v>58</v>
      </c>
      <c r="U5" t="s">
        <v>77</v>
      </c>
    </row>
    <row r="6" spans="1:21" x14ac:dyDescent="0.35">
      <c r="A6" t="s">
        <v>209</v>
      </c>
      <c r="D6" t="s">
        <v>271</v>
      </c>
      <c r="E6" t="s">
        <v>71</v>
      </c>
      <c r="F6" t="s">
        <v>66</v>
      </c>
      <c r="H6" t="s">
        <v>272</v>
      </c>
      <c r="J6" t="s">
        <v>57</v>
      </c>
      <c r="K6" t="s">
        <v>273</v>
      </c>
      <c r="M6" t="s">
        <v>274</v>
      </c>
      <c r="N6" t="s">
        <v>275</v>
      </c>
      <c r="O6" t="s">
        <v>276</v>
      </c>
      <c r="P6" t="s">
        <v>277</v>
      </c>
      <c r="Q6" t="s">
        <v>59</v>
      </c>
      <c r="U6" t="s">
        <v>79</v>
      </c>
    </row>
    <row r="7" spans="1:21" x14ac:dyDescent="0.35">
      <c r="A7" t="s">
        <v>210</v>
      </c>
      <c r="F7" t="s">
        <v>278</v>
      </c>
      <c r="J7" t="s">
        <v>279</v>
      </c>
      <c r="M7" t="s">
        <v>75</v>
      </c>
      <c r="N7" t="s">
        <v>280</v>
      </c>
      <c r="P7" t="s">
        <v>141</v>
      </c>
      <c r="Q7" t="s">
        <v>281</v>
      </c>
      <c r="U7" t="s">
        <v>80</v>
      </c>
    </row>
    <row r="8" spans="1:21" x14ac:dyDescent="0.35">
      <c r="A8" t="s">
        <v>211</v>
      </c>
      <c r="F8" t="s">
        <v>282</v>
      </c>
      <c r="J8" t="s">
        <v>283</v>
      </c>
      <c r="M8" t="s">
        <v>284</v>
      </c>
      <c r="P8" t="s">
        <v>180</v>
      </c>
      <c r="Q8" t="s">
        <v>285</v>
      </c>
      <c r="U8" t="s">
        <v>286</v>
      </c>
    </row>
    <row r="9" spans="1:21" x14ac:dyDescent="0.35">
      <c r="A9" t="s">
        <v>212</v>
      </c>
      <c r="F9" t="s">
        <v>287</v>
      </c>
      <c r="J9" t="s">
        <v>288</v>
      </c>
      <c r="M9" t="s">
        <v>289</v>
      </c>
      <c r="P9" t="s">
        <v>122</v>
      </c>
      <c r="Q9" t="s">
        <v>290</v>
      </c>
    </row>
    <row r="10" spans="1:21" x14ac:dyDescent="0.35">
      <c r="A10" t="s">
        <v>213</v>
      </c>
      <c r="F10" t="s">
        <v>68</v>
      </c>
      <c r="J10" t="s">
        <v>291</v>
      </c>
      <c r="P10" t="s">
        <v>130</v>
      </c>
      <c r="Q10" t="s">
        <v>292</v>
      </c>
    </row>
    <row r="11" spans="1:21" x14ac:dyDescent="0.35">
      <c r="A11" t="s">
        <v>214</v>
      </c>
      <c r="J11" t="s">
        <v>293</v>
      </c>
      <c r="Q11" t="s">
        <v>294</v>
      </c>
    </row>
    <row r="12" spans="1:21" x14ac:dyDescent="0.35">
      <c r="A12" t="s">
        <v>215</v>
      </c>
      <c r="J12" t="s">
        <v>74</v>
      </c>
    </row>
    <row r="13" spans="1:21" x14ac:dyDescent="0.35">
      <c r="A13" t="s">
        <v>216</v>
      </c>
      <c r="J13" t="s">
        <v>295</v>
      </c>
    </row>
    <row r="14" spans="1:21" x14ac:dyDescent="0.35">
      <c r="A14" t="s">
        <v>217</v>
      </c>
    </row>
    <row r="15" spans="1:21" x14ac:dyDescent="0.35">
      <c r="A15" t="s">
        <v>218</v>
      </c>
    </row>
    <row r="16" spans="1:21" x14ac:dyDescent="0.35">
      <c r="A16" t="s">
        <v>117</v>
      </c>
    </row>
    <row r="17" spans="1:1" x14ac:dyDescent="0.35">
      <c r="A17" t="s">
        <v>219</v>
      </c>
    </row>
    <row r="18" spans="1:1" x14ac:dyDescent="0.35">
      <c r="A18" t="s">
        <v>220</v>
      </c>
    </row>
    <row r="19" spans="1:1" x14ac:dyDescent="0.35">
      <c r="A19" t="s">
        <v>221</v>
      </c>
    </row>
    <row r="20" spans="1:1" x14ac:dyDescent="0.35">
      <c r="A20" t="s">
        <v>222</v>
      </c>
    </row>
    <row r="21" spans="1:1" x14ac:dyDescent="0.35">
      <c r="A21" t="s">
        <v>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E1" t="s">
        <v>296</v>
      </c>
    </row>
    <row r="2" spans="1:5" x14ac:dyDescent="0.35">
      <c r="A2" t="s">
        <v>205</v>
      </c>
      <c r="B2" t="s">
        <v>224</v>
      </c>
      <c r="C2" t="s">
        <v>297</v>
      </c>
      <c r="E2" t="s">
        <v>298</v>
      </c>
    </row>
    <row r="3" spans="1:5" x14ac:dyDescent="0.35">
      <c r="A3" t="s">
        <v>205</v>
      </c>
      <c r="B3" t="s">
        <v>224</v>
      </c>
      <c r="C3" t="s">
        <v>299</v>
      </c>
      <c r="E3" t="s">
        <v>300</v>
      </c>
    </row>
    <row r="4" spans="1:5" x14ac:dyDescent="0.35">
      <c r="A4" t="s">
        <v>205</v>
      </c>
      <c r="B4" t="s">
        <v>224</v>
      </c>
      <c r="C4" t="s">
        <v>301</v>
      </c>
    </row>
    <row r="5" spans="1:5" x14ac:dyDescent="0.35">
      <c r="A5" t="s">
        <v>205</v>
      </c>
      <c r="B5" t="s">
        <v>224</v>
      </c>
      <c r="C5" t="s">
        <v>302</v>
      </c>
    </row>
    <row r="6" spans="1:5" x14ac:dyDescent="0.35">
      <c r="A6" t="s">
        <v>205</v>
      </c>
      <c r="B6" t="s">
        <v>224</v>
      </c>
      <c r="C6" t="s">
        <v>303</v>
      </c>
    </row>
    <row r="7" spans="1:5" x14ac:dyDescent="0.35">
      <c r="A7" t="s">
        <v>205</v>
      </c>
      <c r="B7" t="s">
        <v>224</v>
      </c>
      <c r="C7" t="s">
        <v>304</v>
      </c>
    </row>
    <row r="8" spans="1:5" x14ac:dyDescent="0.35">
      <c r="A8" t="s">
        <v>205</v>
      </c>
      <c r="B8" t="s">
        <v>224</v>
      </c>
      <c r="C8" t="s">
        <v>305</v>
      </c>
    </row>
    <row r="9" spans="1:5" x14ac:dyDescent="0.35">
      <c r="A9" t="s">
        <v>205</v>
      </c>
      <c r="B9" t="s">
        <v>224</v>
      </c>
      <c r="C9" t="s">
        <v>306</v>
      </c>
    </row>
    <row r="10" spans="1:5" x14ac:dyDescent="0.35">
      <c r="A10" t="s">
        <v>205</v>
      </c>
      <c r="B10" t="s">
        <v>224</v>
      </c>
      <c r="C10" t="s">
        <v>307</v>
      </c>
    </row>
    <row r="11" spans="1:5" x14ac:dyDescent="0.35">
      <c r="A11" t="s">
        <v>205</v>
      </c>
      <c r="B11" t="s">
        <v>224</v>
      </c>
      <c r="C11" t="s">
        <v>308</v>
      </c>
    </row>
    <row r="12" spans="1:5" x14ac:dyDescent="0.35">
      <c r="A12" t="s">
        <v>205</v>
      </c>
      <c r="B12" t="s">
        <v>224</v>
      </c>
      <c r="C12" t="s">
        <v>309</v>
      </c>
    </row>
    <row r="13" spans="1:5" x14ac:dyDescent="0.35">
      <c r="A13" t="s">
        <v>205</v>
      </c>
      <c r="B13" t="s">
        <v>224</v>
      </c>
      <c r="C13" t="s">
        <v>310</v>
      </c>
    </row>
    <row r="14" spans="1:5" x14ac:dyDescent="0.35">
      <c r="A14" t="s">
        <v>205</v>
      </c>
      <c r="B14" t="s">
        <v>224</v>
      </c>
      <c r="C14" t="s">
        <v>311</v>
      </c>
    </row>
    <row r="15" spans="1:5" x14ac:dyDescent="0.35">
      <c r="A15" t="s">
        <v>205</v>
      </c>
      <c r="B15" t="s">
        <v>224</v>
      </c>
      <c r="C15" t="s">
        <v>312</v>
      </c>
    </row>
    <row r="16" spans="1:5" x14ac:dyDescent="0.35">
      <c r="A16" t="s">
        <v>205</v>
      </c>
      <c r="B16" t="s">
        <v>224</v>
      </c>
      <c r="C16" t="s">
        <v>313</v>
      </c>
    </row>
    <row r="17" spans="1:3" x14ac:dyDescent="0.35">
      <c r="A17" t="s">
        <v>205</v>
      </c>
      <c r="B17" t="s">
        <v>224</v>
      </c>
      <c r="C17" t="s">
        <v>314</v>
      </c>
    </row>
    <row r="18" spans="1:3" x14ac:dyDescent="0.35">
      <c r="A18" t="s">
        <v>205</v>
      </c>
      <c r="B18" t="s">
        <v>224</v>
      </c>
      <c r="C18" t="s">
        <v>315</v>
      </c>
    </row>
    <row r="19" spans="1:3" x14ac:dyDescent="0.35">
      <c r="A19" t="s">
        <v>205</v>
      </c>
      <c r="B19" t="s">
        <v>224</v>
      </c>
      <c r="C19" t="s">
        <v>316</v>
      </c>
    </row>
    <row r="20" spans="1:3" x14ac:dyDescent="0.35">
      <c r="A20" t="s">
        <v>205</v>
      </c>
      <c r="B20" t="s">
        <v>224</v>
      </c>
      <c r="C20" t="s">
        <v>317</v>
      </c>
    </row>
    <row r="21" spans="1:3" x14ac:dyDescent="0.35">
      <c r="A21" t="s">
        <v>205</v>
      </c>
      <c r="B21" t="s">
        <v>224</v>
      </c>
      <c r="C21" t="s">
        <v>318</v>
      </c>
    </row>
    <row r="22" spans="1:3" x14ac:dyDescent="0.35">
      <c r="A22" t="s">
        <v>205</v>
      </c>
      <c r="B22" t="s">
        <v>224</v>
      </c>
      <c r="C22" t="s">
        <v>224</v>
      </c>
    </row>
    <row r="23" spans="1:3" x14ac:dyDescent="0.35">
      <c r="A23" t="s">
        <v>205</v>
      </c>
      <c r="B23" t="s">
        <v>224</v>
      </c>
      <c r="C23" t="s">
        <v>319</v>
      </c>
    </row>
    <row r="24" spans="1:3" x14ac:dyDescent="0.35">
      <c r="A24" t="s">
        <v>205</v>
      </c>
      <c r="B24" t="s">
        <v>224</v>
      </c>
      <c r="C24" t="s">
        <v>320</v>
      </c>
    </row>
    <row r="25" spans="1:3" x14ac:dyDescent="0.35">
      <c r="A25" t="s">
        <v>205</v>
      </c>
      <c r="B25" t="s">
        <v>224</v>
      </c>
      <c r="C25" t="s">
        <v>321</v>
      </c>
    </row>
    <row r="26" spans="1:3" x14ac:dyDescent="0.35">
      <c r="A26" t="s">
        <v>205</v>
      </c>
      <c r="B26" t="s">
        <v>224</v>
      </c>
      <c r="C26" t="s">
        <v>322</v>
      </c>
    </row>
    <row r="27" spans="1:3" x14ac:dyDescent="0.35">
      <c r="A27" t="s">
        <v>205</v>
      </c>
      <c r="B27" t="s">
        <v>224</v>
      </c>
      <c r="C27" t="s">
        <v>323</v>
      </c>
    </row>
    <row r="28" spans="1:3" x14ac:dyDescent="0.35">
      <c r="A28" t="s">
        <v>205</v>
      </c>
      <c r="B28" t="s">
        <v>224</v>
      </c>
      <c r="C28" t="s">
        <v>324</v>
      </c>
    </row>
    <row r="29" spans="1:3" x14ac:dyDescent="0.35">
      <c r="A29" t="s">
        <v>205</v>
      </c>
      <c r="B29" t="s">
        <v>224</v>
      </c>
      <c r="C29" t="s">
        <v>325</v>
      </c>
    </row>
    <row r="30" spans="1:3" x14ac:dyDescent="0.35">
      <c r="A30" t="s">
        <v>205</v>
      </c>
      <c r="B30" t="s">
        <v>224</v>
      </c>
      <c r="C30" t="s">
        <v>326</v>
      </c>
    </row>
    <row r="31" spans="1:3" x14ac:dyDescent="0.35">
      <c r="A31" t="s">
        <v>205</v>
      </c>
      <c r="B31" t="s">
        <v>224</v>
      </c>
      <c r="C31" t="s">
        <v>327</v>
      </c>
    </row>
    <row r="32" spans="1:3" x14ac:dyDescent="0.35">
      <c r="A32" t="s">
        <v>205</v>
      </c>
      <c r="B32" t="s">
        <v>224</v>
      </c>
      <c r="C32" t="s">
        <v>328</v>
      </c>
    </row>
    <row r="33" spans="1:3" x14ac:dyDescent="0.35">
      <c r="A33" t="s">
        <v>205</v>
      </c>
      <c r="B33" t="s">
        <v>224</v>
      </c>
      <c r="C33" t="s">
        <v>329</v>
      </c>
    </row>
    <row r="34" spans="1:3" x14ac:dyDescent="0.35">
      <c r="A34" t="s">
        <v>205</v>
      </c>
      <c r="B34" t="s">
        <v>224</v>
      </c>
      <c r="C34" t="s">
        <v>330</v>
      </c>
    </row>
    <row r="35" spans="1:3" x14ac:dyDescent="0.35">
      <c r="A35" t="s">
        <v>205</v>
      </c>
      <c r="B35" t="s">
        <v>224</v>
      </c>
      <c r="C35" t="s">
        <v>331</v>
      </c>
    </row>
    <row r="36" spans="1:3" x14ac:dyDescent="0.35">
      <c r="A36" t="s">
        <v>205</v>
      </c>
      <c r="B36" t="s">
        <v>224</v>
      </c>
      <c r="C36" t="s">
        <v>332</v>
      </c>
    </row>
    <row r="37" spans="1:3" x14ac:dyDescent="0.35">
      <c r="A37" t="s">
        <v>205</v>
      </c>
      <c r="B37" t="s">
        <v>224</v>
      </c>
      <c r="C37" t="s">
        <v>333</v>
      </c>
    </row>
    <row r="38" spans="1:3" x14ac:dyDescent="0.35">
      <c r="A38" t="s">
        <v>205</v>
      </c>
      <c r="B38" t="s">
        <v>224</v>
      </c>
      <c r="C38" t="s">
        <v>334</v>
      </c>
    </row>
    <row r="39" spans="1:3" x14ac:dyDescent="0.35">
      <c r="A39" t="s">
        <v>205</v>
      </c>
      <c r="B39" t="s">
        <v>224</v>
      </c>
      <c r="C39" t="s">
        <v>335</v>
      </c>
    </row>
    <row r="40" spans="1:3" x14ac:dyDescent="0.35">
      <c r="A40" t="s">
        <v>205</v>
      </c>
      <c r="B40" t="s">
        <v>224</v>
      </c>
      <c r="C40" t="s">
        <v>336</v>
      </c>
    </row>
    <row r="41" spans="1:3" x14ac:dyDescent="0.35">
      <c r="A41" t="s">
        <v>205</v>
      </c>
      <c r="B41" t="s">
        <v>224</v>
      </c>
      <c r="C41" t="s">
        <v>337</v>
      </c>
    </row>
    <row r="42" spans="1:3" x14ac:dyDescent="0.35">
      <c r="A42" t="s">
        <v>205</v>
      </c>
      <c r="B42" t="s">
        <v>224</v>
      </c>
      <c r="C42" t="s">
        <v>338</v>
      </c>
    </row>
    <row r="43" spans="1:3" x14ac:dyDescent="0.35">
      <c r="A43" t="s">
        <v>205</v>
      </c>
      <c r="B43" t="s">
        <v>224</v>
      </c>
      <c r="C43" t="s">
        <v>339</v>
      </c>
    </row>
    <row r="44" spans="1:3" x14ac:dyDescent="0.35">
      <c r="A44" t="s">
        <v>205</v>
      </c>
      <c r="B44" t="s">
        <v>224</v>
      </c>
      <c r="C44" t="s">
        <v>340</v>
      </c>
    </row>
    <row r="45" spans="1:3" x14ac:dyDescent="0.35">
      <c r="A45" t="s">
        <v>205</v>
      </c>
      <c r="B45" t="s">
        <v>224</v>
      </c>
      <c r="C45" t="s">
        <v>341</v>
      </c>
    </row>
    <row r="46" spans="1:3" x14ac:dyDescent="0.35">
      <c r="A46" t="s">
        <v>205</v>
      </c>
      <c r="B46" t="s">
        <v>224</v>
      </c>
      <c r="C46" t="s">
        <v>342</v>
      </c>
    </row>
    <row r="47" spans="1:3" x14ac:dyDescent="0.35">
      <c r="A47" t="s">
        <v>205</v>
      </c>
      <c r="B47" t="s">
        <v>224</v>
      </c>
      <c r="C47" t="s">
        <v>343</v>
      </c>
    </row>
    <row r="48" spans="1:3" x14ac:dyDescent="0.35">
      <c r="A48" t="s">
        <v>205</v>
      </c>
      <c r="B48" t="s">
        <v>224</v>
      </c>
      <c r="C48" t="s">
        <v>344</v>
      </c>
    </row>
    <row r="49" spans="1:3" x14ac:dyDescent="0.35">
      <c r="A49" t="s">
        <v>205</v>
      </c>
      <c r="B49" t="s">
        <v>224</v>
      </c>
      <c r="C49" t="s">
        <v>345</v>
      </c>
    </row>
    <row r="50" spans="1:3" x14ac:dyDescent="0.35">
      <c r="A50" t="s">
        <v>205</v>
      </c>
      <c r="B50" t="s">
        <v>224</v>
      </c>
      <c r="C50" t="s">
        <v>346</v>
      </c>
    </row>
    <row r="51" spans="1:3" x14ac:dyDescent="0.35">
      <c r="A51" t="s">
        <v>205</v>
      </c>
      <c r="B51" t="s">
        <v>224</v>
      </c>
      <c r="C51" t="s">
        <v>347</v>
      </c>
    </row>
    <row r="52" spans="1:3" x14ac:dyDescent="0.35">
      <c r="A52" t="s">
        <v>205</v>
      </c>
      <c r="B52" t="s">
        <v>224</v>
      </c>
      <c r="C52" t="s">
        <v>348</v>
      </c>
    </row>
    <row r="53" spans="1:3" x14ac:dyDescent="0.35">
      <c r="A53" t="s">
        <v>205</v>
      </c>
      <c r="B53" t="s">
        <v>224</v>
      </c>
      <c r="C53" t="s">
        <v>349</v>
      </c>
    </row>
    <row r="54" spans="1:3" x14ac:dyDescent="0.35">
      <c r="A54" t="s">
        <v>205</v>
      </c>
      <c r="B54" t="s">
        <v>224</v>
      </c>
      <c r="C54" t="s">
        <v>350</v>
      </c>
    </row>
    <row r="55" spans="1:3" x14ac:dyDescent="0.35">
      <c r="A55" t="s">
        <v>205</v>
      </c>
      <c r="B55" t="s">
        <v>224</v>
      </c>
      <c r="C55" t="s">
        <v>351</v>
      </c>
    </row>
    <row r="56" spans="1:3" x14ac:dyDescent="0.35">
      <c r="A56" t="s">
        <v>205</v>
      </c>
      <c r="B56" t="s">
        <v>224</v>
      </c>
      <c r="C56" t="s">
        <v>352</v>
      </c>
    </row>
    <row r="57" spans="1:3" x14ac:dyDescent="0.35">
      <c r="A57" t="s">
        <v>205</v>
      </c>
      <c r="B57" t="s">
        <v>224</v>
      </c>
      <c r="C57" t="s">
        <v>353</v>
      </c>
    </row>
    <row r="58" spans="1:3" x14ac:dyDescent="0.35">
      <c r="A58" t="s">
        <v>205</v>
      </c>
      <c r="B58" t="s">
        <v>224</v>
      </c>
      <c r="C58" t="s">
        <v>354</v>
      </c>
    </row>
    <row r="59" spans="1:3" x14ac:dyDescent="0.35">
      <c r="A59" t="s">
        <v>205</v>
      </c>
      <c r="B59" t="s">
        <v>224</v>
      </c>
      <c r="C59" t="s">
        <v>355</v>
      </c>
    </row>
    <row r="60" spans="1:3" x14ac:dyDescent="0.35">
      <c r="A60" t="s">
        <v>205</v>
      </c>
      <c r="B60" t="s">
        <v>224</v>
      </c>
      <c r="C60" t="s">
        <v>356</v>
      </c>
    </row>
    <row r="61" spans="1:3" x14ac:dyDescent="0.35">
      <c r="A61" t="s">
        <v>205</v>
      </c>
      <c r="B61" t="s">
        <v>224</v>
      </c>
      <c r="C61" t="s">
        <v>357</v>
      </c>
    </row>
    <row r="62" spans="1:3" x14ac:dyDescent="0.35">
      <c r="A62" t="s">
        <v>205</v>
      </c>
      <c r="B62" t="s">
        <v>224</v>
      </c>
      <c r="C62" t="s">
        <v>358</v>
      </c>
    </row>
    <row r="63" spans="1:3" x14ac:dyDescent="0.35">
      <c r="A63" t="s">
        <v>205</v>
      </c>
      <c r="B63" t="s">
        <v>224</v>
      </c>
      <c r="C63" t="s">
        <v>359</v>
      </c>
    </row>
    <row r="64" spans="1:3" x14ac:dyDescent="0.35">
      <c r="A64" t="s">
        <v>205</v>
      </c>
      <c r="B64" t="s">
        <v>224</v>
      </c>
      <c r="C64" t="s">
        <v>360</v>
      </c>
    </row>
    <row r="65" spans="1:3" x14ac:dyDescent="0.35">
      <c r="A65" t="s">
        <v>205</v>
      </c>
      <c r="B65" t="s">
        <v>224</v>
      </c>
      <c r="C65" t="s">
        <v>361</v>
      </c>
    </row>
    <row r="66" spans="1:3" x14ac:dyDescent="0.35">
      <c r="A66" t="s">
        <v>205</v>
      </c>
      <c r="B66" t="s">
        <v>224</v>
      </c>
      <c r="C66" t="s">
        <v>362</v>
      </c>
    </row>
    <row r="67" spans="1:3" x14ac:dyDescent="0.35">
      <c r="A67" t="s">
        <v>205</v>
      </c>
      <c r="B67" t="s">
        <v>224</v>
      </c>
      <c r="C67" t="s">
        <v>363</v>
      </c>
    </row>
    <row r="68" spans="1:3" x14ac:dyDescent="0.35">
      <c r="A68" t="s">
        <v>205</v>
      </c>
      <c r="B68" t="s">
        <v>224</v>
      </c>
      <c r="C68" t="s">
        <v>364</v>
      </c>
    </row>
    <row r="69" spans="1:3" x14ac:dyDescent="0.35">
      <c r="A69" t="s">
        <v>205</v>
      </c>
      <c r="B69" t="s">
        <v>224</v>
      </c>
      <c r="C69" t="s">
        <v>365</v>
      </c>
    </row>
    <row r="70" spans="1:3" x14ac:dyDescent="0.35">
      <c r="A70" t="s">
        <v>205</v>
      </c>
      <c r="B70" t="s">
        <v>224</v>
      </c>
      <c r="C70" t="s">
        <v>366</v>
      </c>
    </row>
    <row r="71" spans="1:3" x14ac:dyDescent="0.35">
      <c r="A71" t="s">
        <v>205</v>
      </c>
      <c r="B71" t="s">
        <v>224</v>
      </c>
      <c r="C71" t="s">
        <v>367</v>
      </c>
    </row>
    <row r="72" spans="1:3" x14ac:dyDescent="0.35">
      <c r="A72" t="s">
        <v>205</v>
      </c>
      <c r="B72" t="s">
        <v>224</v>
      </c>
      <c r="C72" t="s">
        <v>368</v>
      </c>
    </row>
    <row r="73" spans="1:3" x14ac:dyDescent="0.35">
      <c r="A73" t="s">
        <v>205</v>
      </c>
      <c r="B73" t="s">
        <v>224</v>
      </c>
      <c r="C73" t="s">
        <v>369</v>
      </c>
    </row>
    <row r="74" spans="1:3" x14ac:dyDescent="0.35">
      <c r="A74" t="s">
        <v>205</v>
      </c>
      <c r="B74" t="s">
        <v>224</v>
      </c>
      <c r="C74" t="s">
        <v>370</v>
      </c>
    </row>
    <row r="75" spans="1:3" x14ac:dyDescent="0.35">
      <c r="A75" t="s">
        <v>205</v>
      </c>
      <c r="B75" t="s">
        <v>224</v>
      </c>
      <c r="C75" t="s">
        <v>371</v>
      </c>
    </row>
    <row r="76" spans="1:3" x14ac:dyDescent="0.35">
      <c r="A76" t="s">
        <v>205</v>
      </c>
      <c r="B76" t="s">
        <v>224</v>
      </c>
      <c r="C76" t="s">
        <v>372</v>
      </c>
    </row>
    <row r="77" spans="1:3" x14ac:dyDescent="0.35">
      <c r="A77" t="s">
        <v>205</v>
      </c>
      <c r="B77" t="s">
        <v>224</v>
      </c>
      <c r="C77" t="s">
        <v>373</v>
      </c>
    </row>
    <row r="78" spans="1:3" x14ac:dyDescent="0.35">
      <c r="A78" t="s">
        <v>205</v>
      </c>
      <c r="B78" t="s">
        <v>224</v>
      </c>
      <c r="C78" t="s">
        <v>374</v>
      </c>
    </row>
    <row r="79" spans="1:3" x14ac:dyDescent="0.35">
      <c r="A79" t="s">
        <v>205</v>
      </c>
      <c r="B79" t="s">
        <v>224</v>
      </c>
      <c r="C79" t="s">
        <v>375</v>
      </c>
    </row>
    <row r="80" spans="1:3" x14ac:dyDescent="0.35">
      <c r="A80" t="s">
        <v>205</v>
      </c>
      <c r="B80" t="s">
        <v>224</v>
      </c>
      <c r="C80" t="s">
        <v>376</v>
      </c>
    </row>
    <row r="81" spans="1:3" x14ac:dyDescent="0.35">
      <c r="A81" t="s">
        <v>205</v>
      </c>
      <c r="B81" t="s">
        <v>224</v>
      </c>
      <c r="C81" t="s">
        <v>377</v>
      </c>
    </row>
    <row r="82" spans="1:3" x14ac:dyDescent="0.35">
      <c r="A82" t="s">
        <v>205</v>
      </c>
      <c r="B82" t="s">
        <v>224</v>
      </c>
      <c r="C82" t="s">
        <v>378</v>
      </c>
    </row>
    <row r="83" spans="1:3" x14ac:dyDescent="0.35">
      <c r="A83" t="s">
        <v>205</v>
      </c>
      <c r="B83" t="s">
        <v>224</v>
      </c>
      <c r="C83" t="s">
        <v>379</v>
      </c>
    </row>
    <row r="84" spans="1:3" x14ac:dyDescent="0.35">
      <c r="A84" t="s">
        <v>205</v>
      </c>
      <c r="B84" t="s">
        <v>224</v>
      </c>
      <c r="C84" t="s">
        <v>380</v>
      </c>
    </row>
    <row r="85" spans="1:3" x14ac:dyDescent="0.35">
      <c r="A85" t="s">
        <v>205</v>
      </c>
      <c r="B85" t="s">
        <v>224</v>
      </c>
      <c r="C85" t="s">
        <v>381</v>
      </c>
    </row>
    <row r="86" spans="1:3" x14ac:dyDescent="0.35">
      <c r="A86" t="s">
        <v>205</v>
      </c>
      <c r="B86" t="s">
        <v>224</v>
      </c>
      <c r="C86" t="s">
        <v>382</v>
      </c>
    </row>
    <row r="87" spans="1:3" x14ac:dyDescent="0.35">
      <c r="A87" t="s">
        <v>205</v>
      </c>
      <c r="B87" t="s">
        <v>224</v>
      </c>
      <c r="C87" t="s">
        <v>383</v>
      </c>
    </row>
    <row r="88" spans="1:3" x14ac:dyDescent="0.35">
      <c r="A88" t="s">
        <v>205</v>
      </c>
      <c r="B88" t="s">
        <v>224</v>
      </c>
      <c r="C88" t="s">
        <v>384</v>
      </c>
    </row>
    <row r="89" spans="1:3" x14ac:dyDescent="0.35">
      <c r="A89" t="s">
        <v>205</v>
      </c>
      <c r="B89" t="s">
        <v>224</v>
      </c>
      <c r="C89" t="s">
        <v>385</v>
      </c>
    </row>
    <row r="90" spans="1:3" x14ac:dyDescent="0.35">
      <c r="A90" t="s">
        <v>205</v>
      </c>
      <c r="B90" t="s">
        <v>224</v>
      </c>
      <c r="C90" t="s">
        <v>386</v>
      </c>
    </row>
    <row r="91" spans="1:3" x14ac:dyDescent="0.35">
      <c r="A91" t="s">
        <v>205</v>
      </c>
      <c r="B91" t="s">
        <v>224</v>
      </c>
      <c r="C91" t="s">
        <v>387</v>
      </c>
    </row>
    <row r="92" spans="1:3" x14ac:dyDescent="0.35">
      <c r="A92" t="s">
        <v>205</v>
      </c>
      <c r="B92" t="s">
        <v>224</v>
      </c>
      <c r="C92" t="s">
        <v>388</v>
      </c>
    </row>
    <row r="93" spans="1:3" x14ac:dyDescent="0.35">
      <c r="A93" t="s">
        <v>205</v>
      </c>
      <c r="B93" t="s">
        <v>224</v>
      </c>
      <c r="C93" t="s">
        <v>389</v>
      </c>
    </row>
    <row r="94" spans="1:3" x14ac:dyDescent="0.35">
      <c r="A94" t="s">
        <v>205</v>
      </c>
      <c r="B94" t="s">
        <v>224</v>
      </c>
      <c r="C94" t="s">
        <v>390</v>
      </c>
    </row>
    <row r="95" spans="1:3" x14ac:dyDescent="0.35">
      <c r="A95" t="s">
        <v>205</v>
      </c>
      <c r="B95" t="s">
        <v>224</v>
      </c>
      <c r="C95" t="s">
        <v>391</v>
      </c>
    </row>
    <row r="96" spans="1:3" x14ac:dyDescent="0.35">
      <c r="A96" t="s">
        <v>205</v>
      </c>
      <c r="B96" t="s">
        <v>224</v>
      </c>
      <c r="C96" t="s">
        <v>392</v>
      </c>
    </row>
    <row r="97" spans="1:3" x14ac:dyDescent="0.35">
      <c r="A97" t="s">
        <v>205</v>
      </c>
      <c r="B97" t="s">
        <v>224</v>
      </c>
      <c r="C97" t="s">
        <v>393</v>
      </c>
    </row>
    <row r="98" spans="1:3" x14ac:dyDescent="0.35">
      <c r="A98" t="s">
        <v>205</v>
      </c>
      <c r="B98" t="s">
        <v>224</v>
      </c>
      <c r="C98" t="s">
        <v>394</v>
      </c>
    </row>
    <row r="99" spans="1:3" x14ac:dyDescent="0.35">
      <c r="A99" t="s">
        <v>205</v>
      </c>
      <c r="B99" t="s">
        <v>224</v>
      </c>
      <c r="C99" t="s">
        <v>395</v>
      </c>
    </row>
    <row r="100" spans="1:3" x14ac:dyDescent="0.35">
      <c r="A100" t="s">
        <v>205</v>
      </c>
      <c r="B100" t="s">
        <v>224</v>
      </c>
      <c r="C100" t="s">
        <v>396</v>
      </c>
    </row>
    <row r="101" spans="1:3" x14ac:dyDescent="0.35">
      <c r="A101" t="s">
        <v>205</v>
      </c>
      <c r="B101" t="s">
        <v>224</v>
      </c>
      <c r="C101" t="s">
        <v>397</v>
      </c>
    </row>
    <row r="102" spans="1:3" x14ac:dyDescent="0.35">
      <c r="A102" t="s">
        <v>205</v>
      </c>
      <c r="B102" t="s">
        <v>224</v>
      </c>
      <c r="C102" t="s">
        <v>398</v>
      </c>
    </row>
    <row r="103" spans="1:3" x14ac:dyDescent="0.35">
      <c r="A103" t="s">
        <v>205</v>
      </c>
      <c r="B103" t="s">
        <v>224</v>
      </c>
      <c r="C103" t="s">
        <v>399</v>
      </c>
    </row>
    <row r="104" spans="1:3" x14ac:dyDescent="0.35">
      <c r="A104" t="s">
        <v>205</v>
      </c>
      <c r="B104" t="s">
        <v>224</v>
      </c>
      <c r="C104" t="s">
        <v>400</v>
      </c>
    </row>
    <row r="105" spans="1:3" x14ac:dyDescent="0.35">
      <c r="A105" t="s">
        <v>205</v>
      </c>
      <c r="B105" t="s">
        <v>224</v>
      </c>
      <c r="C105" t="s">
        <v>401</v>
      </c>
    </row>
    <row r="106" spans="1:3" x14ac:dyDescent="0.35">
      <c r="A106" t="s">
        <v>205</v>
      </c>
      <c r="B106" t="s">
        <v>235</v>
      </c>
      <c r="C106" t="s">
        <v>402</v>
      </c>
    </row>
    <row r="107" spans="1:3" x14ac:dyDescent="0.35">
      <c r="A107" t="s">
        <v>205</v>
      </c>
      <c r="B107" t="s">
        <v>235</v>
      </c>
      <c r="C107" t="s">
        <v>403</v>
      </c>
    </row>
    <row r="108" spans="1:3" x14ac:dyDescent="0.35">
      <c r="A108" t="s">
        <v>205</v>
      </c>
      <c r="B108" t="s">
        <v>235</v>
      </c>
      <c r="C108" t="s">
        <v>404</v>
      </c>
    </row>
    <row r="109" spans="1:3" x14ac:dyDescent="0.35">
      <c r="A109" t="s">
        <v>205</v>
      </c>
      <c r="B109" t="s">
        <v>235</v>
      </c>
      <c r="C109" t="s">
        <v>405</v>
      </c>
    </row>
    <row r="110" spans="1:3" x14ac:dyDescent="0.35">
      <c r="A110" t="s">
        <v>205</v>
      </c>
      <c r="B110" t="s">
        <v>235</v>
      </c>
      <c r="C110" t="s">
        <v>406</v>
      </c>
    </row>
    <row r="111" spans="1:3" x14ac:dyDescent="0.35">
      <c r="A111" t="s">
        <v>205</v>
      </c>
      <c r="B111" t="s">
        <v>235</v>
      </c>
      <c r="C111" t="s">
        <v>407</v>
      </c>
    </row>
    <row r="112" spans="1:3" x14ac:dyDescent="0.35">
      <c r="A112" t="s">
        <v>205</v>
      </c>
      <c r="B112" t="s">
        <v>235</v>
      </c>
      <c r="C112" t="s">
        <v>408</v>
      </c>
    </row>
    <row r="113" spans="1:3" x14ac:dyDescent="0.35">
      <c r="A113" t="s">
        <v>205</v>
      </c>
      <c r="B113" t="s">
        <v>235</v>
      </c>
      <c r="C113" t="s">
        <v>409</v>
      </c>
    </row>
    <row r="114" spans="1:3" x14ac:dyDescent="0.35">
      <c r="A114" t="s">
        <v>205</v>
      </c>
      <c r="B114" t="s">
        <v>235</v>
      </c>
      <c r="C114" t="s">
        <v>410</v>
      </c>
    </row>
    <row r="115" spans="1:3" x14ac:dyDescent="0.35">
      <c r="A115" t="s">
        <v>205</v>
      </c>
      <c r="B115" t="s">
        <v>235</v>
      </c>
      <c r="C115" t="s">
        <v>411</v>
      </c>
    </row>
    <row r="116" spans="1:3" x14ac:dyDescent="0.35">
      <c r="A116" t="s">
        <v>205</v>
      </c>
      <c r="B116" t="s">
        <v>235</v>
      </c>
      <c r="C116" t="s">
        <v>412</v>
      </c>
    </row>
    <row r="117" spans="1:3" x14ac:dyDescent="0.35">
      <c r="A117" t="s">
        <v>205</v>
      </c>
      <c r="B117" t="s">
        <v>235</v>
      </c>
      <c r="C117" t="s">
        <v>413</v>
      </c>
    </row>
    <row r="118" spans="1:3" x14ac:dyDescent="0.35">
      <c r="A118" t="s">
        <v>205</v>
      </c>
      <c r="B118" t="s">
        <v>235</v>
      </c>
      <c r="C118" t="s">
        <v>414</v>
      </c>
    </row>
    <row r="119" spans="1:3" x14ac:dyDescent="0.35">
      <c r="A119" t="s">
        <v>205</v>
      </c>
      <c r="B119" t="s">
        <v>235</v>
      </c>
      <c r="C119" t="s">
        <v>415</v>
      </c>
    </row>
    <row r="120" spans="1:3" x14ac:dyDescent="0.35">
      <c r="A120" t="s">
        <v>205</v>
      </c>
      <c r="B120" t="s">
        <v>235</v>
      </c>
      <c r="C120" t="s">
        <v>416</v>
      </c>
    </row>
    <row r="121" spans="1:3" x14ac:dyDescent="0.35">
      <c r="A121" t="s">
        <v>205</v>
      </c>
      <c r="B121" t="s">
        <v>235</v>
      </c>
      <c r="C121" t="s">
        <v>417</v>
      </c>
    </row>
    <row r="122" spans="1:3" x14ac:dyDescent="0.35">
      <c r="A122" t="s">
        <v>205</v>
      </c>
      <c r="B122" t="s">
        <v>235</v>
      </c>
      <c r="C122" t="s">
        <v>418</v>
      </c>
    </row>
    <row r="123" spans="1:3" x14ac:dyDescent="0.35">
      <c r="A123" t="s">
        <v>205</v>
      </c>
      <c r="B123" t="s">
        <v>235</v>
      </c>
      <c r="C123" t="s">
        <v>419</v>
      </c>
    </row>
    <row r="124" spans="1:3" x14ac:dyDescent="0.35">
      <c r="A124" t="s">
        <v>205</v>
      </c>
      <c r="B124" t="s">
        <v>235</v>
      </c>
      <c r="C124" t="s">
        <v>420</v>
      </c>
    </row>
    <row r="125" spans="1:3" x14ac:dyDescent="0.35">
      <c r="A125" t="s">
        <v>205</v>
      </c>
      <c r="B125" t="s">
        <v>235</v>
      </c>
      <c r="C125" t="s">
        <v>421</v>
      </c>
    </row>
    <row r="126" spans="1:3" x14ac:dyDescent="0.35">
      <c r="A126" t="s">
        <v>205</v>
      </c>
      <c r="B126" t="s">
        <v>235</v>
      </c>
      <c r="C126" t="s">
        <v>422</v>
      </c>
    </row>
    <row r="127" spans="1:3" x14ac:dyDescent="0.35">
      <c r="A127" t="s">
        <v>205</v>
      </c>
      <c r="B127" t="s">
        <v>235</v>
      </c>
      <c r="C127" t="s">
        <v>423</v>
      </c>
    </row>
    <row r="128" spans="1:3" x14ac:dyDescent="0.35">
      <c r="A128" t="s">
        <v>205</v>
      </c>
      <c r="B128" t="s">
        <v>235</v>
      </c>
      <c r="C128" t="s">
        <v>424</v>
      </c>
    </row>
    <row r="129" spans="1:3" x14ac:dyDescent="0.35">
      <c r="A129" t="s">
        <v>205</v>
      </c>
      <c r="B129" t="s">
        <v>235</v>
      </c>
      <c r="C129" t="s">
        <v>425</v>
      </c>
    </row>
    <row r="130" spans="1:3" x14ac:dyDescent="0.35">
      <c r="A130" t="s">
        <v>205</v>
      </c>
      <c r="B130" t="s">
        <v>235</v>
      </c>
      <c r="C130" t="s">
        <v>426</v>
      </c>
    </row>
    <row r="131" spans="1:3" x14ac:dyDescent="0.35">
      <c r="A131" t="s">
        <v>205</v>
      </c>
      <c r="B131" t="s">
        <v>235</v>
      </c>
      <c r="C131" t="s">
        <v>427</v>
      </c>
    </row>
    <row r="132" spans="1:3" x14ac:dyDescent="0.35">
      <c r="A132" t="s">
        <v>205</v>
      </c>
      <c r="B132" t="s">
        <v>235</v>
      </c>
      <c r="C132" t="s">
        <v>428</v>
      </c>
    </row>
    <row r="133" spans="1:3" x14ac:dyDescent="0.35">
      <c r="A133" t="s">
        <v>205</v>
      </c>
      <c r="B133" t="s">
        <v>235</v>
      </c>
      <c r="C133" t="s">
        <v>429</v>
      </c>
    </row>
    <row r="134" spans="1:3" x14ac:dyDescent="0.35">
      <c r="A134" t="s">
        <v>205</v>
      </c>
      <c r="B134" t="s">
        <v>235</v>
      </c>
      <c r="C134" t="s">
        <v>430</v>
      </c>
    </row>
    <row r="135" spans="1:3" x14ac:dyDescent="0.35">
      <c r="A135" t="s">
        <v>205</v>
      </c>
      <c r="B135" t="s">
        <v>235</v>
      </c>
      <c r="C135" t="s">
        <v>431</v>
      </c>
    </row>
    <row r="136" spans="1:3" x14ac:dyDescent="0.35">
      <c r="A136" t="s">
        <v>205</v>
      </c>
      <c r="B136" t="s">
        <v>235</v>
      </c>
      <c r="C136" t="s">
        <v>432</v>
      </c>
    </row>
    <row r="137" spans="1:3" x14ac:dyDescent="0.35">
      <c r="A137" t="s">
        <v>205</v>
      </c>
      <c r="B137" t="s">
        <v>235</v>
      </c>
      <c r="C137" t="s">
        <v>433</v>
      </c>
    </row>
    <row r="138" spans="1:3" x14ac:dyDescent="0.35">
      <c r="A138" t="s">
        <v>205</v>
      </c>
      <c r="B138" t="s">
        <v>235</v>
      </c>
      <c r="C138" t="s">
        <v>434</v>
      </c>
    </row>
    <row r="139" spans="1:3" x14ac:dyDescent="0.35">
      <c r="A139" t="s">
        <v>205</v>
      </c>
      <c r="B139" t="s">
        <v>235</v>
      </c>
      <c r="C139" t="s">
        <v>435</v>
      </c>
    </row>
    <row r="140" spans="1:3" x14ac:dyDescent="0.35">
      <c r="A140" t="s">
        <v>205</v>
      </c>
      <c r="B140" t="s">
        <v>235</v>
      </c>
      <c r="C140" t="s">
        <v>436</v>
      </c>
    </row>
    <row r="141" spans="1:3" x14ac:dyDescent="0.35">
      <c r="A141" t="s">
        <v>205</v>
      </c>
      <c r="B141" t="s">
        <v>235</v>
      </c>
      <c r="C141" t="s">
        <v>437</v>
      </c>
    </row>
    <row r="142" spans="1:3" x14ac:dyDescent="0.35">
      <c r="A142" t="s">
        <v>205</v>
      </c>
      <c r="B142" t="s">
        <v>235</v>
      </c>
      <c r="C142" t="s">
        <v>438</v>
      </c>
    </row>
    <row r="143" spans="1:3" x14ac:dyDescent="0.35">
      <c r="A143" t="s">
        <v>205</v>
      </c>
      <c r="B143" t="s">
        <v>235</v>
      </c>
      <c r="C143" t="s">
        <v>439</v>
      </c>
    </row>
    <row r="144" spans="1:3" x14ac:dyDescent="0.35">
      <c r="A144" t="s">
        <v>205</v>
      </c>
      <c r="B144" t="s">
        <v>235</v>
      </c>
      <c r="C144" t="s">
        <v>440</v>
      </c>
    </row>
    <row r="145" spans="1:3" x14ac:dyDescent="0.35">
      <c r="A145" t="s">
        <v>205</v>
      </c>
      <c r="B145" t="s">
        <v>235</v>
      </c>
      <c r="C145" t="s">
        <v>441</v>
      </c>
    </row>
    <row r="146" spans="1:3" x14ac:dyDescent="0.35">
      <c r="A146" t="s">
        <v>205</v>
      </c>
      <c r="B146" t="s">
        <v>235</v>
      </c>
      <c r="C146" t="s">
        <v>442</v>
      </c>
    </row>
    <row r="147" spans="1:3" x14ac:dyDescent="0.35">
      <c r="A147" t="s">
        <v>205</v>
      </c>
      <c r="B147" t="s">
        <v>235</v>
      </c>
      <c r="C147" t="s">
        <v>443</v>
      </c>
    </row>
    <row r="148" spans="1:3" x14ac:dyDescent="0.35">
      <c r="A148" t="s">
        <v>205</v>
      </c>
      <c r="B148" t="s">
        <v>235</v>
      </c>
      <c r="C148" t="s">
        <v>444</v>
      </c>
    </row>
    <row r="149" spans="1:3" x14ac:dyDescent="0.35">
      <c r="A149" t="s">
        <v>205</v>
      </c>
      <c r="B149" t="s">
        <v>235</v>
      </c>
      <c r="C149" t="s">
        <v>445</v>
      </c>
    </row>
    <row r="150" spans="1:3" x14ac:dyDescent="0.35">
      <c r="A150" t="s">
        <v>205</v>
      </c>
      <c r="B150" t="s">
        <v>235</v>
      </c>
      <c r="C150" t="s">
        <v>446</v>
      </c>
    </row>
    <row r="151" spans="1:3" x14ac:dyDescent="0.35">
      <c r="A151" t="s">
        <v>205</v>
      </c>
      <c r="B151" t="s">
        <v>235</v>
      </c>
      <c r="C151" t="s">
        <v>447</v>
      </c>
    </row>
    <row r="152" spans="1:3" x14ac:dyDescent="0.35">
      <c r="A152" t="s">
        <v>205</v>
      </c>
      <c r="B152" t="s">
        <v>235</v>
      </c>
      <c r="C152" t="s">
        <v>448</v>
      </c>
    </row>
    <row r="153" spans="1:3" x14ac:dyDescent="0.35">
      <c r="A153" t="s">
        <v>205</v>
      </c>
      <c r="B153" t="s">
        <v>235</v>
      </c>
      <c r="C153" t="s">
        <v>449</v>
      </c>
    </row>
    <row r="154" spans="1:3" x14ac:dyDescent="0.35">
      <c r="A154" t="s">
        <v>205</v>
      </c>
      <c r="B154" t="s">
        <v>235</v>
      </c>
      <c r="C154" t="s">
        <v>235</v>
      </c>
    </row>
    <row r="155" spans="1:3" x14ac:dyDescent="0.35">
      <c r="A155" t="s">
        <v>205</v>
      </c>
      <c r="B155" t="s">
        <v>235</v>
      </c>
      <c r="C155" t="s">
        <v>450</v>
      </c>
    </row>
    <row r="156" spans="1:3" x14ac:dyDescent="0.35">
      <c r="A156" t="s">
        <v>205</v>
      </c>
      <c r="B156" t="s">
        <v>235</v>
      </c>
      <c r="C156" t="s">
        <v>451</v>
      </c>
    </row>
    <row r="157" spans="1:3" x14ac:dyDescent="0.35">
      <c r="A157" t="s">
        <v>205</v>
      </c>
      <c r="B157" t="s">
        <v>235</v>
      </c>
      <c r="C157" t="s">
        <v>452</v>
      </c>
    </row>
    <row r="158" spans="1:3" x14ac:dyDescent="0.35">
      <c r="A158" t="s">
        <v>205</v>
      </c>
      <c r="B158" t="s">
        <v>235</v>
      </c>
      <c r="C158" t="s">
        <v>453</v>
      </c>
    </row>
    <row r="159" spans="1:3" x14ac:dyDescent="0.35">
      <c r="A159" t="s">
        <v>205</v>
      </c>
      <c r="B159" t="s">
        <v>235</v>
      </c>
      <c r="C159" t="s">
        <v>454</v>
      </c>
    </row>
    <row r="160" spans="1:3" x14ac:dyDescent="0.35">
      <c r="A160" t="s">
        <v>205</v>
      </c>
      <c r="B160" t="s">
        <v>235</v>
      </c>
      <c r="C160" t="s">
        <v>455</v>
      </c>
    </row>
    <row r="161" spans="1:3" x14ac:dyDescent="0.35">
      <c r="A161" t="s">
        <v>205</v>
      </c>
      <c r="B161" t="s">
        <v>235</v>
      </c>
      <c r="C161" t="s">
        <v>456</v>
      </c>
    </row>
    <row r="162" spans="1:3" x14ac:dyDescent="0.35">
      <c r="A162" t="s">
        <v>205</v>
      </c>
      <c r="B162" t="s">
        <v>235</v>
      </c>
      <c r="C162" t="s">
        <v>457</v>
      </c>
    </row>
    <row r="163" spans="1:3" x14ac:dyDescent="0.35">
      <c r="A163" t="s">
        <v>205</v>
      </c>
      <c r="B163" t="s">
        <v>235</v>
      </c>
      <c r="C163" t="s">
        <v>458</v>
      </c>
    </row>
    <row r="164" spans="1:3" x14ac:dyDescent="0.35">
      <c r="A164" t="s">
        <v>205</v>
      </c>
      <c r="B164" t="s">
        <v>235</v>
      </c>
      <c r="C164" t="s">
        <v>459</v>
      </c>
    </row>
    <row r="165" spans="1:3" x14ac:dyDescent="0.35">
      <c r="A165" t="s">
        <v>205</v>
      </c>
      <c r="B165" t="s">
        <v>235</v>
      </c>
      <c r="C165" t="s">
        <v>460</v>
      </c>
    </row>
    <row r="166" spans="1:3" x14ac:dyDescent="0.35">
      <c r="A166" t="s">
        <v>205</v>
      </c>
      <c r="B166" t="s">
        <v>235</v>
      </c>
      <c r="C166" t="s">
        <v>461</v>
      </c>
    </row>
    <row r="167" spans="1:3" x14ac:dyDescent="0.35">
      <c r="A167" t="s">
        <v>205</v>
      </c>
      <c r="B167" t="s">
        <v>235</v>
      </c>
      <c r="C167" t="s">
        <v>462</v>
      </c>
    </row>
    <row r="168" spans="1:3" x14ac:dyDescent="0.35">
      <c r="A168" t="s">
        <v>205</v>
      </c>
      <c r="B168" t="s">
        <v>235</v>
      </c>
      <c r="C168" t="s">
        <v>463</v>
      </c>
    </row>
    <row r="169" spans="1:3" x14ac:dyDescent="0.35">
      <c r="A169" t="s">
        <v>205</v>
      </c>
      <c r="B169" t="s">
        <v>235</v>
      </c>
      <c r="C169" t="s">
        <v>464</v>
      </c>
    </row>
    <row r="170" spans="1:3" x14ac:dyDescent="0.35">
      <c r="A170" t="s">
        <v>205</v>
      </c>
      <c r="B170" t="s">
        <v>235</v>
      </c>
      <c r="C170" t="s">
        <v>465</v>
      </c>
    </row>
    <row r="171" spans="1:3" x14ac:dyDescent="0.35">
      <c r="A171" t="s">
        <v>205</v>
      </c>
      <c r="B171" t="s">
        <v>235</v>
      </c>
      <c r="C171" t="s">
        <v>466</v>
      </c>
    </row>
    <row r="172" spans="1:3" x14ac:dyDescent="0.35">
      <c r="A172" t="s">
        <v>205</v>
      </c>
      <c r="B172" t="s">
        <v>235</v>
      </c>
      <c r="C172" t="s">
        <v>467</v>
      </c>
    </row>
    <row r="173" spans="1:3" x14ac:dyDescent="0.35">
      <c r="A173" t="s">
        <v>205</v>
      </c>
      <c r="B173" t="s">
        <v>235</v>
      </c>
      <c r="C173" t="s">
        <v>468</v>
      </c>
    </row>
    <row r="174" spans="1:3" x14ac:dyDescent="0.35">
      <c r="A174" t="s">
        <v>205</v>
      </c>
      <c r="B174" t="s">
        <v>235</v>
      </c>
      <c r="C174" t="s">
        <v>469</v>
      </c>
    </row>
    <row r="175" spans="1:3" x14ac:dyDescent="0.35">
      <c r="A175" t="s">
        <v>205</v>
      </c>
      <c r="B175" t="s">
        <v>235</v>
      </c>
      <c r="C175" t="s">
        <v>470</v>
      </c>
    </row>
    <row r="176" spans="1:3" x14ac:dyDescent="0.35">
      <c r="A176" t="s">
        <v>205</v>
      </c>
      <c r="B176" t="s">
        <v>235</v>
      </c>
      <c r="C176" t="s">
        <v>471</v>
      </c>
    </row>
    <row r="177" spans="1:3" x14ac:dyDescent="0.35">
      <c r="A177" t="s">
        <v>205</v>
      </c>
      <c r="B177" t="s">
        <v>235</v>
      </c>
      <c r="C177" t="s">
        <v>472</v>
      </c>
    </row>
    <row r="178" spans="1:3" x14ac:dyDescent="0.35">
      <c r="A178" t="s">
        <v>205</v>
      </c>
      <c r="B178" t="s">
        <v>235</v>
      </c>
      <c r="C178" t="s">
        <v>473</v>
      </c>
    </row>
    <row r="179" spans="1:3" x14ac:dyDescent="0.35">
      <c r="A179" t="s">
        <v>205</v>
      </c>
      <c r="B179" t="s">
        <v>235</v>
      </c>
      <c r="C179" t="s">
        <v>474</v>
      </c>
    </row>
    <row r="180" spans="1:3" x14ac:dyDescent="0.35">
      <c r="A180" t="s">
        <v>205</v>
      </c>
      <c r="B180" t="s">
        <v>235</v>
      </c>
      <c r="C180" t="s">
        <v>475</v>
      </c>
    </row>
    <row r="181" spans="1:3" x14ac:dyDescent="0.35">
      <c r="A181" t="s">
        <v>205</v>
      </c>
      <c r="B181" t="s">
        <v>235</v>
      </c>
      <c r="C181" t="s">
        <v>476</v>
      </c>
    </row>
    <row r="182" spans="1:3" x14ac:dyDescent="0.35">
      <c r="A182" t="s">
        <v>205</v>
      </c>
      <c r="B182" t="s">
        <v>235</v>
      </c>
      <c r="C182" t="s">
        <v>477</v>
      </c>
    </row>
    <row r="183" spans="1:3" x14ac:dyDescent="0.35">
      <c r="A183" t="s">
        <v>205</v>
      </c>
      <c r="B183" t="s">
        <v>235</v>
      </c>
      <c r="C183" t="s">
        <v>478</v>
      </c>
    </row>
    <row r="184" spans="1:3" x14ac:dyDescent="0.35">
      <c r="A184" t="s">
        <v>205</v>
      </c>
      <c r="B184" t="s">
        <v>235</v>
      </c>
      <c r="C184" t="s">
        <v>479</v>
      </c>
    </row>
    <row r="185" spans="1:3" x14ac:dyDescent="0.35">
      <c r="A185" t="s">
        <v>205</v>
      </c>
      <c r="B185" t="s">
        <v>235</v>
      </c>
      <c r="C185" t="s">
        <v>480</v>
      </c>
    </row>
    <row r="186" spans="1:3" x14ac:dyDescent="0.35">
      <c r="A186" t="s">
        <v>205</v>
      </c>
      <c r="B186" t="s">
        <v>235</v>
      </c>
      <c r="C186" t="s">
        <v>481</v>
      </c>
    </row>
    <row r="187" spans="1:3" x14ac:dyDescent="0.35">
      <c r="A187" t="s">
        <v>205</v>
      </c>
      <c r="B187" t="s">
        <v>235</v>
      </c>
      <c r="C187" t="s">
        <v>482</v>
      </c>
    </row>
    <row r="188" spans="1:3" x14ac:dyDescent="0.35">
      <c r="A188" t="s">
        <v>205</v>
      </c>
      <c r="B188" t="s">
        <v>235</v>
      </c>
      <c r="C188" t="s">
        <v>483</v>
      </c>
    </row>
    <row r="189" spans="1:3" x14ac:dyDescent="0.35">
      <c r="A189" t="s">
        <v>205</v>
      </c>
      <c r="B189" t="s">
        <v>235</v>
      </c>
      <c r="C189" t="s">
        <v>484</v>
      </c>
    </row>
    <row r="190" spans="1:3" x14ac:dyDescent="0.35">
      <c r="A190" t="s">
        <v>205</v>
      </c>
      <c r="B190" t="s">
        <v>235</v>
      </c>
      <c r="C190" t="s">
        <v>485</v>
      </c>
    </row>
    <row r="191" spans="1:3" x14ac:dyDescent="0.35">
      <c r="A191" t="s">
        <v>205</v>
      </c>
      <c r="B191" t="s">
        <v>235</v>
      </c>
      <c r="C191" t="s">
        <v>486</v>
      </c>
    </row>
    <row r="192" spans="1:3" x14ac:dyDescent="0.35">
      <c r="A192" t="s">
        <v>205</v>
      </c>
      <c r="B192" t="s">
        <v>235</v>
      </c>
      <c r="C192" t="s">
        <v>487</v>
      </c>
    </row>
    <row r="193" spans="1:3" x14ac:dyDescent="0.35">
      <c r="A193" t="s">
        <v>205</v>
      </c>
      <c r="B193" t="s">
        <v>235</v>
      </c>
      <c r="C193" t="s">
        <v>488</v>
      </c>
    </row>
    <row r="194" spans="1:3" x14ac:dyDescent="0.35">
      <c r="A194" t="s">
        <v>205</v>
      </c>
      <c r="B194" t="s">
        <v>235</v>
      </c>
      <c r="C194" t="s">
        <v>489</v>
      </c>
    </row>
    <row r="195" spans="1:3" x14ac:dyDescent="0.35">
      <c r="A195" t="s">
        <v>205</v>
      </c>
      <c r="B195" t="s">
        <v>235</v>
      </c>
      <c r="C195" t="s">
        <v>490</v>
      </c>
    </row>
    <row r="196" spans="1:3" x14ac:dyDescent="0.35">
      <c r="A196" t="s">
        <v>205</v>
      </c>
      <c r="B196" t="s">
        <v>235</v>
      </c>
      <c r="C196" t="s">
        <v>491</v>
      </c>
    </row>
    <row r="197" spans="1:3" x14ac:dyDescent="0.35">
      <c r="A197" t="s">
        <v>205</v>
      </c>
      <c r="B197" t="s">
        <v>235</v>
      </c>
      <c r="C197" t="s">
        <v>492</v>
      </c>
    </row>
    <row r="198" spans="1:3" x14ac:dyDescent="0.35">
      <c r="A198" t="s">
        <v>205</v>
      </c>
      <c r="B198" t="s">
        <v>235</v>
      </c>
      <c r="C198" t="s">
        <v>493</v>
      </c>
    </row>
    <row r="199" spans="1:3" x14ac:dyDescent="0.35">
      <c r="A199" t="s">
        <v>205</v>
      </c>
      <c r="B199" t="s">
        <v>235</v>
      </c>
      <c r="C199" t="s">
        <v>494</v>
      </c>
    </row>
    <row r="200" spans="1:3" x14ac:dyDescent="0.35">
      <c r="A200" t="s">
        <v>205</v>
      </c>
      <c r="B200" t="s">
        <v>235</v>
      </c>
      <c r="C200" t="s">
        <v>495</v>
      </c>
    </row>
    <row r="201" spans="1:3" x14ac:dyDescent="0.35">
      <c r="A201" t="s">
        <v>205</v>
      </c>
      <c r="B201" t="s">
        <v>235</v>
      </c>
      <c r="C201" t="s">
        <v>496</v>
      </c>
    </row>
    <row r="202" spans="1:3" x14ac:dyDescent="0.35">
      <c r="A202" t="s">
        <v>205</v>
      </c>
      <c r="B202" t="s">
        <v>235</v>
      </c>
      <c r="C202" t="s">
        <v>497</v>
      </c>
    </row>
    <row r="203" spans="1:3" x14ac:dyDescent="0.35">
      <c r="A203" t="s">
        <v>205</v>
      </c>
      <c r="B203" t="s">
        <v>235</v>
      </c>
      <c r="C203" t="s">
        <v>498</v>
      </c>
    </row>
    <row r="204" spans="1:3" x14ac:dyDescent="0.35">
      <c r="A204" t="s">
        <v>205</v>
      </c>
      <c r="B204" t="s">
        <v>235</v>
      </c>
      <c r="C204" t="s">
        <v>499</v>
      </c>
    </row>
    <row r="205" spans="1:3" x14ac:dyDescent="0.35">
      <c r="A205" t="s">
        <v>205</v>
      </c>
      <c r="B205" t="s">
        <v>235</v>
      </c>
      <c r="C205" t="s">
        <v>500</v>
      </c>
    </row>
    <row r="206" spans="1:3" x14ac:dyDescent="0.35">
      <c r="A206" t="s">
        <v>205</v>
      </c>
      <c r="B206" t="s">
        <v>235</v>
      </c>
      <c r="C206" t="s">
        <v>501</v>
      </c>
    </row>
    <row r="207" spans="1:3" x14ac:dyDescent="0.35">
      <c r="A207" t="s">
        <v>205</v>
      </c>
      <c r="B207" t="s">
        <v>235</v>
      </c>
      <c r="C207" t="s">
        <v>502</v>
      </c>
    </row>
    <row r="208" spans="1:3" x14ac:dyDescent="0.35">
      <c r="A208" t="s">
        <v>205</v>
      </c>
      <c r="B208" t="s">
        <v>235</v>
      </c>
      <c r="C208" t="s">
        <v>503</v>
      </c>
    </row>
    <row r="209" spans="1:3" x14ac:dyDescent="0.35">
      <c r="A209" t="s">
        <v>205</v>
      </c>
      <c r="B209" t="s">
        <v>235</v>
      </c>
      <c r="C209" t="s">
        <v>504</v>
      </c>
    </row>
    <row r="210" spans="1:3" x14ac:dyDescent="0.35">
      <c r="A210" t="s">
        <v>205</v>
      </c>
      <c r="B210" t="s">
        <v>235</v>
      </c>
      <c r="C210" t="s">
        <v>505</v>
      </c>
    </row>
    <row r="211" spans="1:3" x14ac:dyDescent="0.35">
      <c r="A211" t="s">
        <v>205</v>
      </c>
      <c r="B211" t="s">
        <v>235</v>
      </c>
      <c r="C211" t="s">
        <v>506</v>
      </c>
    </row>
    <row r="212" spans="1:3" x14ac:dyDescent="0.35">
      <c r="A212" t="s">
        <v>205</v>
      </c>
      <c r="B212" t="s">
        <v>235</v>
      </c>
      <c r="C212" t="s">
        <v>507</v>
      </c>
    </row>
    <row r="213" spans="1:3" x14ac:dyDescent="0.35">
      <c r="A213" t="s">
        <v>205</v>
      </c>
      <c r="B213" t="s">
        <v>235</v>
      </c>
      <c r="C213" t="s">
        <v>508</v>
      </c>
    </row>
    <row r="214" spans="1:3" x14ac:dyDescent="0.35">
      <c r="A214" t="s">
        <v>205</v>
      </c>
      <c r="B214" t="s">
        <v>249</v>
      </c>
      <c r="C214" t="s">
        <v>509</v>
      </c>
    </row>
    <row r="215" spans="1:3" x14ac:dyDescent="0.35">
      <c r="A215" t="s">
        <v>205</v>
      </c>
      <c r="B215" t="s">
        <v>249</v>
      </c>
      <c r="C215" t="s">
        <v>510</v>
      </c>
    </row>
    <row r="216" spans="1:3" x14ac:dyDescent="0.35">
      <c r="A216" t="s">
        <v>205</v>
      </c>
      <c r="B216" t="s">
        <v>249</v>
      </c>
      <c r="C216" t="s">
        <v>511</v>
      </c>
    </row>
    <row r="217" spans="1:3" x14ac:dyDescent="0.35">
      <c r="A217" t="s">
        <v>205</v>
      </c>
      <c r="B217" t="s">
        <v>249</v>
      </c>
      <c r="C217" t="s">
        <v>512</v>
      </c>
    </row>
    <row r="218" spans="1:3" x14ac:dyDescent="0.35">
      <c r="A218" t="s">
        <v>205</v>
      </c>
      <c r="B218" t="s">
        <v>249</v>
      </c>
      <c r="C218" t="s">
        <v>513</v>
      </c>
    </row>
    <row r="219" spans="1:3" x14ac:dyDescent="0.35">
      <c r="A219" t="s">
        <v>205</v>
      </c>
      <c r="B219" t="s">
        <v>249</v>
      </c>
      <c r="C219" t="s">
        <v>514</v>
      </c>
    </row>
    <row r="220" spans="1:3" x14ac:dyDescent="0.35">
      <c r="A220" t="s">
        <v>205</v>
      </c>
      <c r="B220" t="s">
        <v>249</v>
      </c>
      <c r="C220" t="s">
        <v>515</v>
      </c>
    </row>
    <row r="221" spans="1:3" x14ac:dyDescent="0.35">
      <c r="A221" t="s">
        <v>205</v>
      </c>
      <c r="B221" t="s">
        <v>249</v>
      </c>
      <c r="C221" t="s">
        <v>516</v>
      </c>
    </row>
    <row r="222" spans="1:3" x14ac:dyDescent="0.35">
      <c r="A222" t="s">
        <v>205</v>
      </c>
      <c r="B222" t="s">
        <v>249</v>
      </c>
      <c r="C222" t="s">
        <v>517</v>
      </c>
    </row>
    <row r="223" spans="1:3" x14ac:dyDescent="0.35">
      <c r="A223" t="s">
        <v>205</v>
      </c>
      <c r="B223" t="s">
        <v>249</v>
      </c>
      <c r="C223" t="s">
        <v>518</v>
      </c>
    </row>
    <row r="224" spans="1:3" x14ac:dyDescent="0.35">
      <c r="A224" t="s">
        <v>205</v>
      </c>
      <c r="B224" t="s">
        <v>249</v>
      </c>
      <c r="C224" t="s">
        <v>519</v>
      </c>
    </row>
    <row r="225" spans="1:3" x14ac:dyDescent="0.35">
      <c r="A225" t="s">
        <v>205</v>
      </c>
      <c r="B225" t="s">
        <v>249</v>
      </c>
      <c r="C225" t="s">
        <v>520</v>
      </c>
    </row>
    <row r="226" spans="1:3" x14ac:dyDescent="0.35">
      <c r="A226" t="s">
        <v>205</v>
      </c>
      <c r="B226" t="s">
        <v>249</v>
      </c>
      <c r="C226" t="s">
        <v>521</v>
      </c>
    </row>
    <row r="227" spans="1:3" x14ac:dyDescent="0.35">
      <c r="A227" t="s">
        <v>205</v>
      </c>
      <c r="B227" t="s">
        <v>249</v>
      </c>
      <c r="C227" t="s">
        <v>522</v>
      </c>
    </row>
    <row r="228" spans="1:3" x14ac:dyDescent="0.35">
      <c r="A228" t="s">
        <v>205</v>
      </c>
      <c r="B228" t="s">
        <v>249</v>
      </c>
      <c r="C228" t="s">
        <v>523</v>
      </c>
    </row>
    <row r="229" spans="1:3" x14ac:dyDescent="0.35">
      <c r="A229" t="s">
        <v>205</v>
      </c>
      <c r="B229" t="s">
        <v>249</v>
      </c>
      <c r="C229" t="s">
        <v>524</v>
      </c>
    </row>
    <row r="230" spans="1:3" x14ac:dyDescent="0.35">
      <c r="A230" t="s">
        <v>205</v>
      </c>
      <c r="B230" t="s">
        <v>249</v>
      </c>
      <c r="C230" t="s">
        <v>525</v>
      </c>
    </row>
    <row r="231" spans="1:3" x14ac:dyDescent="0.35">
      <c r="A231" t="s">
        <v>205</v>
      </c>
      <c r="B231" t="s">
        <v>249</v>
      </c>
      <c r="C231" t="s">
        <v>526</v>
      </c>
    </row>
    <row r="232" spans="1:3" x14ac:dyDescent="0.35">
      <c r="A232" t="s">
        <v>205</v>
      </c>
      <c r="B232" t="s">
        <v>249</v>
      </c>
      <c r="C232" t="s">
        <v>527</v>
      </c>
    </row>
    <row r="233" spans="1:3" x14ac:dyDescent="0.35">
      <c r="A233" t="s">
        <v>205</v>
      </c>
      <c r="B233" t="s">
        <v>249</v>
      </c>
      <c r="C233" t="s">
        <v>528</v>
      </c>
    </row>
    <row r="234" spans="1:3" x14ac:dyDescent="0.35">
      <c r="A234" t="s">
        <v>205</v>
      </c>
      <c r="B234" t="s">
        <v>249</v>
      </c>
      <c r="C234" t="s">
        <v>529</v>
      </c>
    </row>
    <row r="235" spans="1:3" x14ac:dyDescent="0.35">
      <c r="A235" t="s">
        <v>205</v>
      </c>
      <c r="B235" t="s">
        <v>249</v>
      </c>
      <c r="C235" t="s">
        <v>530</v>
      </c>
    </row>
    <row r="236" spans="1:3" x14ac:dyDescent="0.35">
      <c r="A236" t="s">
        <v>205</v>
      </c>
      <c r="B236" t="s">
        <v>249</v>
      </c>
      <c r="C236" t="s">
        <v>531</v>
      </c>
    </row>
    <row r="237" spans="1:3" x14ac:dyDescent="0.35">
      <c r="A237" t="s">
        <v>205</v>
      </c>
      <c r="B237" t="s">
        <v>249</v>
      </c>
      <c r="C237" t="s">
        <v>532</v>
      </c>
    </row>
    <row r="238" spans="1:3" x14ac:dyDescent="0.35">
      <c r="A238" t="s">
        <v>205</v>
      </c>
      <c r="B238" t="s">
        <v>249</v>
      </c>
      <c r="C238" t="s">
        <v>533</v>
      </c>
    </row>
    <row r="239" spans="1:3" x14ac:dyDescent="0.35">
      <c r="A239" t="s">
        <v>205</v>
      </c>
      <c r="B239" t="s">
        <v>249</v>
      </c>
      <c r="C239" t="s">
        <v>534</v>
      </c>
    </row>
    <row r="240" spans="1:3" x14ac:dyDescent="0.35">
      <c r="A240" t="s">
        <v>205</v>
      </c>
      <c r="B240" t="s">
        <v>249</v>
      </c>
      <c r="C240" t="s">
        <v>535</v>
      </c>
    </row>
    <row r="241" spans="1:3" x14ac:dyDescent="0.35">
      <c r="A241" t="s">
        <v>205</v>
      </c>
      <c r="B241" t="s">
        <v>249</v>
      </c>
      <c r="C241" t="s">
        <v>249</v>
      </c>
    </row>
    <row r="242" spans="1:3" x14ac:dyDescent="0.35">
      <c r="A242" t="s">
        <v>205</v>
      </c>
      <c r="B242" t="s">
        <v>249</v>
      </c>
      <c r="C242" t="s">
        <v>536</v>
      </c>
    </row>
    <row r="243" spans="1:3" x14ac:dyDescent="0.35">
      <c r="A243" t="s">
        <v>205</v>
      </c>
      <c r="B243" t="s">
        <v>249</v>
      </c>
      <c r="C243" t="s">
        <v>537</v>
      </c>
    </row>
    <row r="244" spans="1:3" x14ac:dyDescent="0.35">
      <c r="A244" t="s">
        <v>205</v>
      </c>
      <c r="B244" t="s">
        <v>249</v>
      </c>
      <c r="C244" t="s">
        <v>538</v>
      </c>
    </row>
    <row r="245" spans="1:3" x14ac:dyDescent="0.35">
      <c r="A245" t="s">
        <v>205</v>
      </c>
      <c r="B245" t="s">
        <v>249</v>
      </c>
      <c r="C245" t="s">
        <v>539</v>
      </c>
    </row>
    <row r="246" spans="1:3" x14ac:dyDescent="0.35">
      <c r="A246" t="s">
        <v>205</v>
      </c>
      <c r="B246" t="s">
        <v>249</v>
      </c>
      <c r="C246" t="s">
        <v>540</v>
      </c>
    </row>
    <row r="247" spans="1:3" x14ac:dyDescent="0.35">
      <c r="A247" t="s">
        <v>205</v>
      </c>
      <c r="B247" t="s">
        <v>249</v>
      </c>
      <c r="C247" t="s">
        <v>541</v>
      </c>
    </row>
    <row r="248" spans="1:3" x14ac:dyDescent="0.35">
      <c r="A248" t="s">
        <v>205</v>
      </c>
      <c r="B248" t="s">
        <v>249</v>
      </c>
      <c r="C248" t="s">
        <v>542</v>
      </c>
    </row>
    <row r="249" spans="1:3" x14ac:dyDescent="0.35">
      <c r="A249" t="s">
        <v>205</v>
      </c>
      <c r="B249" t="s">
        <v>249</v>
      </c>
      <c r="C249" t="s">
        <v>543</v>
      </c>
    </row>
    <row r="250" spans="1:3" x14ac:dyDescent="0.35">
      <c r="A250" t="s">
        <v>205</v>
      </c>
      <c r="B250" t="s">
        <v>249</v>
      </c>
      <c r="C250" t="s">
        <v>544</v>
      </c>
    </row>
    <row r="251" spans="1:3" x14ac:dyDescent="0.35">
      <c r="A251" t="s">
        <v>205</v>
      </c>
      <c r="B251" t="s">
        <v>249</v>
      </c>
      <c r="C251" t="s">
        <v>545</v>
      </c>
    </row>
    <row r="252" spans="1:3" x14ac:dyDescent="0.35">
      <c r="A252" t="s">
        <v>205</v>
      </c>
      <c r="B252" t="s">
        <v>249</v>
      </c>
      <c r="C252" t="s">
        <v>546</v>
      </c>
    </row>
    <row r="253" spans="1:3" x14ac:dyDescent="0.35">
      <c r="A253" t="s">
        <v>205</v>
      </c>
      <c r="B253" t="s">
        <v>249</v>
      </c>
      <c r="C253" t="s">
        <v>547</v>
      </c>
    </row>
    <row r="254" spans="1:3" x14ac:dyDescent="0.35">
      <c r="A254" t="s">
        <v>205</v>
      </c>
      <c r="B254" t="s">
        <v>249</v>
      </c>
      <c r="C254" t="s">
        <v>548</v>
      </c>
    </row>
    <row r="255" spans="1:3" x14ac:dyDescent="0.35">
      <c r="A255" t="s">
        <v>205</v>
      </c>
      <c r="B255" t="s">
        <v>249</v>
      </c>
      <c r="C255" t="s">
        <v>549</v>
      </c>
    </row>
    <row r="256" spans="1:3" x14ac:dyDescent="0.35">
      <c r="A256" t="s">
        <v>205</v>
      </c>
      <c r="B256" t="s">
        <v>249</v>
      </c>
      <c r="C256" t="s">
        <v>550</v>
      </c>
    </row>
    <row r="257" spans="1:3" x14ac:dyDescent="0.35">
      <c r="A257" t="s">
        <v>205</v>
      </c>
      <c r="B257" t="s">
        <v>249</v>
      </c>
      <c r="C257" t="s">
        <v>551</v>
      </c>
    </row>
    <row r="258" spans="1:3" x14ac:dyDescent="0.35">
      <c r="A258" t="s">
        <v>205</v>
      </c>
      <c r="B258" t="s">
        <v>249</v>
      </c>
      <c r="C258" t="s">
        <v>552</v>
      </c>
    </row>
    <row r="259" spans="1:3" x14ac:dyDescent="0.35">
      <c r="A259" t="s">
        <v>205</v>
      </c>
      <c r="B259" t="s">
        <v>249</v>
      </c>
      <c r="C259" t="s">
        <v>553</v>
      </c>
    </row>
    <row r="260" spans="1:3" x14ac:dyDescent="0.35">
      <c r="A260" t="s">
        <v>205</v>
      </c>
      <c r="B260" t="s">
        <v>263</v>
      </c>
      <c r="C260" t="s">
        <v>554</v>
      </c>
    </row>
    <row r="261" spans="1:3" x14ac:dyDescent="0.35">
      <c r="A261" t="s">
        <v>205</v>
      </c>
      <c r="B261" t="s">
        <v>263</v>
      </c>
      <c r="C261" t="s">
        <v>555</v>
      </c>
    </row>
    <row r="262" spans="1:3" x14ac:dyDescent="0.35">
      <c r="A262" t="s">
        <v>205</v>
      </c>
      <c r="B262" t="s">
        <v>263</v>
      </c>
      <c r="C262" t="s">
        <v>556</v>
      </c>
    </row>
    <row r="263" spans="1:3" x14ac:dyDescent="0.35">
      <c r="A263" t="s">
        <v>205</v>
      </c>
      <c r="B263" t="s">
        <v>263</v>
      </c>
      <c r="C263" t="s">
        <v>557</v>
      </c>
    </row>
    <row r="264" spans="1:3" x14ac:dyDescent="0.35">
      <c r="A264" t="s">
        <v>205</v>
      </c>
      <c r="B264" t="s">
        <v>263</v>
      </c>
      <c r="C264" t="s">
        <v>558</v>
      </c>
    </row>
    <row r="265" spans="1:3" x14ac:dyDescent="0.35">
      <c r="A265" t="s">
        <v>205</v>
      </c>
      <c r="B265" t="s">
        <v>263</v>
      </c>
      <c r="C265" t="s">
        <v>559</v>
      </c>
    </row>
    <row r="266" spans="1:3" x14ac:dyDescent="0.35">
      <c r="A266" t="s">
        <v>205</v>
      </c>
      <c r="B266" t="s">
        <v>263</v>
      </c>
      <c r="C266" t="s">
        <v>560</v>
      </c>
    </row>
    <row r="267" spans="1:3" x14ac:dyDescent="0.35">
      <c r="A267" t="s">
        <v>205</v>
      </c>
      <c r="B267" t="s">
        <v>263</v>
      </c>
      <c r="C267" t="s">
        <v>561</v>
      </c>
    </row>
    <row r="268" spans="1:3" x14ac:dyDescent="0.35">
      <c r="A268" t="s">
        <v>205</v>
      </c>
      <c r="B268" t="s">
        <v>263</v>
      </c>
      <c r="C268" t="s">
        <v>562</v>
      </c>
    </row>
    <row r="269" spans="1:3" x14ac:dyDescent="0.35">
      <c r="A269" t="s">
        <v>205</v>
      </c>
      <c r="B269" t="s">
        <v>263</v>
      </c>
      <c r="C269" t="s">
        <v>563</v>
      </c>
    </row>
    <row r="270" spans="1:3" x14ac:dyDescent="0.35">
      <c r="A270" t="s">
        <v>205</v>
      </c>
      <c r="B270" t="s">
        <v>263</v>
      </c>
      <c r="C270" t="s">
        <v>564</v>
      </c>
    </row>
    <row r="271" spans="1:3" x14ac:dyDescent="0.35">
      <c r="A271" t="s">
        <v>205</v>
      </c>
      <c r="B271" t="s">
        <v>263</v>
      </c>
      <c r="C271" t="s">
        <v>565</v>
      </c>
    </row>
    <row r="272" spans="1:3" x14ac:dyDescent="0.35">
      <c r="A272" t="s">
        <v>205</v>
      </c>
      <c r="B272" t="s">
        <v>263</v>
      </c>
      <c r="C272" t="s">
        <v>566</v>
      </c>
    </row>
    <row r="273" spans="1:3" x14ac:dyDescent="0.35">
      <c r="A273" t="s">
        <v>205</v>
      </c>
      <c r="B273" t="s">
        <v>263</v>
      </c>
      <c r="C273" t="s">
        <v>567</v>
      </c>
    </row>
    <row r="274" spans="1:3" x14ac:dyDescent="0.35">
      <c r="A274" t="s">
        <v>205</v>
      </c>
      <c r="B274" t="s">
        <v>263</v>
      </c>
      <c r="C274" t="s">
        <v>568</v>
      </c>
    </row>
    <row r="275" spans="1:3" x14ac:dyDescent="0.35">
      <c r="A275" t="s">
        <v>205</v>
      </c>
      <c r="B275" t="s">
        <v>263</v>
      </c>
      <c r="C275" t="s">
        <v>569</v>
      </c>
    </row>
    <row r="276" spans="1:3" x14ac:dyDescent="0.35">
      <c r="A276" t="s">
        <v>205</v>
      </c>
      <c r="B276" t="s">
        <v>263</v>
      </c>
      <c r="C276" t="s">
        <v>570</v>
      </c>
    </row>
    <row r="277" spans="1:3" x14ac:dyDescent="0.35">
      <c r="A277" t="s">
        <v>205</v>
      </c>
      <c r="B277" t="s">
        <v>263</v>
      </c>
      <c r="C277" t="s">
        <v>571</v>
      </c>
    </row>
    <row r="278" spans="1:3" x14ac:dyDescent="0.35">
      <c r="A278" t="s">
        <v>205</v>
      </c>
      <c r="B278" t="s">
        <v>263</v>
      </c>
      <c r="C278" t="s">
        <v>572</v>
      </c>
    </row>
    <row r="279" spans="1:3" x14ac:dyDescent="0.35">
      <c r="A279" t="s">
        <v>205</v>
      </c>
      <c r="B279" t="s">
        <v>263</v>
      </c>
      <c r="C279" t="s">
        <v>573</v>
      </c>
    </row>
    <row r="280" spans="1:3" x14ac:dyDescent="0.35">
      <c r="A280" t="s">
        <v>205</v>
      </c>
      <c r="B280" t="s">
        <v>263</v>
      </c>
      <c r="C280" t="s">
        <v>574</v>
      </c>
    </row>
    <row r="281" spans="1:3" x14ac:dyDescent="0.35">
      <c r="A281" t="s">
        <v>205</v>
      </c>
      <c r="B281" t="s">
        <v>263</v>
      </c>
      <c r="C281" t="s">
        <v>575</v>
      </c>
    </row>
    <row r="282" spans="1:3" x14ac:dyDescent="0.35">
      <c r="A282" t="s">
        <v>205</v>
      </c>
      <c r="B282" t="s">
        <v>263</v>
      </c>
      <c r="C282" t="s">
        <v>576</v>
      </c>
    </row>
    <row r="283" spans="1:3" x14ac:dyDescent="0.35">
      <c r="A283" t="s">
        <v>205</v>
      </c>
      <c r="B283" t="s">
        <v>263</v>
      </c>
      <c r="C283" t="s">
        <v>577</v>
      </c>
    </row>
    <row r="284" spans="1:3" x14ac:dyDescent="0.35">
      <c r="A284" t="s">
        <v>205</v>
      </c>
      <c r="B284" t="s">
        <v>263</v>
      </c>
      <c r="C284" t="s">
        <v>578</v>
      </c>
    </row>
    <row r="285" spans="1:3" x14ac:dyDescent="0.35">
      <c r="A285" t="s">
        <v>205</v>
      </c>
      <c r="B285" t="s">
        <v>263</v>
      </c>
      <c r="C285" t="s">
        <v>579</v>
      </c>
    </row>
    <row r="286" spans="1:3" x14ac:dyDescent="0.35">
      <c r="A286" t="s">
        <v>205</v>
      </c>
      <c r="B286" t="s">
        <v>263</v>
      </c>
      <c r="C286" t="s">
        <v>580</v>
      </c>
    </row>
    <row r="287" spans="1:3" x14ac:dyDescent="0.35">
      <c r="A287" t="s">
        <v>205</v>
      </c>
      <c r="B287" t="s">
        <v>263</v>
      </c>
      <c r="C287" t="s">
        <v>581</v>
      </c>
    </row>
    <row r="288" spans="1:3" x14ac:dyDescent="0.35">
      <c r="A288" t="s">
        <v>205</v>
      </c>
      <c r="B288" t="s">
        <v>263</v>
      </c>
      <c r="C288" t="s">
        <v>582</v>
      </c>
    </row>
    <row r="289" spans="1:3" x14ac:dyDescent="0.35">
      <c r="A289" t="s">
        <v>205</v>
      </c>
      <c r="B289" t="s">
        <v>263</v>
      </c>
      <c r="C289" t="s">
        <v>583</v>
      </c>
    </row>
    <row r="290" spans="1:3" x14ac:dyDescent="0.35">
      <c r="A290" t="s">
        <v>205</v>
      </c>
      <c r="B290" t="s">
        <v>263</v>
      </c>
      <c r="C290" t="s">
        <v>584</v>
      </c>
    </row>
    <row r="291" spans="1:3" x14ac:dyDescent="0.35">
      <c r="A291" t="s">
        <v>205</v>
      </c>
      <c r="B291" t="s">
        <v>263</v>
      </c>
      <c r="C291" t="s">
        <v>585</v>
      </c>
    </row>
    <row r="292" spans="1:3" x14ac:dyDescent="0.35">
      <c r="A292" t="s">
        <v>205</v>
      </c>
      <c r="B292" t="s">
        <v>263</v>
      </c>
      <c r="C292" t="s">
        <v>586</v>
      </c>
    </row>
    <row r="293" spans="1:3" x14ac:dyDescent="0.35">
      <c r="A293" t="s">
        <v>205</v>
      </c>
      <c r="B293" t="s">
        <v>263</v>
      </c>
      <c r="C293" t="s">
        <v>587</v>
      </c>
    </row>
    <row r="294" spans="1:3" x14ac:dyDescent="0.35">
      <c r="A294" t="s">
        <v>205</v>
      </c>
      <c r="B294" t="s">
        <v>263</v>
      </c>
      <c r="C294" t="s">
        <v>588</v>
      </c>
    </row>
    <row r="295" spans="1:3" x14ac:dyDescent="0.35">
      <c r="A295" t="s">
        <v>205</v>
      </c>
      <c r="B295" t="s">
        <v>263</v>
      </c>
      <c r="C295" t="s">
        <v>589</v>
      </c>
    </row>
    <row r="296" spans="1:3" x14ac:dyDescent="0.35">
      <c r="A296" t="s">
        <v>205</v>
      </c>
      <c r="B296" t="s">
        <v>263</v>
      </c>
      <c r="C296" t="s">
        <v>590</v>
      </c>
    </row>
    <row r="297" spans="1:3" x14ac:dyDescent="0.35">
      <c r="A297" t="s">
        <v>205</v>
      </c>
      <c r="B297" t="s">
        <v>263</v>
      </c>
      <c r="C297" t="s">
        <v>591</v>
      </c>
    </row>
    <row r="298" spans="1:3" x14ac:dyDescent="0.35">
      <c r="A298" t="s">
        <v>205</v>
      </c>
      <c r="B298" t="s">
        <v>263</v>
      </c>
      <c r="C298" t="s">
        <v>592</v>
      </c>
    </row>
    <row r="299" spans="1:3" x14ac:dyDescent="0.35">
      <c r="A299" t="s">
        <v>205</v>
      </c>
      <c r="B299" t="s">
        <v>263</v>
      </c>
      <c r="C299" t="s">
        <v>593</v>
      </c>
    </row>
    <row r="300" spans="1:3" x14ac:dyDescent="0.35">
      <c r="A300" t="s">
        <v>205</v>
      </c>
      <c r="B300" t="s">
        <v>263</v>
      </c>
      <c r="C300" t="s">
        <v>594</v>
      </c>
    </row>
    <row r="301" spans="1:3" x14ac:dyDescent="0.35">
      <c r="A301" t="s">
        <v>205</v>
      </c>
      <c r="B301" t="s">
        <v>263</v>
      </c>
      <c r="C301" t="s">
        <v>263</v>
      </c>
    </row>
    <row r="302" spans="1:3" x14ac:dyDescent="0.35">
      <c r="A302" t="s">
        <v>205</v>
      </c>
      <c r="B302" t="s">
        <v>263</v>
      </c>
      <c r="C302" t="s">
        <v>595</v>
      </c>
    </row>
    <row r="303" spans="1:3" x14ac:dyDescent="0.35">
      <c r="A303" t="s">
        <v>205</v>
      </c>
      <c r="B303" t="s">
        <v>263</v>
      </c>
      <c r="C303" t="s">
        <v>596</v>
      </c>
    </row>
    <row r="304" spans="1:3" x14ac:dyDescent="0.35">
      <c r="A304" t="s">
        <v>205</v>
      </c>
      <c r="B304" t="s">
        <v>263</v>
      </c>
      <c r="C304" t="s">
        <v>597</v>
      </c>
    </row>
    <row r="305" spans="1:3" x14ac:dyDescent="0.35">
      <c r="A305" t="s">
        <v>205</v>
      </c>
      <c r="B305" t="s">
        <v>263</v>
      </c>
      <c r="C305" t="s">
        <v>598</v>
      </c>
    </row>
    <row r="306" spans="1:3" x14ac:dyDescent="0.35">
      <c r="A306" t="s">
        <v>205</v>
      </c>
      <c r="B306" t="s">
        <v>263</v>
      </c>
      <c r="C306" t="s">
        <v>599</v>
      </c>
    </row>
    <row r="307" spans="1:3" x14ac:dyDescent="0.35">
      <c r="A307" t="s">
        <v>206</v>
      </c>
      <c r="B307" t="s">
        <v>225</v>
      </c>
      <c r="C307" t="s">
        <v>600</v>
      </c>
    </row>
    <row r="308" spans="1:3" x14ac:dyDescent="0.35">
      <c r="A308" t="s">
        <v>206</v>
      </c>
      <c r="B308" t="s">
        <v>225</v>
      </c>
      <c r="C308" t="s">
        <v>601</v>
      </c>
    </row>
    <row r="309" spans="1:3" x14ac:dyDescent="0.35">
      <c r="A309" t="s">
        <v>206</v>
      </c>
      <c r="B309" t="s">
        <v>225</v>
      </c>
      <c r="C309" t="s">
        <v>602</v>
      </c>
    </row>
    <row r="310" spans="1:3" x14ac:dyDescent="0.35">
      <c r="A310" t="s">
        <v>206</v>
      </c>
      <c r="B310" t="s">
        <v>225</v>
      </c>
      <c r="C310" t="s">
        <v>603</v>
      </c>
    </row>
    <row r="311" spans="1:3" x14ac:dyDescent="0.35">
      <c r="A311" t="s">
        <v>206</v>
      </c>
      <c r="B311" t="s">
        <v>225</v>
      </c>
      <c r="C311" t="s">
        <v>604</v>
      </c>
    </row>
    <row r="312" spans="1:3" x14ac:dyDescent="0.35">
      <c r="A312" t="s">
        <v>206</v>
      </c>
      <c r="B312" t="s">
        <v>225</v>
      </c>
      <c r="C312" t="s">
        <v>605</v>
      </c>
    </row>
    <row r="313" spans="1:3" x14ac:dyDescent="0.35">
      <c r="A313" t="s">
        <v>206</v>
      </c>
      <c r="B313" t="s">
        <v>225</v>
      </c>
      <c r="C313" t="s">
        <v>606</v>
      </c>
    </row>
    <row r="314" spans="1:3" x14ac:dyDescent="0.35">
      <c r="A314" t="s">
        <v>206</v>
      </c>
      <c r="B314" t="s">
        <v>225</v>
      </c>
      <c r="C314" t="s">
        <v>607</v>
      </c>
    </row>
    <row r="315" spans="1:3" x14ac:dyDescent="0.35">
      <c r="A315" t="s">
        <v>206</v>
      </c>
      <c r="B315" t="s">
        <v>225</v>
      </c>
      <c r="C315" t="s">
        <v>608</v>
      </c>
    </row>
    <row r="316" spans="1:3" x14ac:dyDescent="0.35">
      <c r="A316" t="s">
        <v>206</v>
      </c>
      <c r="B316" t="s">
        <v>225</v>
      </c>
      <c r="C316" t="s">
        <v>609</v>
      </c>
    </row>
    <row r="317" spans="1:3" x14ac:dyDescent="0.35">
      <c r="A317" t="s">
        <v>206</v>
      </c>
      <c r="B317" t="s">
        <v>225</v>
      </c>
      <c r="C317" t="s">
        <v>610</v>
      </c>
    </row>
    <row r="318" spans="1:3" x14ac:dyDescent="0.35">
      <c r="A318" t="s">
        <v>206</v>
      </c>
      <c r="B318" t="s">
        <v>225</v>
      </c>
      <c r="C318" t="s">
        <v>611</v>
      </c>
    </row>
    <row r="319" spans="1:3" x14ac:dyDescent="0.35">
      <c r="A319" t="s">
        <v>206</v>
      </c>
      <c r="B319" t="s">
        <v>225</v>
      </c>
      <c r="C319" t="s">
        <v>612</v>
      </c>
    </row>
    <row r="320" spans="1:3" x14ac:dyDescent="0.35">
      <c r="A320" t="s">
        <v>206</v>
      </c>
      <c r="B320" t="s">
        <v>225</v>
      </c>
      <c r="C320" t="s">
        <v>225</v>
      </c>
    </row>
    <row r="321" spans="1:3" x14ac:dyDescent="0.35">
      <c r="A321" t="s">
        <v>206</v>
      </c>
      <c r="B321" t="s">
        <v>225</v>
      </c>
      <c r="C321" t="s">
        <v>613</v>
      </c>
    </row>
    <row r="322" spans="1:3" x14ac:dyDescent="0.35">
      <c r="A322" t="s">
        <v>206</v>
      </c>
      <c r="B322" t="s">
        <v>225</v>
      </c>
      <c r="C322" t="s">
        <v>614</v>
      </c>
    </row>
    <row r="323" spans="1:3" x14ac:dyDescent="0.35">
      <c r="A323" t="s">
        <v>206</v>
      </c>
      <c r="B323" t="s">
        <v>225</v>
      </c>
      <c r="C323" t="s">
        <v>615</v>
      </c>
    </row>
    <row r="324" spans="1:3" x14ac:dyDescent="0.35">
      <c r="A324" t="s">
        <v>206</v>
      </c>
      <c r="B324" t="s">
        <v>225</v>
      </c>
      <c r="C324" t="s">
        <v>616</v>
      </c>
    </row>
    <row r="325" spans="1:3" x14ac:dyDescent="0.35">
      <c r="A325" t="s">
        <v>206</v>
      </c>
      <c r="B325" t="s">
        <v>225</v>
      </c>
      <c r="C325" t="s">
        <v>617</v>
      </c>
    </row>
    <row r="326" spans="1:3" x14ac:dyDescent="0.35">
      <c r="A326" t="s">
        <v>206</v>
      </c>
      <c r="B326" t="s">
        <v>225</v>
      </c>
      <c r="C326" t="s">
        <v>618</v>
      </c>
    </row>
    <row r="327" spans="1:3" x14ac:dyDescent="0.35">
      <c r="A327" t="s">
        <v>206</v>
      </c>
      <c r="B327" t="s">
        <v>225</v>
      </c>
      <c r="C327" t="s">
        <v>619</v>
      </c>
    </row>
    <row r="328" spans="1:3" x14ac:dyDescent="0.35">
      <c r="A328" t="s">
        <v>206</v>
      </c>
      <c r="B328" t="s">
        <v>225</v>
      </c>
      <c r="C328" t="s">
        <v>620</v>
      </c>
    </row>
    <row r="329" spans="1:3" x14ac:dyDescent="0.35">
      <c r="A329" t="s">
        <v>206</v>
      </c>
      <c r="B329" t="s">
        <v>225</v>
      </c>
      <c r="C329" t="s">
        <v>621</v>
      </c>
    </row>
    <row r="330" spans="1:3" x14ac:dyDescent="0.35">
      <c r="A330" t="s">
        <v>206</v>
      </c>
      <c r="B330" t="s">
        <v>225</v>
      </c>
      <c r="C330" t="s">
        <v>622</v>
      </c>
    </row>
    <row r="331" spans="1:3" x14ac:dyDescent="0.35">
      <c r="A331" t="s">
        <v>206</v>
      </c>
      <c r="B331" t="s">
        <v>225</v>
      </c>
      <c r="C331" t="s">
        <v>623</v>
      </c>
    </row>
    <row r="332" spans="1:3" x14ac:dyDescent="0.35">
      <c r="A332" t="s">
        <v>206</v>
      </c>
      <c r="B332" t="s">
        <v>225</v>
      </c>
      <c r="C332" t="s">
        <v>624</v>
      </c>
    </row>
    <row r="333" spans="1:3" x14ac:dyDescent="0.35">
      <c r="A333" t="s">
        <v>206</v>
      </c>
      <c r="B333" t="s">
        <v>225</v>
      </c>
      <c r="C333" t="s">
        <v>625</v>
      </c>
    </row>
    <row r="334" spans="1:3" x14ac:dyDescent="0.35">
      <c r="A334" t="s">
        <v>206</v>
      </c>
      <c r="B334" t="s">
        <v>225</v>
      </c>
      <c r="C334" t="s">
        <v>626</v>
      </c>
    </row>
    <row r="335" spans="1:3" x14ac:dyDescent="0.35">
      <c r="A335" t="s">
        <v>206</v>
      </c>
      <c r="B335" t="s">
        <v>225</v>
      </c>
      <c r="C335" t="s">
        <v>627</v>
      </c>
    </row>
    <row r="336" spans="1:3" x14ac:dyDescent="0.35">
      <c r="A336" t="s">
        <v>206</v>
      </c>
      <c r="B336" t="s">
        <v>225</v>
      </c>
      <c r="C336" t="s">
        <v>628</v>
      </c>
    </row>
    <row r="337" spans="1:3" x14ac:dyDescent="0.35">
      <c r="A337" t="s">
        <v>206</v>
      </c>
      <c r="B337" t="s">
        <v>225</v>
      </c>
      <c r="C337" t="s">
        <v>629</v>
      </c>
    </row>
    <row r="338" spans="1:3" x14ac:dyDescent="0.35">
      <c r="A338" t="s">
        <v>206</v>
      </c>
      <c r="B338" t="s">
        <v>236</v>
      </c>
      <c r="C338" t="s">
        <v>630</v>
      </c>
    </row>
    <row r="339" spans="1:3" x14ac:dyDescent="0.35">
      <c r="A339" t="s">
        <v>206</v>
      </c>
      <c r="B339" t="s">
        <v>236</v>
      </c>
      <c r="C339" t="s">
        <v>631</v>
      </c>
    </row>
    <row r="340" spans="1:3" x14ac:dyDescent="0.35">
      <c r="A340" t="s">
        <v>206</v>
      </c>
      <c r="B340" t="s">
        <v>236</v>
      </c>
      <c r="C340" t="s">
        <v>632</v>
      </c>
    </row>
    <row r="341" spans="1:3" x14ac:dyDescent="0.35">
      <c r="A341" t="s">
        <v>206</v>
      </c>
      <c r="B341" t="s">
        <v>236</v>
      </c>
      <c r="C341" t="s">
        <v>633</v>
      </c>
    </row>
    <row r="342" spans="1:3" x14ac:dyDescent="0.35">
      <c r="A342" t="s">
        <v>206</v>
      </c>
      <c r="B342" t="s">
        <v>236</v>
      </c>
      <c r="C342" t="s">
        <v>634</v>
      </c>
    </row>
    <row r="343" spans="1:3" x14ac:dyDescent="0.35">
      <c r="A343" t="s">
        <v>206</v>
      </c>
      <c r="B343" t="s">
        <v>236</v>
      </c>
      <c r="C343" t="s">
        <v>635</v>
      </c>
    </row>
    <row r="344" spans="1:3" x14ac:dyDescent="0.35">
      <c r="A344" t="s">
        <v>206</v>
      </c>
      <c r="B344" t="s">
        <v>236</v>
      </c>
      <c r="C344" t="s">
        <v>636</v>
      </c>
    </row>
    <row r="345" spans="1:3" x14ac:dyDescent="0.35">
      <c r="A345" t="s">
        <v>206</v>
      </c>
      <c r="B345" t="s">
        <v>236</v>
      </c>
      <c r="C345" t="s">
        <v>637</v>
      </c>
    </row>
    <row r="346" spans="1:3" x14ac:dyDescent="0.35">
      <c r="A346" t="s">
        <v>206</v>
      </c>
      <c r="B346" t="s">
        <v>236</v>
      </c>
      <c r="C346" t="s">
        <v>638</v>
      </c>
    </row>
    <row r="347" spans="1:3" x14ac:dyDescent="0.35">
      <c r="A347" t="s">
        <v>206</v>
      </c>
      <c r="B347" t="s">
        <v>236</v>
      </c>
      <c r="C347" t="s">
        <v>639</v>
      </c>
    </row>
    <row r="348" spans="1:3" x14ac:dyDescent="0.35">
      <c r="A348" t="s">
        <v>206</v>
      </c>
      <c r="B348" t="s">
        <v>236</v>
      </c>
      <c r="C348" t="s">
        <v>640</v>
      </c>
    </row>
    <row r="349" spans="1:3" x14ac:dyDescent="0.35">
      <c r="A349" t="s">
        <v>206</v>
      </c>
      <c r="B349" t="s">
        <v>236</v>
      </c>
      <c r="C349" t="s">
        <v>641</v>
      </c>
    </row>
    <row r="350" spans="1:3" x14ac:dyDescent="0.35">
      <c r="A350" t="s">
        <v>206</v>
      </c>
      <c r="B350" t="s">
        <v>236</v>
      </c>
      <c r="C350" t="s">
        <v>642</v>
      </c>
    </row>
    <row r="351" spans="1:3" x14ac:dyDescent="0.35">
      <c r="A351" t="s">
        <v>206</v>
      </c>
      <c r="B351" t="s">
        <v>236</v>
      </c>
      <c r="C351" t="s">
        <v>643</v>
      </c>
    </row>
    <row r="352" spans="1:3" x14ac:dyDescent="0.35">
      <c r="A352" t="s">
        <v>206</v>
      </c>
      <c r="B352" t="s">
        <v>236</v>
      </c>
      <c r="C352" t="s">
        <v>644</v>
      </c>
    </row>
    <row r="353" spans="1:3" x14ac:dyDescent="0.35">
      <c r="A353" t="s">
        <v>206</v>
      </c>
      <c r="B353" t="s">
        <v>236</v>
      </c>
      <c r="C353" t="s">
        <v>645</v>
      </c>
    </row>
    <row r="354" spans="1:3" x14ac:dyDescent="0.35">
      <c r="A354" t="s">
        <v>206</v>
      </c>
      <c r="B354" t="s">
        <v>236</v>
      </c>
      <c r="C354" t="s">
        <v>646</v>
      </c>
    </row>
    <row r="355" spans="1:3" x14ac:dyDescent="0.35">
      <c r="A355" t="s">
        <v>206</v>
      </c>
      <c r="B355" t="s">
        <v>236</v>
      </c>
      <c r="C355" t="s">
        <v>647</v>
      </c>
    </row>
    <row r="356" spans="1:3" x14ac:dyDescent="0.35">
      <c r="A356" t="s">
        <v>206</v>
      </c>
      <c r="B356" t="s">
        <v>236</v>
      </c>
      <c r="C356" t="s">
        <v>648</v>
      </c>
    </row>
    <row r="357" spans="1:3" x14ac:dyDescent="0.35">
      <c r="A357" t="s">
        <v>206</v>
      </c>
      <c r="B357" t="s">
        <v>236</v>
      </c>
      <c r="C357" t="s">
        <v>649</v>
      </c>
    </row>
    <row r="358" spans="1:3" x14ac:dyDescent="0.35">
      <c r="A358" t="s">
        <v>206</v>
      </c>
      <c r="B358" t="s">
        <v>236</v>
      </c>
      <c r="C358" t="s">
        <v>650</v>
      </c>
    </row>
    <row r="359" spans="1:3" x14ac:dyDescent="0.35">
      <c r="A359" t="s">
        <v>206</v>
      </c>
      <c r="B359" t="s">
        <v>236</v>
      </c>
      <c r="C359" t="s">
        <v>651</v>
      </c>
    </row>
    <row r="360" spans="1:3" x14ac:dyDescent="0.35">
      <c r="A360" t="s">
        <v>206</v>
      </c>
      <c r="B360" t="s">
        <v>236</v>
      </c>
      <c r="C360" t="s">
        <v>652</v>
      </c>
    </row>
    <row r="361" spans="1:3" x14ac:dyDescent="0.35">
      <c r="A361" t="s">
        <v>206</v>
      </c>
      <c r="B361" t="s">
        <v>236</v>
      </c>
      <c r="C361" t="s">
        <v>653</v>
      </c>
    </row>
    <row r="362" spans="1:3" x14ac:dyDescent="0.35">
      <c r="A362" t="s">
        <v>206</v>
      </c>
      <c r="B362" t="s">
        <v>236</v>
      </c>
      <c r="C362" t="s">
        <v>654</v>
      </c>
    </row>
    <row r="363" spans="1:3" x14ac:dyDescent="0.35">
      <c r="A363" t="s">
        <v>206</v>
      </c>
      <c r="B363" t="s">
        <v>236</v>
      </c>
      <c r="C363" t="s">
        <v>655</v>
      </c>
    </row>
    <row r="364" spans="1:3" x14ac:dyDescent="0.35">
      <c r="A364" t="s">
        <v>206</v>
      </c>
      <c r="B364" t="s">
        <v>236</v>
      </c>
      <c r="C364" t="s">
        <v>656</v>
      </c>
    </row>
    <row r="365" spans="1:3" x14ac:dyDescent="0.35">
      <c r="A365" t="s">
        <v>206</v>
      </c>
      <c r="B365" t="s">
        <v>236</v>
      </c>
      <c r="C365" t="s">
        <v>657</v>
      </c>
    </row>
    <row r="366" spans="1:3" x14ac:dyDescent="0.35">
      <c r="A366" t="s">
        <v>206</v>
      </c>
      <c r="B366" t="s">
        <v>236</v>
      </c>
      <c r="C366" t="s">
        <v>658</v>
      </c>
    </row>
    <row r="367" spans="1:3" x14ac:dyDescent="0.35">
      <c r="A367" t="s">
        <v>206</v>
      </c>
      <c r="B367" t="s">
        <v>236</v>
      </c>
      <c r="C367" t="s">
        <v>659</v>
      </c>
    </row>
    <row r="368" spans="1:3" x14ac:dyDescent="0.35">
      <c r="A368" t="s">
        <v>206</v>
      </c>
      <c r="B368" t="s">
        <v>236</v>
      </c>
      <c r="C368" t="s">
        <v>660</v>
      </c>
    </row>
    <row r="369" spans="1:3" x14ac:dyDescent="0.35">
      <c r="A369" t="s">
        <v>206</v>
      </c>
      <c r="B369" t="s">
        <v>236</v>
      </c>
      <c r="C369" t="s">
        <v>661</v>
      </c>
    </row>
    <row r="370" spans="1:3" x14ac:dyDescent="0.35">
      <c r="A370" t="s">
        <v>206</v>
      </c>
      <c r="B370" t="s">
        <v>236</v>
      </c>
      <c r="C370" t="s">
        <v>662</v>
      </c>
    </row>
    <row r="371" spans="1:3" x14ac:dyDescent="0.35">
      <c r="A371" t="s">
        <v>206</v>
      </c>
      <c r="B371" t="s">
        <v>236</v>
      </c>
      <c r="C371" t="s">
        <v>663</v>
      </c>
    </row>
    <row r="372" spans="1:3" x14ac:dyDescent="0.35">
      <c r="A372" t="s">
        <v>206</v>
      </c>
      <c r="B372" t="s">
        <v>236</v>
      </c>
      <c r="C372" t="s">
        <v>664</v>
      </c>
    </row>
    <row r="373" spans="1:3" x14ac:dyDescent="0.35">
      <c r="A373" t="s">
        <v>206</v>
      </c>
      <c r="B373" t="s">
        <v>236</v>
      </c>
      <c r="C373" t="s">
        <v>665</v>
      </c>
    </row>
    <row r="374" spans="1:3" x14ac:dyDescent="0.35">
      <c r="A374" t="s">
        <v>206</v>
      </c>
      <c r="B374" t="s">
        <v>236</v>
      </c>
      <c r="C374" t="s">
        <v>666</v>
      </c>
    </row>
    <row r="375" spans="1:3" x14ac:dyDescent="0.35">
      <c r="A375" t="s">
        <v>206</v>
      </c>
      <c r="B375" t="s">
        <v>236</v>
      </c>
      <c r="C375" t="s">
        <v>667</v>
      </c>
    </row>
    <row r="376" spans="1:3" x14ac:dyDescent="0.35">
      <c r="A376" t="s">
        <v>206</v>
      </c>
      <c r="B376" t="s">
        <v>236</v>
      </c>
      <c r="C376" t="s">
        <v>668</v>
      </c>
    </row>
    <row r="377" spans="1:3" x14ac:dyDescent="0.35">
      <c r="A377" t="s">
        <v>206</v>
      </c>
      <c r="B377" t="s">
        <v>236</v>
      </c>
      <c r="C377" t="s">
        <v>669</v>
      </c>
    </row>
    <row r="378" spans="1:3" x14ac:dyDescent="0.35">
      <c r="A378" t="s">
        <v>206</v>
      </c>
      <c r="B378" t="s">
        <v>236</v>
      </c>
      <c r="C378" t="s">
        <v>670</v>
      </c>
    </row>
    <row r="379" spans="1:3" x14ac:dyDescent="0.35">
      <c r="A379" t="s">
        <v>206</v>
      </c>
      <c r="B379" t="s">
        <v>236</v>
      </c>
      <c r="C379" t="s">
        <v>671</v>
      </c>
    </row>
    <row r="380" spans="1:3" x14ac:dyDescent="0.35">
      <c r="A380" t="s">
        <v>206</v>
      </c>
      <c r="B380" t="s">
        <v>236</v>
      </c>
      <c r="C380" t="s">
        <v>672</v>
      </c>
    </row>
    <row r="381" spans="1:3" x14ac:dyDescent="0.35">
      <c r="A381" t="s">
        <v>206</v>
      </c>
      <c r="B381" t="s">
        <v>236</v>
      </c>
      <c r="C381" t="s">
        <v>673</v>
      </c>
    </row>
    <row r="382" spans="1:3" x14ac:dyDescent="0.35">
      <c r="A382" t="s">
        <v>206</v>
      </c>
      <c r="B382" t="s">
        <v>236</v>
      </c>
      <c r="C382" t="s">
        <v>674</v>
      </c>
    </row>
    <row r="383" spans="1:3" x14ac:dyDescent="0.35">
      <c r="A383" t="s">
        <v>206</v>
      </c>
      <c r="B383" t="s">
        <v>236</v>
      </c>
      <c r="C383" t="s">
        <v>675</v>
      </c>
    </row>
    <row r="384" spans="1:3" x14ac:dyDescent="0.35">
      <c r="A384" t="s">
        <v>206</v>
      </c>
      <c r="B384" t="s">
        <v>236</v>
      </c>
      <c r="C384" t="s">
        <v>676</v>
      </c>
    </row>
    <row r="385" spans="1:3" x14ac:dyDescent="0.35">
      <c r="A385" t="s">
        <v>206</v>
      </c>
      <c r="B385" t="s">
        <v>236</v>
      </c>
      <c r="C385" t="s">
        <v>677</v>
      </c>
    </row>
    <row r="386" spans="1:3" x14ac:dyDescent="0.35">
      <c r="A386" t="s">
        <v>206</v>
      </c>
      <c r="B386" t="s">
        <v>236</v>
      </c>
      <c r="C386" t="s">
        <v>678</v>
      </c>
    </row>
    <row r="387" spans="1:3" x14ac:dyDescent="0.35">
      <c r="A387" t="s">
        <v>206</v>
      </c>
      <c r="B387" t="s">
        <v>236</v>
      </c>
      <c r="C387" t="s">
        <v>679</v>
      </c>
    </row>
    <row r="388" spans="1:3" x14ac:dyDescent="0.35">
      <c r="A388" t="s">
        <v>206</v>
      </c>
      <c r="B388" t="s">
        <v>236</v>
      </c>
      <c r="C388" t="s">
        <v>680</v>
      </c>
    </row>
    <row r="389" spans="1:3" x14ac:dyDescent="0.35">
      <c r="A389" t="s">
        <v>206</v>
      </c>
      <c r="B389" t="s">
        <v>236</v>
      </c>
      <c r="C389" t="s">
        <v>681</v>
      </c>
    </row>
    <row r="390" spans="1:3" x14ac:dyDescent="0.35">
      <c r="A390" t="s">
        <v>206</v>
      </c>
      <c r="B390" t="s">
        <v>236</v>
      </c>
      <c r="C390" t="s">
        <v>682</v>
      </c>
    </row>
    <row r="391" spans="1:3" x14ac:dyDescent="0.35">
      <c r="A391" t="s">
        <v>206</v>
      </c>
      <c r="B391" t="s">
        <v>236</v>
      </c>
      <c r="C391" t="s">
        <v>683</v>
      </c>
    </row>
    <row r="392" spans="1:3" x14ac:dyDescent="0.35">
      <c r="A392" t="s">
        <v>206</v>
      </c>
      <c r="B392" t="s">
        <v>236</v>
      </c>
      <c r="C392" t="s">
        <v>684</v>
      </c>
    </row>
    <row r="393" spans="1:3" x14ac:dyDescent="0.35">
      <c r="A393" t="s">
        <v>206</v>
      </c>
      <c r="B393" t="s">
        <v>236</v>
      </c>
      <c r="C393" t="s">
        <v>685</v>
      </c>
    </row>
    <row r="394" spans="1:3" x14ac:dyDescent="0.35">
      <c r="A394" t="s">
        <v>206</v>
      </c>
      <c r="B394" t="s">
        <v>236</v>
      </c>
      <c r="C394" t="s">
        <v>686</v>
      </c>
    </row>
    <row r="395" spans="1:3" x14ac:dyDescent="0.35">
      <c r="A395" t="s">
        <v>206</v>
      </c>
      <c r="B395" t="s">
        <v>236</v>
      </c>
      <c r="C395" t="s">
        <v>687</v>
      </c>
    </row>
    <row r="396" spans="1:3" x14ac:dyDescent="0.35">
      <c r="A396" t="s">
        <v>206</v>
      </c>
      <c r="B396" t="s">
        <v>236</v>
      </c>
      <c r="C396" t="s">
        <v>688</v>
      </c>
    </row>
    <row r="397" spans="1:3" x14ac:dyDescent="0.35">
      <c r="A397" t="s">
        <v>206</v>
      </c>
      <c r="B397" t="s">
        <v>236</v>
      </c>
      <c r="C397" t="s">
        <v>689</v>
      </c>
    </row>
    <row r="398" spans="1:3" x14ac:dyDescent="0.35">
      <c r="A398" t="s">
        <v>206</v>
      </c>
      <c r="B398" t="s">
        <v>236</v>
      </c>
      <c r="C398" t="s">
        <v>690</v>
      </c>
    </row>
    <row r="399" spans="1:3" x14ac:dyDescent="0.35">
      <c r="A399" t="s">
        <v>206</v>
      </c>
      <c r="B399" t="s">
        <v>236</v>
      </c>
      <c r="C399" t="s">
        <v>691</v>
      </c>
    </row>
    <row r="400" spans="1:3" x14ac:dyDescent="0.35">
      <c r="A400" t="s">
        <v>206</v>
      </c>
      <c r="B400" t="s">
        <v>236</v>
      </c>
      <c r="C400" t="s">
        <v>692</v>
      </c>
    </row>
    <row r="401" spans="1:3" x14ac:dyDescent="0.35">
      <c r="A401" t="s">
        <v>206</v>
      </c>
      <c r="B401" t="s">
        <v>236</v>
      </c>
      <c r="C401" t="s">
        <v>236</v>
      </c>
    </row>
    <row r="402" spans="1:3" x14ac:dyDescent="0.35">
      <c r="A402" t="s">
        <v>206</v>
      </c>
      <c r="B402" t="s">
        <v>236</v>
      </c>
      <c r="C402" t="s">
        <v>693</v>
      </c>
    </row>
    <row r="403" spans="1:3" x14ac:dyDescent="0.35">
      <c r="A403" t="s">
        <v>206</v>
      </c>
      <c r="B403" t="s">
        <v>236</v>
      </c>
      <c r="C403" t="s">
        <v>694</v>
      </c>
    </row>
    <row r="404" spans="1:3" x14ac:dyDescent="0.35">
      <c r="A404" t="s">
        <v>206</v>
      </c>
      <c r="B404" t="s">
        <v>236</v>
      </c>
      <c r="C404" t="s">
        <v>695</v>
      </c>
    </row>
    <row r="405" spans="1:3" x14ac:dyDescent="0.35">
      <c r="A405" t="s">
        <v>206</v>
      </c>
      <c r="B405" t="s">
        <v>236</v>
      </c>
      <c r="C405" t="s">
        <v>696</v>
      </c>
    </row>
    <row r="406" spans="1:3" x14ac:dyDescent="0.35">
      <c r="A406" t="s">
        <v>206</v>
      </c>
      <c r="B406" t="s">
        <v>236</v>
      </c>
      <c r="C406" t="s">
        <v>697</v>
      </c>
    </row>
    <row r="407" spans="1:3" x14ac:dyDescent="0.35">
      <c r="A407" t="s">
        <v>206</v>
      </c>
      <c r="B407" t="s">
        <v>236</v>
      </c>
      <c r="C407" t="s">
        <v>698</v>
      </c>
    </row>
    <row r="408" spans="1:3" x14ac:dyDescent="0.35">
      <c r="A408" t="s">
        <v>206</v>
      </c>
      <c r="B408" t="s">
        <v>236</v>
      </c>
      <c r="C408" t="s">
        <v>699</v>
      </c>
    </row>
    <row r="409" spans="1:3" x14ac:dyDescent="0.35">
      <c r="A409" t="s">
        <v>206</v>
      </c>
      <c r="B409" t="s">
        <v>236</v>
      </c>
      <c r="C409" t="s">
        <v>700</v>
      </c>
    </row>
    <row r="410" spans="1:3" x14ac:dyDescent="0.35">
      <c r="A410" t="s">
        <v>206</v>
      </c>
      <c r="B410" t="s">
        <v>236</v>
      </c>
      <c r="C410" t="s">
        <v>701</v>
      </c>
    </row>
    <row r="411" spans="1:3" x14ac:dyDescent="0.35">
      <c r="A411" t="s">
        <v>206</v>
      </c>
      <c r="B411" t="s">
        <v>236</v>
      </c>
      <c r="C411" t="s">
        <v>702</v>
      </c>
    </row>
    <row r="412" spans="1:3" x14ac:dyDescent="0.35">
      <c r="A412" t="s">
        <v>206</v>
      </c>
      <c r="B412" t="s">
        <v>236</v>
      </c>
      <c r="C412" t="s">
        <v>703</v>
      </c>
    </row>
    <row r="413" spans="1:3" x14ac:dyDescent="0.35">
      <c r="A413" t="s">
        <v>206</v>
      </c>
      <c r="B413" t="s">
        <v>236</v>
      </c>
      <c r="C413" t="s">
        <v>704</v>
      </c>
    </row>
    <row r="414" spans="1:3" x14ac:dyDescent="0.35">
      <c r="A414" t="s">
        <v>206</v>
      </c>
      <c r="B414" t="s">
        <v>236</v>
      </c>
      <c r="C414" t="s">
        <v>705</v>
      </c>
    </row>
    <row r="415" spans="1:3" x14ac:dyDescent="0.35">
      <c r="A415" t="s">
        <v>206</v>
      </c>
      <c r="B415" t="s">
        <v>236</v>
      </c>
      <c r="C415" t="s">
        <v>706</v>
      </c>
    </row>
    <row r="416" spans="1:3" x14ac:dyDescent="0.35">
      <c r="A416" t="s">
        <v>206</v>
      </c>
      <c r="B416" t="s">
        <v>236</v>
      </c>
      <c r="C416" t="s">
        <v>707</v>
      </c>
    </row>
    <row r="417" spans="1:3" x14ac:dyDescent="0.35">
      <c r="A417" t="s">
        <v>206</v>
      </c>
      <c r="B417" t="s">
        <v>236</v>
      </c>
      <c r="C417" t="s">
        <v>708</v>
      </c>
    </row>
    <row r="418" spans="1:3" x14ac:dyDescent="0.35">
      <c r="A418" t="s">
        <v>206</v>
      </c>
      <c r="B418" t="s">
        <v>236</v>
      </c>
      <c r="C418" t="s">
        <v>709</v>
      </c>
    </row>
    <row r="419" spans="1:3" x14ac:dyDescent="0.35">
      <c r="A419" t="s">
        <v>206</v>
      </c>
      <c r="B419" t="s">
        <v>236</v>
      </c>
      <c r="C419" t="s">
        <v>710</v>
      </c>
    </row>
    <row r="420" spans="1:3" x14ac:dyDescent="0.35">
      <c r="A420" t="s">
        <v>206</v>
      </c>
      <c r="B420" t="s">
        <v>236</v>
      </c>
      <c r="C420" t="s">
        <v>711</v>
      </c>
    </row>
    <row r="421" spans="1:3" x14ac:dyDescent="0.35">
      <c r="A421" t="s">
        <v>206</v>
      </c>
      <c r="B421" t="s">
        <v>236</v>
      </c>
      <c r="C421" t="s">
        <v>712</v>
      </c>
    </row>
    <row r="422" spans="1:3" x14ac:dyDescent="0.35">
      <c r="A422" t="s">
        <v>206</v>
      </c>
      <c r="B422" t="s">
        <v>236</v>
      </c>
      <c r="C422" t="s">
        <v>713</v>
      </c>
    </row>
    <row r="423" spans="1:3" x14ac:dyDescent="0.35">
      <c r="A423" t="s">
        <v>206</v>
      </c>
      <c r="B423" t="s">
        <v>236</v>
      </c>
      <c r="C423" t="s">
        <v>714</v>
      </c>
    </row>
    <row r="424" spans="1:3" x14ac:dyDescent="0.35">
      <c r="A424" t="s">
        <v>206</v>
      </c>
      <c r="B424" t="s">
        <v>236</v>
      </c>
      <c r="C424" t="s">
        <v>715</v>
      </c>
    </row>
    <row r="425" spans="1:3" x14ac:dyDescent="0.35">
      <c r="A425" t="s">
        <v>206</v>
      </c>
      <c r="B425" t="s">
        <v>236</v>
      </c>
      <c r="C425" t="s">
        <v>716</v>
      </c>
    </row>
    <row r="426" spans="1:3" x14ac:dyDescent="0.35">
      <c r="A426" t="s">
        <v>206</v>
      </c>
      <c r="B426" t="s">
        <v>236</v>
      </c>
      <c r="C426" t="s">
        <v>717</v>
      </c>
    </row>
    <row r="427" spans="1:3" x14ac:dyDescent="0.35">
      <c r="A427" t="s">
        <v>206</v>
      </c>
      <c r="B427" t="s">
        <v>236</v>
      </c>
      <c r="C427" t="s">
        <v>718</v>
      </c>
    </row>
    <row r="428" spans="1:3" x14ac:dyDescent="0.35">
      <c r="A428" t="s">
        <v>206</v>
      </c>
      <c r="B428" t="s">
        <v>236</v>
      </c>
      <c r="C428" t="s">
        <v>719</v>
      </c>
    </row>
    <row r="429" spans="1:3" x14ac:dyDescent="0.35">
      <c r="A429" t="s">
        <v>206</v>
      </c>
      <c r="B429" t="s">
        <v>236</v>
      </c>
      <c r="C429" t="s">
        <v>720</v>
      </c>
    </row>
    <row r="430" spans="1:3" x14ac:dyDescent="0.35">
      <c r="A430" t="s">
        <v>206</v>
      </c>
      <c r="B430" t="s">
        <v>236</v>
      </c>
      <c r="C430" t="s">
        <v>721</v>
      </c>
    </row>
    <row r="431" spans="1:3" x14ac:dyDescent="0.35">
      <c r="A431" t="s">
        <v>206</v>
      </c>
      <c r="B431" t="s">
        <v>236</v>
      </c>
      <c r="C431" t="s">
        <v>722</v>
      </c>
    </row>
    <row r="432" spans="1:3" x14ac:dyDescent="0.35">
      <c r="A432" t="s">
        <v>206</v>
      </c>
      <c r="B432" t="s">
        <v>236</v>
      </c>
      <c r="C432" t="s">
        <v>723</v>
      </c>
    </row>
    <row r="433" spans="1:3" x14ac:dyDescent="0.35">
      <c r="A433" t="s">
        <v>206</v>
      </c>
      <c r="B433" t="s">
        <v>236</v>
      </c>
      <c r="C433" t="s">
        <v>724</v>
      </c>
    </row>
    <row r="434" spans="1:3" x14ac:dyDescent="0.35">
      <c r="A434" t="s">
        <v>206</v>
      </c>
      <c r="B434" t="s">
        <v>236</v>
      </c>
      <c r="C434" t="s">
        <v>725</v>
      </c>
    </row>
    <row r="435" spans="1:3" x14ac:dyDescent="0.35">
      <c r="A435" t="s">
        <v>206</v>
      </c>
      <c r="B435" t="s">
        <v>236</v>
      </c>
      <c r="C435" t="s">
        <v>726</v>
      </c>
    </row>
    <row r="436" spans="1:3" x14ac:dyDescent="0.35">
      <c r="A436" t="s">
        <v>206</v>
      </c>
      <c r="B436" t="s">
        <v>236</v>
      </c>
      <c r="C436" t="s">
        <v>727</v>
      </c>
    </row>
    <row r="437" spans="1:3" x14ac:dyDescent="0.35">
      <c r="A437" t="s">
        <v>206</v>
      </c>
      <c r="B437" t="s">
        <v>236</v>
      </c>
      <c r="C437" t="s">
        <v>728</v>
      </c>
    </row>
    <row r="438" spans="1:3" x14ac:dyDescent="0.35">
      <c r="A438" t="s">
        <v>207</v>
      </c>
      <c r="B438" t="s">
        <v>226</v>
      </c>
      <c r="C438" t="s">
        <v>729</v>
      </c>
    </row>
    <row r="439" spans="1:3" x14ac:dyDescent="0.35">
      <c r="A439" t="s">
        <v>207</v>
      </c>
      <c r="B439" t="s">
        <v>226</v>
      </c>
      <c r="C439" t="s">
        <v>730</v>
      </c>
    </row>
    <row r="440" spans="1:3" x14ac:dyDescent="0.35">
      <c r="A440" t="s">
        <v>207</v>
      </c>
      <c r="B440" t="s">
        <v>226</v>
      </c>
      <c r="C440" t="s">
        <v>731</v>
      </c>
    </row>
    <row r="441" spans="1:3" x14ac:dyDescent="0.35">
      <c r="A441" t="s">
        <v>207</v>
      </c>
      <c r="B441" t="s">
        <v>226</v>
      </c>
      <c r="C441" t="s">
        <v>732</v>
      </c>
    </row>
    <row r="442" spans="1:3" x14ac:dyDescent="0.35">
      <c r="A442" t="s">
        <v>207</v>
      </c>
      <c r="B442" t="s">
        <v>226</v>
      </c>
      <c r="C442" t="s">
        <v>733</v>
      </c>
    </row>
    <row r="443" spans="1:3" x14ac:dyDescent="0.35">
      <c r="A443" t="s">
        <v>207</v>
      </c>
      <c r="B443" t="s">
        <v>226</v>
      </c>
      <c r="C443" t="s">
        <v>734</v>
      </c>
    </row>
    <row r="444" spans="1:3" x14ac:dyDescent="0.35">
      <c r="A444" t="s">
        <v>207</v>
      </c>
      <c r="B444" t="s">
        <v>226</v>
      </c>
      <c r="C444" t="s">
        <v>735</v>
      </c>
    </row>
    <row r="445" spans="1:3" x14ac:dyDescent="0.35">
      <c r="A445" t="s">
        <v>207</v>
      </c>
      <c r="B445" t="s">
        <v>226</v>
      </c>
      <c r="C445" t="s">
        <v>736</v>
      </c>
    </row>
    <row r="446" spans="1:3" x14ac:dyDescent="0.35">
      <c r="A446" t="s">
        <v>207</v>
      </c>
      <c r="B446" t="s">
        <v>226</v>
      </c>
      <c r="C446" t="s">
        <v>737</v>
      </c>
    </row>
    <row r="447" spans="1:3" x14ac:dyDescent="0.35">
      <c r="A447" t="s">
        <v>207</v>
      </c>
      <c r="B447" t="s">
        <v>226</v>
      </c>
      <c r="C447" t="s">
        <v>738</v>
      </c>
    </row>
    <row r="448" spans="1:3" x14ac:dyDescent="0.35">
      <c r="A448" t="s">
        <v>207</v>
      </c>
      <c r="B448" t="s">
        <v>226</v>
      </c>
      <c r="C448" t="s">
        <v>739</v>
      </c>
    </row>
    <row r="449" spans="1:3" x14ac:dyDescent="0.35">
      <c r="A449" t="s">
        <v>207</v>
      </c>
      <c r="B449" t="s">
        <v>226</v>
      </c>
      <c r="C449" t="s">
        <v>740</v>
      </c>
    </row>
    <row r="450" spans="1:3" x14ac:dyDescent="0.35">
      <c r="A450" t="s">
        <v>207</v>
      </c>
      <c r="B450" t="s">
        <v>226</v>
      </c>
      <c r="C450" t="s">
        <v>226</v>
      </c>
    </row>
    <row r="451" spans="1:3" x14ac:dyDescent="0.35">
      <c r="A451" t="s">
        <v>207</v>
      </c>
      <c r="B451" t="s">
        <v>226</v>
      </c>
      <c r="C451" t="s">
        <v>741</v>
      </c>
    </row>
    <row r="452" spans="1:3" x14ac:dyDescent="0.35">
      <c r="A452" t="s">
        <v>207</v>
      </c>
      <c r="B452" t="s">
        <v>226</v>
      </c>
      <c r="C452" t="s">
        <v>742</v>
      </c>
    </row>
    <row r="453" spans="1:3" x14ac:dyDescent="0.35">
      <c r="A453" t="s">
        <v>207</v>
      </c>
      <c r="B453" t="s">
        <v>226</v>
      </c>
      <c r="C453" t="s">
        <v>743</v>
      </c>
    </row>
    <row r="454" spans="1:3" x14ac:dyDescent="0.35">
      <c r="A454" t="s">
        <v>207</v>
      </c>
      <c r="B454" t="s">
        <v>226</v>
      </c>
      <c r="C454" t="s">
        <v>744</v>
      </c>
    </row>
    <row r="455" spans="1:3" x14ac:dyDescent="0.35">
      <c r="A455" t="s">
        <v>207</v>
      </c>
      <c r="B455" t="s">
        <v>226</v>
      </c>
      <c r="C455" t="s">
        <v>745</v>
      </c>
    </row>
    <row r="456" spans="1:3" x14ac:dyDescent="0.35">
      <c r="A456" t="s">
        <v>207</v>
      </c>
      <c r="B456" t="s">
        <v>226</v>
      </c>
      <c r="C456" t="s">
        <v>746</v>
      </c>
    </row>
    <row r="457" spans="1:3" x14ac:dyDescent="0.35">
      <c r="A457" t="s">
        <v>207</v>
      </c>
      <c r="B457" t="s">
        <v>226</v>
      </c>
      <c r="C457" t="s">
        <v>747</v>
      </c>
    </row>
    <row r="458" spans="1:3" x14ac:dyDescent="0.35">
      <c r="A458" t="s">
        <v>207</v>
      </c>
      <c r="B458" t="s">
        <v>226</v>
      </c>
      <c r="C458" t="s">
        <v>748</v>
      </c>
    </row>
    <row r="459" spans="1:3" x14ac:dyDescent="0.35">
      <c r="A459" t="s">
        <v>207</v>
      </c>
      <c r="B459" t="s">
        <v>226</v>
      </c>
      <c r="C459" t="s">
        <v>749</v>
      </c>
    </row>
    <row r="460" spans="1:3" x14ac:dyDescent="0.35">
      <c r="A460" t="s">
        <v>207</v>
      </c>
      <c r="B460" t="s">
        <v>226</v>
      </c>
      <c r="C460" t="s">
        <v>750</v>
      </c>
    </row>
    <row r="461" spans="1:3" x14ac:dyDescent="0.35">
      <c r="A461" t="s">
        <v>207</v>
      </c>
      <c r="B461" t="s">
        <v>226</v>
      </c>
      <c r="C461" t="s">
        <v>751</v>
      </c>
    </row>
    <row r="462" spans="1:3" x14ac:dyDescent="0.35">
      <c r="A462" t="s">
        <v>207</v>
      </c>
      <c r="B462" t="s">
        <v>226</v>
      </c>
      <c r="C462" t="s">
        <v>752</v>
      </c>
    </row>
    <row r="463" spans="1:3" x14ac:dyDescent="0.35">
      <c r="A463" t="s">
        <v>207</v>
      </c>
      <c r="B463" t="s">
        <v>226</v>
      </c>
      <c r="C463" t="s">
        <v>753</v>
      </c>
    </row>
    <row r="464" spans="1:3" x14ac:dyDescent="0.35">
      <c r="A464" t="s">
        <v>207</v>
      </c>
      <c r="B464" t="s">
        <v>226</v>
      </c>
      <c r="C464" t="s">
        <v>754</v>
      </c>
    </row>
    <row r="465" spans="1:3" x14ac:dyDescent="0.35">
      <c r="A465" t="s">
        <v>207</v>
      </c>
      <c r="B465" t="s">
        <v>226</v>
      </c>
      <c r="C465" t="s">
        <v>755</v>
      </c>
    </row>
    <row r="466" spans="1:3" x14ac:dyDescent="0.35">
      <c r="A466" t="s">
        <v>207</v>
      </c>
      <c r="B466" t="s">
        <v>226</v>
      </c>
      <c r="C466" t="s">
        <v>756</v>
      </c>
    </row>
    <row r="467" spans="1:3" x14ac:dyDescent="0.35">
      <c r="A467" t="s">
        <v>207</v>
      </c>
      <c r="B467" t="s">
        <v>226</v>
      </c>
      <c r="C467" t="s">
        <v>757</v>
      </c>
    </row>
    <row r="468" spans="1:3" x14ac:dyDescent="0.35">
      <c r="A468" t="s">
        <v>207</v>
      </c>
      <c r="B468" t="s">
        <v>226</v>
      </c>
      <c r="C468" t="s">
        <v>758</v>
      </c>
    </row>
    <row r="469" spans="1:3" x14ac:dyDescent="0.35">
      <c r="A469" t="s">
        <v>207</v>
      </c>
      <c r="B469" t="s">
        <v>226</v>
      </c>
      <c r="C469" t="s">
        <v>759</v>
      </c>
    </row>
    <row r="470" spans="1:3" x14ac:dyDescent="0.35">
      <c r="A470" t="s">
        <v>207</v>
      </c>
      <c r="B470" t="s">
        <v>226</v>
      </c>
      <c r="C470" t="s">
        <v>760</v>
      </c>
    </row>
    <row r="471" spans="1:3" x14ac:dyDescent="0.35">
      <c r="A471" t="s">
        <v>207</v>
      </c>
      <c r="B471" t="s">
        <v>226</v>
      </c>
      <c r="C471" t="s">
        <v>761</v>
      </c>
    </row>
    <row r="472" spans="1:3" x14ac:dyDescent="0.35">
      <c r="A472" t="s">
        <v>207</v>
      </c>
      <c r="B472" t="s">
        <v>226</v>
      </c>
      <c r="C472" t="s">
        <v>762</v>
      </c>
    </row>
    <row r="473" spans="1:3" x14ac:dyDescent="0.35">
      <c r="A473" t="s">
        <v>207</v>
      </c>
      <c r="B473" t="s">
        <v>226</v>
      </c>
      <c r="C473" t="s">
        <v>763</v>
      </c>
    </row>
    <row r="474" spans="1:3" x14ac:dyDescent="0.35">
      <c r="A474" t="s">
        <v>207</v>
      </c>
      <c r="B474" t="s">
        <v>226</v>
      </c>
      <c r="C474" t="s">
        <v>764</v>
      </c>
    </row>
    <row r="475" spans="1:3" x14ac:dyDescent="0.35">
      <c r="A475" t="s">
        <v>207</v>
      </c>
      <c r="B475" t="s">
        <v>226</v>
      </c>
      <c r="C475" t="s">
        <v>765</v>
      </c>
    </row>
    <row r="476" spans="1:3" x14ac:dyDescent="0.35">
      <c r="A476" t="s">
        <v>207</v>
      </c>
      <c r="B476" t="s">
        <v>226</v>
      </c>
      <c r="C476" t="s">
        <v>766</v>
      </c>
    </row>
    <row r="477" spans="1:3" x14ac:dyDescent="0.35">
      <c r="A477" t="s">
        <v>207</v>
      </c>
      <c r="B477" t="s">
        <v>226</v>
      </c>
      <c r="C477" t="s">
        <v>767</v>
      </c>
    </row>
    <row r="478" spans="1:3" x14ac:dyDescent="0.35">
      <c r="A478" t="s">
        <v>207</v>
      </c>
      <c r="B478" t="s">
        <v>226</v>
      </c>
      <c r="C478" t="s">
        <v>768</v>
      </c>
    </row>
    <row r="479" spans="1:3" x14ac:dyDescent="0.35">
      <c r="A479" t="s">
        <v>207</v>
      </c>
      <c r="B479" t="s">
        <v>226</v>
      </c>
      <c r="C479" t="s">
        <v>769</v>
      </c>
    </row>
    <row r="480" spans="1:3" x14ac:dyDescent="0.35">
      <c r="A480" t="s">
        <v>207</v>
      </c>
      <c r="B480" t="s">
        <v>226</v>
      </c>
      <c r="C480" t="s">
        <v>770</v>
      </c>
    </row>
    <row r="481" spans="1:3" x14ac:dyDescent="0.35">
      <c r="A481" t="s">
        <v>207</v>
      </c>
      <c r="B481" t="s">
        <v>226</v>
      </c>
      <c r="C481" t="s">
        <v>771</v>
      </c>
    </row>
    <row r="482" spans="1:3" x14ac:dyDescent="0.35">
      <c r="A482" t="s">
        <v>207</v>
      </c>
      <c r="B482" t="s">
        <v>226</v>
      </c>
      <c r="C482" t="s">
        <v>772</v>
      </c>
    </row>
    <row r="483" spans="1:3" x14ac:dyDescent="0.35">
      <c r="A483" t="s">
        <v>207</v>
      </c>
      <c r="B483" t="s">
        <v>226</v>
      </c>
      <c r="C483" t="s">
        <v>773</v>
      </c>
    </row>
    <row r="484" spans="1:3" x14ac:dyDescent="0.35">
      <c r="A484" t="s">
        <v>207</v>
      </c>
      <c r="B484" t="s">
        <v>226</v>
      </c>
      <c r="C484" t="s">
        <v>774</v>
      </c>
    </row>
    <row r="485" spans="1:3" x14ac:dyDescent="0.35">
      <c r="A485" t="s">
        <v>207</v>
      </c>
      <c r="B485" t="s">
        <v>226</v>
      </c>
      <c r="C485" t="s">
        <v>775</v>
      </c>
    </row>
    <row r="486" spans="1:3" x14ac:dyDescent="0.35">
      <c r="A486" t="s">
        <v>207</v>
      </c>
      <c r="B486" t="s">
        <v>226</v>
      </c>
      <c r="C486" t="s">
        <v>776</v>
      </c>
    </row>
    <row r="487" spans="1:3" x14ac:dyDescent="0.35">
      <c r="A487" t="s">
        <v>207</v>
      </c>
      <c r="B487" t="s">
        <v>226</v>
      </c>
      <c r="C487" t="s">
        <v>777</v>
      </c>
    </row>
    <row r="488" spans="1:3" x14ac:dyDescent="0.35">
      <c r="A488" t="s">
        <v>207</v>
      </c>
      <c r="B488" t="s">
        <v>226</v>
      </c>
      <c r="C488" t="s">
        <v>778</v>
      </c>
    </row>
    <row r="489" spans="1:3" x14ac:dyDescent="0.35">
      <c r="A489" t="s">
        <v>207</v>
      </c>
      <c r="B489" t="s">
        <v>226</v>
      </c>
      <c r="C489" t="s">
        <v>779</v>
      </c>
    </row>
    <row r="490" spans="1:3" x14ac:dyDescent="0.35">
      <c r="A490" t="s">
        <v>207</v>
      </c>
      <c r="B490" t="s">
        <v>226</v>
      </c>
      <c r="C490" t="s">
        <v>780</v>
      </c>
    </row>
    <row r="491" spans="1:3" x14ac:dyDescent="0.35">
      <c r="A491" t="s">
        <v>207</v>
      </c>
      <c r="B491" t="s">
        <v>226</v>
      </c>
      <c r="C491" t="s">
        <v>781</v>
      </c>
    </row>
    <row r="492" spans="1:3" x14ac:dyDescent="0.35">
      <c r="A492" t="s">
        <v>207</v>
      </c>
      <c r="B492" t="s">
        <v>226</v>
      </c>
      <c r="C492" t="s">
        <v>782</v>
      </c>
    </row>
    <row r="493" spans="1:3" x14ac:dyDescent="0.35">
      <c r="A493" t="s">
        <v>207</v>
      </c>
      <c r="B493" t="s">
        <v>226</v>
      </c>
      <c r="C493" t="s">
        <v>783</v>
      </c>
    </row>
    <row r="494" spans="1:3" x14ac:dyDescent="0.35">
      <c r="A494" t="s">
        <v>207</v>
      </c>
      <c r="B494" t="s">
        <v>226</v>
      </c>
      <c r="C494" t="s">
        <v>784</v>
      </c>
    </row>
    <row r="495" spans="1:3" x14ac:dyDescent="0.35">
      <c r="A495" t="s">
        <v>207</v>
      </c>
      <c r="B495" t="s">
        <v>226</v>
      </c>
      <c r="C495" t="s">
        <v>785</v>
      </c>
    </row>
    <row r="496" spans="1:3" x14ac:dyDescent="0.35">
      <c r="A496" t="s">
        <v>207</v>
      </c>
      <c r="B496" t="s">
        <v>226</v>
      </c>
      <c r="C496" t="s">
        <v>786</v>
      </c>
    </row>
    <row r="497" spans="1:3" x14ac:dyDescent="0.35">
      <c r="A497" t="s">
        <v>207</v>
      </c>
      <c r="B497" t="s">
        <v>226</v>
      </c>
      <c r="C497" t="s">
        <v>787</v>
      </c>
    </row>
    <row r="498" spans="1:3" x14ac:dyDescent="0.35">
      <c r="A498" t="s">
        <v>207</v>
      </c>
      <c r="B498" t="s">
        <v>226</v>
      </c>
      <c r="C498" t="s">
        <v>788</v>
      </c>
    </row>
    <row r="499" spans="1:3" x14ac:dyDescent="0.35">
      <c r="A499" t="s">
        <v>207</v>
      </c>
      <c r="B499" t="s">
        <v>226</v>
      </c>
      <c r="C499" t="s">
        <v>789</v>
      </c>
    </row>
    <row r="500" spans="1:3" x14ac:dyDescent="0.35">
      <c r="A500" t="s">
        <v>207</v>
      </c>
      <c r="B500" t="s">
        <v>226</v>
      </c>
      <c r="C500" t="s">
        <v>790</v>
      </c>
    </row>
    <row r="501" spans="1:3" x14ac:dyDescent="0.35">
      <c r="A501" t="s">
        <v>207</v>
      </c>
      <c r="B501" t="s">
        <v>226</v>
      </c>
      <c r="C501" t="s">
        <v>791</v>
      </c>
    </row>
    <row r="502" spans="1:3" x14ac:dyDescent="0.35">
      <c r="A502" t="s">
        <v>207</v>
      </c>
      <c r="B502" t="s">
        <v>226</v>
      </c>
      <c r="C502" t="s">
        <v>792</v>
      </c>
    </row>
    <row r="503" spans="1:3" x14ac:dyDescent="0.35">
      <c r="A503" t="s">
        <v>207</v>
      </c>
      <c r="B503" t="s">
        <v>226</v>
      </c>
      <c r="C503" t="s">
        <v>793</v>
      </c>
    </row>
    <row r="504" spans="1:3" x14ac:dyDescent="0.35">
      <c r="A504" t="s">
        <v>207</v>
      </c>
      <c r="B504" t="s">
        <v>226</v>
      </c>
      <c r="C504" t="s">
        <v>794</v>
      </c>
    </row>
    <row r="505" spans="1:3" x14ac:dyDescent="0.35">
      <c r="A505" t="s">
        <v>207</v>
      </c>
      <c r="B505" t="s">
        <v>226</v>
      </c>
      <c r="C505" t="s">
        <v>795</v>
      </c>
    </row>
    <row r="506" spans="1:3" x14ac:dyDescent="0.35">
      <c r="A506" t="s">
        <v>207</v>
      </c>
      <c r="B506" t="s">
        <v>226</v>
      </c>
      <c r="C506" t="s">
        <v>796</v>
      </c>
    </row>
    <row r="507" spans="1:3" x14ac:dyDescent="0.35">
      <c r="A507" t="s">
        <v>207</v>
      </c>
      <c r="B507" t="s">
        <v>226</v>
      </c>
      <c r="C507" t="s">
        <v>797</v>
      </c>
    </row>
    <row r="508" spans="1:3" x14ac:dyDescent="0.35">
      <c r="A508" t="s">
        <v>207</v>
      </c>
      <c r="B508" t="s">
        <v>226</v>
      </c>
      <c r="C508" t="s">
        <v>798</v>
      </c>
    </row>
    <row r="509" spans="1:3" x14ac:dyDescent="0.35">
      <c r="A509" t="s">
        <v>207</v>
      </c>
      <c r="B509" t="s">
        <v>226</v>
      </c>
      <c r="C509" t="s">
        <v>799</v>
      </c>
    </row>
    <row r="510" spans="1:3" x14ac:dyDescent="0.35">
      <c r="A510" t="s">
        <v>207</v>
      </c>
      <c r="B510" t="s">
        <v>226</v>
      </c>
      <c r="C510" t="s">
        <v>800</v>
      </c>
    </row>
    <row r="511" spans="1:3" x14ac:dyDescent="0.35">
      <c r="A511" t="s">
        <v>207</v>
      </c>
      <c r="B511" t="s">
        <v>226</v>
      </c>
      <c r="C511" t="s">
        <v>801</v>
      </c>
    </row>
    <row r="512" spans="1:3" x14ac:dyDescent="0.35">
      <c r="A512" t="s">
        <v>207</v>
      </c>
      <c r="B512" t="s">
        <v>226</v>
      </c>
      <c r="C512" t="s">
        <v>802</v>
      </c>
    </row>
    <row r="513" spans="1:3" x14ac:dyDescent="0.35">
      <c r="A513" t="s">
        <v>207</v>
      </c>
      <c r="B513" t="s">
        <v>226</v>
      </c>
      <c r="C513" t="s">
        <v>803</v>
      </c>
    </row>
    <row r="514" spans="1:3" x14ac:dyDescent="0.35">
      <c r="A514" t="s">
        <v>207</v>
      </c>
      <c r="B514" t="s">
        <v>226</v>
      </c>
      <c r="C514" t="s">
        <v>804</v>
      </c>
    </row>
    <row r="515" spans="1:3" x14ac:dyDescent="0.35">
      <c r="A515" t="s">
        <v>207</v>
      </c>
      <c r="B515" t="s">
        <v>226</v>
      </c>
      <c r="C515" t="s">
        <v>805</v>
      </c>
    </row>
    <row r="516" spans="1:3" x14ac:dyDescent="0.35">
      <c r="A516" t="s">
        <v>207</v>
      </c>
      <c r="B516" t="s">
        <v>226</v>
      </c>
      <c r="C516" t="s">
        <v>806</v>
      </c>
    </row>
    <row r="517" spans="1:3" x14ac:dyDescent="0.35">
      <c r="A517" t="s">
        <v>207</v>
      </c>
      <c r="B517" t="s">
        <v>226</v>
      </c>
      <c r="C517" t="s">
        <v>807</v>
      </c>
    </row>
    <row r="518" spans="1:3" x14ac:dyDescent="0.35">
      <c r="A518" t="s">
        <v>207</v>
      </c>
      <c r="B518" t="s">
        <v>52</v>
      </c>
      <c r="C518" t="s">
        <v>808</v>
      </c>
    </row>
    <row r="519" spans="1:3" x14ac:dyDescent="0.35">
      <c r="A519" t="s">
        <v>207</v>
      </c>
      <c r="B519" t="s">
        <v>52</v>
      </c>
      <c r="C519" t="s">
        <v>809</v>
      </c>
    </row>
    <row r="520" spans="1:3" x14ac:dyDescent="0.35">
      <c r="A520" t="s">
        <v>207</v>
      </c>
      <c r="B520" t="s">
        <v>52</v>
      </c>
      <c r="C520" t="s">
        <v>810</v>
      </c>
    </row>
    <row r="521" spans="1:3" x14ac:dyDescent="0.35">
      <c r="A521" t="s">
        <v>207</v>
      </c>
      <c r="B521" t="s">
        <v>52</v>
      </c>
      <c r="C521" t="s">
        <v>811</v>
      </c>
    </row>
    <row r="522" spans="1:3" x14ac:dyDescent="0.35">
      <c r="A522" t="s">
        <v>207</v>
      </c>
      <c r="B522" t="s">
        <v>52</v>
      </c>
      <c r="C522" t="s">
        <v>812</v>
      </c>
    </row>
    <row r="523" spans="1:3" x14ac:dyDescent="0.35">
      <c r="A523" t="s">
        <v>207</v>
      </c>
      <c r="B523" t="s">
        <v>52</v>
      </c>
      <c r="C523" t="s">
        <v>813</v>
      </c>
    </row>
    <row r="524" spans="1:3" x14ac:dyDescent="0.35">
      <c r="A524" t="s">
        <v>207</v>
      </c>
      <c r="B524" t="s">
        <v>52</v>
      </c>
      <c r="C524" t="s">
        <v>814</v>
      </c>
    </row>
    <row r="525" spans="1:3" x14ac:dyDescent="0.35">
      <c r="A525" t="s">
        <v>207</v>
      </c>
      <c r="B525" t="s">
        <v>52</v>
      </c>
      <c r="C525" t="s">
        <v>815</v>
      </c>
    </row>
    <row r="526" spans="1:3" x14ac:dyDescent="0.35">
      <c r="A526" t="s">
        <v>207</v>
      </c>
      <c r="B526" t="s">
        <v>52</v>
      </c>
      <c r="C526" t="s">
        <v>816</v>
      </c>
    </row>
    <row r="527" spans="1:3" x14ac:dyDescent="0.35">
      <c r="A527" t="s">
        <v>207</v>
      </c>
      <c r="B527" t="s">
        <v>52</v>
      </c>
      <c r="C527" t="s">
        <v>817</v>
      </c>
    </row>
    <row r="528" spans="1:3" x14ac:dyDescent="0.35">
      <c r="A528" t="s">
        <v>207</v>
      </c>
      <c r="B528" t="s">
        <v>52</v>
      </c>
      <c r="C528" t="s">
        <v>818</v>
      </c>
    </row>
    <row r="529" spans="1:3" x14ac:dyDescent="0.35">
      <c r="A529" t="s">
        <v>207</v>
      </c>
      <c r="B529" t="s">
        <v>52</v>
      </c>
      <c r="C529" t="s">
        <v>819</v>
      </c>
    </row>
    <row r="530" spans="1:3" x14ac:dyDescent="0.35">
      <c r="A530" t="s">
        <v>207</v>
      </c>
      <c r="B530" t="s">
        <v>52</v>
      </c>
      <c r="C530" t="s">
        <v>820</v>
      </c>
    </row>
    <row r="531" spans="1:3" x14ac:dyDescent="0.35">
      <c r="A531" t="s">
        <v>207</v>
      </c>
      <c r="B531" t="s">
        <v>52</v>
      </c>
      <c r="C531" t="s">
        <v>821</v>
      </c>
    </row>
    <row r="532" spans="1:3" x14ac:dyDescent="0.35">
      <c r="A532" t="s">
        <v>207</v>
      </c>
      <c r="B532" t="s">
        <v>52</v>
      </c>
      <c r="C532" t="s">
        <v>822</v>
      </c>
    </row>
    <row r="533" spans="1:3" x14ac:dyDescent="0.35">
      <c r="A533" t="s">
        <v>207</v>
      </c>
      <c r="B533" t="s">
        <v>52</v>
      </c>
      <c r="C533" t="s">
        <v>823</v>
      </c>
    </row>
    <row r="534" spans="1:3" x14ac:dyDescent="0.35">
      <c r="A534" t="s">
        <v>207</v>
      </c>
      <c r="B534" t="s">
        <v>52</v>
      </c>
      <c r="C534" t="s">
        <v>824</v>
      </c>
    </row>
    <row r="535" spans="1:3" x14ac:dyDescent="0.35">
      <c r="A535" t="s">
        <v>207</v>
      </c>
      <c r="B535" t="s">
        <v>52</v>
      </c>
      <c r="C535" t="s">
        <v>825</v>
      </c>
    </row>
    <row r="536" spans="1:3" x14ac:dyDescent="0.35">
      <c r="A536" t="s">
        <v>207</v>
      </c>
      <c r="B536" t="s">
        <v>52</v>
      </c>
      <c r="C536" t="s">
        <v>826</v>
      </c>
    </row>
    <row r="537" spans="1:3" x14ac:dyDescent="0.35">
      <c r="A537" t="s">
        <v>207</v>
      </c>
      <c r="B537" t="s">
        <v>52</v>
      </c>
      <c r="C537" t="s">
        <v>827</v>
      </c>
    </row>
    <row r="538" spans="1:3" x14ac:dyDescent="0.35">
      <c r="A538" t="s">
        <v>207</v>
      </c>
      <c r="B538" t="s">
        <v>52</v>
      </c>
      <c r="C538" t="s">
        <v>828</v>
      </c>
    </row>
    <row r="539" spans="1:3" x14ac:dyDescent="0.35">
      <c r="A539" t="s">
        <v>207</v>
      </c>
      <c r="B539" t="s">
        <v>52</v>
      </c>
      <c r="C539" t="s">
        <v>829</v>
      </c>
    </row>
    <row r="540" spans="1:3" x14ac:dyDescent="0.35">
      <c r="A540" t="s">
        <v>207</v>
      </c>
      <c r="B540" t="s">
        <v>52</v>
      </c>
      <c r="C540" t="s">
        <v>830</v>
      </c>
    </row>
    <row r="541" spans="1:3" x14ac:dyDescent="0.35">
      <c r="A541" t="s">
        <v>207</v>
      </c>
      <c r="B541" t="s">
        <v>52</v>
      </c>
      <c r="C541" t="s">
        <v>831</v>
      </c>
    </row>
    <row r="542" spans="1:3" x14ac:dyDescent="0.35">
      <c r="A542" t="s">
        <v>207</v>
      </c>
      <c r="B542" t="s">
        <v>52</v>
      </c>
      <c r="C542" t="s">
        <v>832</v>
      </c>
    </row>
    <row r="543" spans="1:3" x14ac:dyDescent="0.35">
      <c r="A543" t="s">
        <v>207</v>
      </c>
      <c r="B543" t="s">
        <v>52</v>
      </c>
      <c r="C543" t="s">
        <v>833</v>
      </c>
    </row>
    <row r="544" spans="1:3" x14ac:dyDescent="0.35">
      <c r="A544" t="s">
        <v>207</v>
      </c>
      <c r="B544" t="s">
        <v>52</v>
      </c>
      <c r="C544" t="s">
        <v>834</v>
      </c>
    </row>
    <row r="545" spans="1:3" x14ac:dyDescent="0.35">
      <c r="A545" t="s">
        <v>207</v>
      </c>
      <c r="B545" t="s">
        <v>52</v>
      </c>
      <c r="C545" t="s">
        <v>835</v>
      </c>
    </row>
    <row r="546" spans="1:3" x14ac:dyDescent="0.35">
      <c r="A546" t="s">
        <v>207</v>
      </c>
      <c r="B546" t="s">
        <v>52</v>
      </c>
      <c r="C546" t="s">
        <v>836</v>
      </c>
    </row>
    <row r="547" spans="1:3" x14ac:dyDescent="0.35">
      <c r="A547" t="s">
        <v>207</v>
      </c>
      <c r="B547" t="s">
        <v>52</v>
      </c>
      <c r="C547" t="s">
        <v>837</v>
      </c>
    </row>
    <row r="548" spans="1:3" x14ac:dyDescent="0.35">
      <c r="A548" t="s">
        <v>207</v>
      </c>
      <c r="B548" t="s">
        <v>52</v>
      </c>
      <c r="C548" t="s">
        <v>838</v>
      </c>
    </row>
    <row r="549" spans="1:3" x14ac:dyDescent="0.35">
      <c r="A549" t="s">
        <v>207</v>
      </c>
      <c r="B549" t="s">
        <v>52</v>
      </c>
      <c r="C549" t="s">
        <v>839</v>
      </c>
    </row>
    <row r="550" spans="1:3" x14ac:dyDescent="0.35">
      <c r="A550" t="s">
        <v>207</v>
      </c>
      <c r="B550" t="s">
        <v>52</v>
      </c>
      <c r="C550" t="s">
        <v>840</v>
      </c>
    </row>
    <row r="551" spans="1:3" x14ac:dyDescent="0.35">
      <c r="A551" t="s">
        <v>207</v>
      </c>
      <c r="B551" t="s">
        <v>52</v>
      </c>
      <c r="C551" t="s">
        <v>841</v>
      </c>
    </row>
    <row r="552" spans="1:3" x14ac:dyDescent="0.35">
      <c r="A552" t="s">
        <v>207</v>
      </c>
      <c r="B552" t="s">
        <v>52</v>
      </c>
      <c r="C552" t="s">
        <v>842</v>
      </c>
    </row>
    <row r="553" spans="1:3" x14ac:dyDescent="0.35">
      <c r="A553" t="s">
        <v>207</v>
      </c>
      <c r="B553" t="s">
        <v>52</v>
      </c>
      <c r="C553" t="s">
        <v>843</v>
      </c>
    </row>
    <row r="554" spans="1:3" x14ac:dyDescent="0.35">
      <c r="A554" t="s">
        <v>207</v>
      </c>
      <c r="B554" t="s">
        <v>52</v>
      </c>
      <c r="C554" t="s">
        <v>844</v>
      </c>
    </row>
    <row r="555" spans="1:3" x14ac:dyDescent="0.35">
      <c r="A555" t="s">
        <v>207</v>
      </c>
      <c r="B555" t="s">
        <v>52</v>
      </c>
      <c r="C555" t="s">
        <v>845</v>
      </c>
    </row>
    <row r="556" spans="1:3" x14ac:dyDescent="0.35">
      <c r="A556" t="s">
        <v>207</v>
      </c>
      <c r="B556" t="s">
        <v>52</v>
      </c>
      <c r="C556" t="s">
        <v>846</v>
      </c>
    </row>
    <row r="557" spans="1:3" x14ac:dyDescent="0.35">
      <c r="A557" t="s">
        <v>207</v>
      </c>
      <c r="B557" t="s">
        <v>52</v>
      </c>
      <c r="C557" t="s">
        <v>847</v>
      </c>
    </row>
    <row r="558" spans="1:3" x14ac:dyDescent="0.35">
      <c r="A558" t="s">
        <v>207</v>
      </c>
      <c r="B558" t="s">
        <v>52</v>
      </c>
      <c r="C558" t="s">
        <v>848</v>
      </c>
    </row>
    <row r="559" spans="1:3" x14ac:dyDescent="0.35">
      <c r="A559" t="s">
        <v>207</v>
      </c>
      <c r="B559" t="s">
        <v>52</v>
      </c>
      <c r="C559" t="s">
        <v>849</v>
      </c>
    </row>
    <row r="560" spans="1:3" x14ac:dyDescent="0.35">
      <c r="A560" t="s">
        <v>207</v>
      </c>
      <c r="B560" t="s">
        <v>52</v>
      </c>
      <c r="C560" t="s">
        <v>850</v>
      </c>
    </row>
    <row r="561" spans="1:3" x14ac:dyDescent="0.35">
      <c r="A561" t="s">
        <v>207</v>
      </c>
      <c r="B561" t="s">
        <v>52</v>
      </c>
      <c r="C561" t="s">
        <v>851</v>
      </c>
    </row>
    <row r="562" spans="1:3" x14ac:dyDescent="0.35">
      <c r="A562" t="s">
        <v>207</v>
      </c>
      <c r="B562" t="s">
        <v>52</v>
      </c>
      <c r="C562" t="s">
        <v>52</v>
      </c>
    </row>
    <row r="563" spans="1:3" x14ac:dyDescent="0.35">
      <c r="A563" t="s">
        <v>207</v>
      </c>
      <c r="B563" t="s">
        <v>52</v>
      </c>
      <c r="C563" t="s">
        <v>852</v>
      </c>
    </row>
    <row r="564" spans="1:3" x14ac:dyDescent="0.35">
      <c r="A564" t="s">
        <v>207</v>
      </c>
      <c r="B564" t="s">
        <v>52</v>
      </c>
      <c r="C564" t="s">
        <v>853</v>
      </c>
    </row>
    <row r="565" spans="1:3" x14ac:dyDescent="0.35">
      <c r="A565" t="s">
        <v>207</v>
      </c>
      <c r="B565" t="s">
        <v>52</v>
      </c>
      <c r="C565" t="s">
        <v>854</v>
      </c>
    </row>
    <row r="566" spans="1:3" x14ac:dyDescent="0.35">
      <c r="A566" t="s">
        <v>207</v>
      </c>
      <c r="B566" t="s">
        <v>52</v>
      </c>
      <c r="C566" t="s">
        <v>855</v>
      </c>
    </row>
    <row r="567" spans="1:3" x14ac:dyDescent="0.35">
      <c r="A567" t="s">
        <v>207</v>
      </c>
      <c r="B567" t="s">
        <v>52</v>
      </c>
      <c r="C567" t="s">
        <v>856</v>
      </c>
    </row>
    <row r="568" spans="1:3" x14ac:dyDescent="0.35">
      <c r="A568" t="s">
        <v>207</v>
      </c>
      <c r="B568" t="s">
        <v>52</v>
      </c>
      <c r="C568" t="s">
        <v>857</v>
      </c>
    </row>
    <row r="569" spans="1:3" x14ac:dyDescent="0.35">
      <c r="A569" t="s">
        <v>207</v>
      </c>
      <c r="B569" t="s">
        <v>52</v>
      </c>
      <c r="C569" t="s">
        <v>858</v>
      </c>
    </row>
    <row r="570" spans="1:3" x14ac:dyDescent="0.35">
      <c r="A570" t="s">
        <v>207</v>
      </c>
      <c r="B570" t="s">
        <v>52</v>
      </c>
      <c r="C570" t="s">
        <v>859</v>
      </c>
    </row>
    <row r="571" spans="1:3" x14ac:dyDescent="0.35">
      <c r="A571" t="s">
        <v>207</v>
      </c>
      <c r="B571" t="s">
        <v>52</v>
      </c>
      <c r="C571" t="s">
        <v>860</v>
      </c>
    </row>
    <row r="572" spans="1:3" x14ac:dyDescent="0.35">
      <c r="A572" t="s">
        <v>207</v>
      </c>
      <c r="B572" t="s">
        <v>52</v>
      </c>
      <c r="C572" t="s">
        <v>861</v>
      </c>
    </row>
    <row r="573" spans="1:3" x14ac:dyDescent="0.35">
      <c r="A573" t="s">
        <v>207</v>
      </c>
      <c r="B573" t="s">
        <v>52</v>
      </c>
      <c r="C573" t="s">
        <v>862</v>
      </c>
    </row>
    <row r="574" spans="1:3" x14ac:dyDescent="0.35">
      <c r="A574" t="s">
        <v>207</v>
      </c>
      <c r="B574" t="s">
        <v>52</v>
      </c>
      <c r="C574" t="s">
        <v>863</v>
      </c>
    </row>
    <row r="575" spans="1:3" x14ac:dyDescent="0.35">
      <c r="A575" t="s">
        <v>207</v>
      </c>
      <c r="B575" t="s">
        <v>52</v>
      </c>
      <c r="C575" t="s">
        <v>864</v>
      </c>
    </row>
    <row r="576" spans="1:3" x14ac:dyDescent="0.35">
      <c r="A576" t="s">
        <v>207</v>
      </c>
      <c r="B576" t="s">
        <v>52</v>
      </c>
      <c r="C576" t="s">
        <v>865</v>
      </c>
    </row>
    <row r="577" spans="1:3" x14ac:dyDescent="0.35">
      <c r="A577" t="s">
        <v>207</v>
      </c>
      <c r="B577" t="s">
        <v>52</v>
      </c>
      <c r="C577" t="s">
        <v>866</v>
      </c>
    </row>
    <row r="578" spans="1:3" x14ac:dyDescent="0.35">
      <c r="A578" t="s">
        <v>207</v>
      </c>
      <c r="B578" t="s">
        <v>52</v>
      </c>
      <c r="C578" t="s">
        <v>867</v>
      </c>
    </row>
    <row r="579" spans="1:3" x14ac:dyDescent="0.35">
      <c r="A579" t="s">
        <v>207</v>
      </c>
      <c r="B579" t="s">
        <v>52</v>
      </c>
      <c r="C579" t="s">
        <v>868</v>
      </c>
    </row>
    <row r="580" spans="1:3" x14ac:dyDescent="0.35">
      <c r="A580" t="s">
        <v>207</v>
      </c>
      <c r="B580" t="s">
        <v>52</v>
      </c>
      <c r="C580" t="s">
        <v>869</v>
      </c>
    </row>
    <row r="581" spans="1:3" x14ac:dyDescent="0.35">
      <c r="A581" t="s">
        <v>207</v>
      </c>
      <c r="B581" t="s">
        <v>52</v>
      </c>
      <c r="C581" t="s">
        <v>870</v>
      </c>
    </row>
    <row r="582" spans="1:3" x14ac:dyDescent="0.35">
      <c r="A582" t="s">
        <v>207</v>
      </c>
      <c r="B582" t="s">
        <v>52</v>
      </c>
      <c r="C582" t="s">
        <v>871</v>
      </c>
    </row>
    <row r="583" spans="1:3" x14ac:dyDescent="0.35">
      <c r="A583" t="s">
        <v>207</v>
      </c>
      <c r="B583" t="s">
        <v>52</v>
      </c>
      <c r="C583" t="s">
        <v>872</v>
      </c>
    </row>
    <row r="584" spans="1:3" x14ac:dyDescent="0.35">
      <c r="A584" t="s">
        <v>207</v>
      </c>
      <c r="B584" t="s">
        <v>52</v>
      </c>
      <c r="C584" t="s">
        <v>873</v>
      </c>
    </row>
    <row r="585" spans="1:3" x14ac:dyDescent="0.35">
      <c r="A585" t="s">
        <v>207</v>
      </c>
      <c r="B585" t="s">
        <v>52</v>
      </c>
      <c r="C585" t="s">
        <v>874</v>
      </c>
    </row>
    <row r="586" spans="1:3" x14ac:dyDescent="0.35">
      <c r="A586" t="s">
        <v>207</v>
      </c>
      <c r="B586" t="s">
        <v>52</v>
      </c>
      <c r="C586" t="s">
        <v>875</v>
      </c>
    </row>
    <row r="587" spans="1:3" x14ac:dyDescent="0.35">
      <c r="A587" t="s">
        <v>207</v>
      </c>
      <c r="B587" t="s">
        <v>52</v>
      </c>
      <c r="C587" t="s">
        <v>876</v>
      </c>
    </row>
    <row r="588" spans="1:3" x14ac:dyDescent="0.35">
      <c r="A588" t="s">
        <v>207</v>
      </c>
      <c r="B588" t="s">
        <v>52</v>
      </c>
      <c r="C588" t="s">
        <v>877</v>
      </c>
    </row>
    <row r="589" spans="1:3" x14ac:dyDescent="0.35">
      <c r="A589" t="s">
        <v>207</v>
      </c>
      <c r="B589" t="s">
        <v>52</v>
      </c>
      <c r="C589" t="s">
        <v>878</v>
      </c>
    </row>
    <row r="590" spans="1:3" x14ac:dyDescent="0.35">
      <c r="A590" t="s">
        <v>207</v>
      </c>
      <c r="B590" t="s">
        <v>52</v>
      </c>
      <c r="C590" t="s">
        <v>879</v>
      </c>
    </row>
    <row r="591" spans="1:3" x14ac:dyDescent="0.35">
      <c r="A591" t="s">
        <v>207</v>
      </c>
      <c r="B591" t="s">
        <v>52</v>
      </c>
      <c r="C591" t="s">
        <v>880</v>
      </c>
    </row>
    <row r="592" spans="1:3" x14ac:dyDescent="0.35">
      <c r="A592" t="s">
        <v>207</v>
      </c>
      <c r="B592" t="s">
        <v>52</v>
      </c>
      <c r="C592" t="s">
        <v>881</v>
      </c>
    </row>
    <row r="593" spans="1:3" x14ac:dyDescent="0.35">
      <c r="A593" t="s">
        <v>207</v>
      </c>
      <c r="B593" t="s">
        <v>52</v>
      </c>
      <c r="C593" t="s">
        <v>882</v>
      </c>
    </row>
    <row r="594" spans="1:3" x14ac:dyDescent="0.35">
      <c r="A594" t="s">
        <v>207</v>
      </c>
      <c r="B594" t="s">
        <v>52</v>
      </c>
      <c r="C594" t="s">
        <v>883</v>
      </c>
    </row>
    <row r="595" spans="1:3" x14ac:dyDescent="0.35">
      <c r="A595" t="s">
        <v>207</v>
      </c>
      <c r="B595" t="s">
        <v>52</v>
      </c>
      <c r="C595" t="s">
        <v>884</v>
      </c>
    </row>
    <row r="596" spans="1:3" x14ac:dyDescent="0.35">
      <c r="A596" t="s">
        <v>207</v>
      </c>
      <c r="B596" t="s">
        <v>52</v>
      </c>
      <c r="C596" t="s">
        <v>885</v>
      </c>
    </row>
    <row r="597" spans="1:3" x14ac:dyDescent="0.35">
      <c r="A597" t="s">
        <v>207</v>
      </c>
      <c r="B597" t="s">
        <v>52</v>
      </c>
      <c r="C597" t="s">
        <v>886</v>
      </c>
    </row>
    <row r="598" spans="1:3" x14ac:dyDescent="0.35">
      <c r="A598" t="s">
        <v>207</v>
      </c>
      <c r="B598" t="s">
        <v>52</v>
      </c>
      <c r="C598" t="s">
        <v>887</v>
      </c>
    </row>
    <row r="599" spans="1:3" x14ac:dyDescent="0.35">
      <c r="A599" t="s">
        <v>207</v>
      </c>
      <c r="B599" t="s">
        <v>52</v>
      </c>
      <c r="C599" t="s">
        <v>888</v>
      </c>
    </row>
    <row r="600" spans="1:3" x14ac:dyDescent="0.35">
      <c r="A600" t="s">
        <v>207</v>
      </c>
      <c r="B600" t="s">
        <v>52</v>
      </c>
      <c r="C600" t="s">
        <v>889</v>
      </c>
    </row>
    <row r="601" spans="1:3" x14ac:dyDescent="0.35">
      <c r="A601" t="s">
        <v>207</v>
      </c>
      <c r="B601" t="s">
        <v>52</v>
      </c>
      <c r="C601" t="s">
        <v>890</v>
      </c>
    </row>
    <row r="602" spans="1:3" x14ac:dyDescent="0.35">
      <c r="A602" t="s">
        <v>207</v>
      </c>
      <c r="B602" t="s">
        <v>52</v>
      </c>
      <c r="C602" t="s">
        <v>891</v>
      </c>
    </row>
    <row r="603" spans="1:3" x14ac:dyDescent="0.35">
      <c r="A603" t="s">
        <v>207</v>
      </c>
      <c r="B603" t="s">
        <v>52</v>
      </c>
      <c r="C603" t="s">
        <v>892</v>
      </c>
    </row>
    <row r="604" spans="1:3" x14ac:dyDescent="0.35">
      <c r="A604" t="s">
        <v>207</v>
      </c>
      <c r="B604" t="s">
        <v>52</v>
      </c>
      <c r="C604" t="s">
        <v>893</v>
      </c>
    </row>
    <row r="605" spans="1:3" x14ac:dyDescent="0.35">
      <c r="A605" t="s">
        <v>207</v>
      </c>
      <c r="B605" t="s">
        <v>52</v>
      </c>
      <c r="C605" t="s">
        <v>894</v>
      </c>
    </row>
    <row r="606" spans="1:3" x14ac:dyDescent="0.35">
      <c r="A606" t="s">
        <v>207</v>
      </c>
      <c r="B606" t="s">
        <v>52</v>
      </c>
      <c r="C606" t="s">
        <v>895</v>
      </c>
    </row>
    <row r="607" spans="1:3" x14ac:dyDescent="0.35">
      <c r="A607" t="s">
        <v>207</v>
      </c>
      <c r="B607" t="s">
        <v>52</v>
      </c>
      <c r="C607" t="s">
        <v>896</v>
      </c>
    </row>
    <row r="608" spans="1:3" x14ac:dyDescent="0.35">
      <c r="A608" t="s">
        <v>207</v>
      </c>
      <c r="B608" t="s">
        <v>52</v>
      </c>
      <c r="C608" t="s">
        <v>897</v>
      </c>
    </row>
    <row r="609" spans="1:3" x14ac:dyDescent="0.35">
      <c r="A609" t="s">
        <v>207</v>
      </c>
      <c r="B609" t="s">
        <v>52</v>
      </c>
      <c r="C609" t="s">
        <v>898</v>
      </c>
    </row>
    <row r="610" spans="1:3" x14ac:dyDescent="0.35">
      <c r="A610" t="s">
        <v>207</v>
      </c>
      <c r="B610" t="s">
        <v>52</v>
      </c>
      <c r="C610" t="s">
        <v>899</v>
      </c>
    </row>
    <row r="611" spans="1:3" x14ac:dyDescent="0.35">
      <c r="A611" t="s">
        <v>207</v>
      </c>
      <c r="B611" t="s">
        <v>52</v>
      </c>
      <c r="C611" t="s">
        <v>900</v>
      </c>
    </row>
    <row r="612" spans="1:3" x14ac:dyDescent="0.35">
      <c r="A612" t="s">
        <v>207</v>
      </c>
      <c r="B612" t="s">
        <v>52</v>
      </c>
      <c r="C612" t="s">
        <v>901</v>
      </c>
    </row>
    <row r="613" spans="1:3" x14ac:dyDescent="0.35">
      <c r="A613" t="s">
        <v>207</v>
      </c>
      <c r="B613" t="s">
        <v>52</v>
      </c>
      <c r="C613" t="s">
        <v>902</v>
      </c>
    </row>
    <row r="614" spans="1:3" x14ac:dyDescent="0.35">
      <c r="A614" t="s">
        <v>207</v>
      </c>
      <c r="B614" t="s">
        <v>52</v>
      </c>
      <c r="C614" t="s">
        <v>903</v>
      </c>
    </row>
    <row r="615" spans="1:3" x14ac:dyDescent="0.35">
      <c r="A615" t="s">
        <v>207</v>
      </c>
      <c r="B615" t="s">
        <v>52</v>
      </c>
      <c r="C615" t="s">
        <v>904</v>
      </c>
    </row>
    <row r="616" spans="1:3" x14ac:dyDescent="0.35">
      <c r="A616" t="s">
        <v>207</v>
      </c>
      <c r="B616" t="s">
        <v>52</v>
      </c>
      <c r="C616" t="s">
        <v>905</v>
      </c>
    </row>
    <row r="617" spans="1:3" x14ac:dyDescent="0.35">
      <c r="A617" t="s">
        <v>207</v>
      </c>
      <c r="B617" t="s">
        <v>52</v>
      </c>
      <c r="C617" t="s">
        <v>906</v>
      </c>
    </row>
    <row r="618" spans="1:3" x14ac:dyDescent="0.35">
      <c r="A618" t="s">
        <v>207</v>
      </c>
      <c r="B618" t="s">
        <v>52</v>
      </c>
      <c r="C618" t="s">
        <v>907</v>
      </c>
    </row>
    <row r="619" spans="1:3" x14ac:dyDescent="0.35">
      <c r="A619" t="s">
        <v>207</v>
      </c>
      <c r="B619" t="s">
        <v>52</v>
      </c>
      <c r="C619" t="s">
        <v>908</v>
      </c>
    </row>
    <row r="620" spans="1:3" x14ac:dyDescent="0.35">
      <c r="A620" t="s">
        <v>207</v>
      </c>
      <c r="B620" t="s">
        <v>52</v>
      </c>
      <c r="C620" t="s">
        <v>909</v>
      </c>
    </row>
    <row r="621" spans="1:3" x14ac:dyDescent="0.35">
      <c r="A621" t="s">
        <v>207</v>
      </c>
      <c r="B621" t="s">
        <v>52</v>
      </c>
      <c r="C621" t="s">
        <v>910</v>
      </c>
    </row>
    <row r="622" spans="1:3" x14ac:dyDescent="0.35">
      <c r="A622" t="s">
        <v>207</v>
      </c>
      <c r="B622" t="s">
        <v>52</v>
      </c>
      <c r="C622" t="s">
        <v>911</v>
      </c>
    </row>
    <row r="623" spans="1:3" x14ac:dyDescent="0.35">
      <c r="A623" t="s">
        <v>207</v>
      </c>
      <c r="B623" t="s">
        <v>52</v>
      </c>
      <c r="C623" t="s">
        <v>912</v>
      </c>
    </row>
    <row r="624" spans="1:3" x14ac:dyDescent="0.35">
      <c r="A624" t="s">
        <v>207</v>
      </c>
      <c r="B624" t="s">
        <v>52</v>
      </c>
      <c r="C624" t="s">
        <v>913</v>
      </c>
    </row>
    <row r="625" spans="1:3" x14ac:dyDescent="0.35">
      <c r="A625" t="s">
        <v>207</v>
      </c>
      <c r="B625" t="s">
        <v>52</v>
      </c>
      <c r="C625" t="s">
        <v>914</v>
      </c>
    </row>
    <row r="626" spans="1:3" x14ac:dyDescent="0.35">
      <c r="A626" t="s">
        <v>207</v>
      </c>
      <c r="B626" t="s">
        <v>52</v>
      </c>
      <c r="C626" t="s">
        <v>915</v>
      </c>
    </row>
    <row r="627" spans="1:3" x14ac:dyDescent="0.35">
      <c r="A627" t="s">
        <v>207</v>
      </c>
      <c r="B627" t="s">
        <v>52</v>
      </c>
      <c r="C627" t="s">
        <v>916</v>
      </c>
    </row>
    <row r="628" spans="1:3" x14ac:dyDescent="0.35">
      <c r="A628" t="s">
        <v>207</v>
      </c>
      <c r="B628" t="s">
        <v>52</v>
      </c>
      <c r="C628" t="s">
        <v>917</v>
      </c>
    </row>
    <row r="629" spans="1:3" x14ac:dyDescent="0.35">
      <c r="A629" t="s">
        <v>207</v>
      </c>
      <c r="B629" t="s">
        <v>52</v>
      </c>
      <c r="C629" t="s">
        <v>918</v>
      </c>
    </row>
    <row r="630" spans="1:3" x14ac:dyDescent="0.35">
      <c r="A630" t="s">
        <v>207</v>
      </c>
      <c r="B630" t="s">
        <v>52</v>
      </c>
      <c r="C630" t="s">
        <v>919</v>
      </c>
    </row>
    <row r="631" spans="1:3" x14ac:dyDescent="0.35">
      <c r="A631" t="s">
        <v>207</v>
      </c>
      <c r="B631" t="s">
        <v>52</v>
      </c>
      <c r="C631" t="s">
        <v>920</v>
      </c>
    </row>
    <row r="632" spans="1:3" x14ac:dyDescent="0.35">
      <c r="A632" t="s">
        <v>207</v>
      </c>
      <c r="B632" t="s">
        <v>52</v>
      </c>
      <c r="C632" t="s">
        <v>921</v>
      </c>
    </row>
    <row r="633" spans="1:3" x14ac:dyDescent="0.35">
      <c r="A633" t="s">
        <v>207</v>
      </c>
      <c r="B633" t="s">
        <v>52</v>
      </c>
      <c r="C633" t="s">
        <v>922</v>
      </c>
    </row>
    <row r="634" spans="1:3" x14ac:dyDescent="0.35">
      <c r="A634" t="s">
        <v>207</v>
      </c>
      <c r="B634" t="s">
        <v>52</v>
      </c>
      <c r="C634" t="s">
        <v>923</v>
      </c>
    </row>
    <row r="635" spans="1:3" x14ac:dyDescent="0.35">
      <c r="A635" t="s">
        <v>207</v>
      </c>
      <c r="B635" t="s">
        <v>52</v>
      </c>
      <c r="C635" t="s">
        <v>924</v>
      </c>
    </row>
    <row r="636" spans="1:3" x14ac:dyDescent="0.35">
      <c r="A636" t="s">
        <v>207</v>
      </c>
      <c r="B636" t="s">
        <v>52</v>
      </c>
      <c r="C636" t="s">
        <v>925</v>
      </c>
    </row>
    <row r="637" spans="1:3" x14ac:dyDescent="0.35">
      <c r="A637" t="s">
        <v>207</v>
      </c>
      <c r="B637" t="s">
        <v>52</v>
      </c>
      <c r="C637" t="s">
        <v>926</v>
      </c>
    </row>
    <row r="638" spans="1:3" x14ac:dyDescent="0.35">
      <c r="A638" t="s">
        <v>207</v>
      </c>
      <c r="B638" t="s">
        <v>52</v>
      </c>
      <c r="C638" t="s">
        <v>927</v>
      </c>
    </row>
    <row r="639" spans="1:3" x14ac:dyDescent="0.35">
      <c r="A639" t="s">
        <v>207</v>
      </c>
      <c r="B639" t="s">
        <v>52</v>
      </c>
      <c r="C639" t="s">
        <v>928</v>
      </c>
    </row>
    <row r="640" spans="1:3" x14ac:dyDescent="0.35">
      <c r="A640" t="s">
        <v>207</v>
      </c>
      <c r="B640" t="s">
        <v>52</v>
      </c>
      <c r="C640" t="s">
        <v>929</v>
      </c>
    </row>
    <row r="641" spans="1:3" x14ac:dyDescent="0.35">
      <c r="A641" t="s">
        <v>207</v>
      </c>
      <c r="B641" t="s">
        <v>52</v>
      </c>
      <c r="C641" t="s">
        <v>930</v>
      </c>
    </row>
    <row r="642" spans="1:3" x14ac:dyDescent="0.35">
      <c r="A642" t="s">
        <v>207</v>
      </c>
      <c r="B642" t="s">
        <v>52</v>
      </c>
      <c r="C642" t="s">
        <v>931</v>
      </c>
    </row>
    <row r="643" spans="1:3" x14ac:dyDescent="0.35">
      <c r="A643" t="s">
        <v>207</v>
      </c>
      <c r="B643" t="s">
        <v>52</v>
      </c>
      <c r="C643" t="s">
        <v>932</v>
      </c>
    </row>
    <row r="644" spans="1:3" x14ac:dyDescent="0.35">
      <c r="A644" t="s">
        <v>207</v>
      </c>
      <c r="B644" t="s">
        <v>52</v>
      </c>
      <c r="C644" t="s">
        <v>933</v>
      </c>
    </row>
    <row r="645" spans="1:3" x14ac:dyDescent="0.35">
      <c r="A645" t="s">
        <v>207</v>
      </c>
      <c r="B645" t="s">
        <v>52</v>
      </c>
      <c r="C645" t="s">
        <v>934</v>
      </c>
    </row>
    <row r="646" spans="1:3" x14ac:dyDescent="0.35">
      <c r="A646" t="s">
        <v>207</v>
      </c>
      <c r="B646" t="s">
        <v>52</v>
      </c>
      <c r="C646" t="s">
        <v>935</v>
      </c>
    </row>
    <row r="647" spans="1:3" x14ac:dyDescent="0.35">
      <c r="A647" t="s">
        <v>207</v>
      </c>
      <c r="B647" t="s">
        <v>52</v>
      </c>
      <c r="C647" t="s">
        <v>936</v>
      </c>
    </row>
    <row r="648" spans="1:3" x14ac:dyDescent="0.35">
      <c r="A648" t="s">
        <v>207</v>
      </c>
      <c r="B648" t="s">
        <v>52</v>
      </c>
      <c r="C648" t="s">
        <v>937</v>
      </c>
    </row>
    <row r="649" spans="1:3" x14ac:dyDescent="0.35">
      <c r="A649" t="s">
        <v>207</v>
      </c>
      <c r="B649" t="s">
        <v>52</v>
      </c>
      <c r="C649" t="s">
        <v>938</v>
      </c>
    </row>
    <row r="650" spans="1:3" x14ac:dyDescent="0.35">
      <c r="A650" t="s">
        <v>207</v>
      </c>
      <c r="B650" t="s">
        <v>52</v>
      </c>
      <c r="C650" t="s">
        <v>939</v>
      </c>
    </row>
    <row r="651" spans="1:3" x14ac:dyDescent="0.35">
      <c r="A651" t="s">
        <v>207</v>
      </c>
      <c r="B651" t="s">
        <v>52</v>
      </c>
      <c r="C651" t="s">
        <v>940</v>
      </c>
    </row>
    <row r="652" spans="1:3" x14ac:dyDescent="0.35">
      <c r="A652" t="s">
        <v>207</v>
      </c>
      <c r="B652" t="s">
        <v>52</v>
      </c>
      <c r="C652" t="s">
        <v>941</v>
      </c>
    </row>
    <row r="653" spans="1:3" x14ac:dyDescent="0.35">
      <c r="A653" t="s">
        <v>207</v>
      </c>
      <c r="B653" t="s">
        <v>52</v>
      </c>
      <c r="C653" t="s">
        <v>942</v>
      </c>
    </row>
    <row r="654" spans="1:3" x14ac:dyDescent="0.35">
      <c r="A654" t="s">
        <v>207</v>
      </c>
      <c r="B654" t="s">
        <v>52</v>
      </c>
      <c r="C654" t="s">
        <v>943</v>
      </c>
    </row>
    <row r="655" spans="1:3" x14ac:dyDescent="0.35">
      <c r="A655" t="s">
        <v>207</v>
      </c>
      <c r="B655" t="s">
        <v>52</v>
      </c>
      <c r="C655" t="s">
        <v>944</v>
      </c>
    </row>
    <row r="656" spans="1:3" x14ac:dyDescent="0.35">
      <c r="A656" t="s">
        <v>207</v>
      </c>
      <c r="B656" t="s">
        <v>52</v>
      </c>
      <c r="C656" t="s">
        <v>945</v>
      </c>
    </row>
    <row r="657" spans="1:3" x14ac:dyDescent="0.35">
      <c r="A657" t="s">
        <v>207</v>
      </c>
      <c r="B657" t="s">
        <v>52</v>
      </c>
      <c r="C657" t="s">
        <v>946</v>
      </c>
    </row>
    <row r="658" spans="1:3" x14ac:dyDescent="0.35">
      <c r="A658" t="s">
        <v>207</v>
      </c>
      <c r="B658" t="s">
        <v>52</v>
      </c>
      <c r="C658" t="s">
        <v>947</v>
      </c>
    </row>
    <row r="659" spans="1:3" x14ac:dyDescent="0.35">
      <c r="A659" t="s">
        <v>207</v>
      </c>
      <c r="B659" t="s">
        <v>52</v>
      </c>
      <c r="C659" t="s">
        <v>948</v>
      </c>
    </row>
    <row r="660" spans="1:3" x14ac:dyDescent="0.35">
      <c r="A660" t="s">
        <v>207</v>
      </c>
      <c r="B660" t="s">
        <v>52</v>
      </c>
      <c r="C660" t="s">
        <v>949</v>
      </c>
    </row>
    <row r="661" spans="1:3" x14ac:dyDescent="0.35">
      <c r="A661" t="s">
        <v>207</v>
      </c>
      <c r="B661" t="s">
        <v>52</v>
      </c>
      <c r="C661" t="s">
        <v>950</v>
      </c>
    </row>
    <row r="662" spans="1:3" x14ac:dyDescent="0.35">
      <c r="A662" t="s">
        <v>207</v>
      </c>
      <c r="B662" t="s">
        <v>52</v>
      </c>
      <c r="C662" t="s">
        <v>951</v>
      </c>
    </row>
    <row r="663" spans="1:3" x14ac:dyDescent="0.35">
      <c r="A663" t="s">
        <v>207</v>
      </c>
      <c r="B663" t="s">
        <v>52</v>
      </c>
      <c r="C663" t="s">
        <v>952</v>
      </c>
    </row>
    <row r="664" spans="1:3" x14ac:dyDescent="0.35">
      <c r="A664" t="s">
        <v>207</v>
      </c>
      <c r="B664" t="s">
        <v>52</v>
      </c>
      <c r="C664" t="s">
        <v>953</v>
      </c>
    </row>
    <row r="665" spans="1:3" x14ac:dyDescent="0.35">
      <c r="A665" t="s">
        <v>207</v>
      </c>
      <c r="B665" t="s">
        <v>52</v>
      </c>
      <c r="C665" t="s">
        <v>954</v>
      </c>
    </row>
    <row r="666" spans="1:3" x14ac:dyDescent="0.35">
      <c r="A666" t="s">
        <v>207</v>
      </c>
      <c r="B666" t="s">
        <v>52</v>
      </c>
      <c r="C666" t="s">
        <v>955</v>
      </c>
    </row>
    <row r="667" spans="1:3" x14ac:dyDescent="0.35">
      <c r="A667" t="s">
        <v>207</v>
      </c>
      <c r="B667" t="s">
        <v>52</v>
      </c>
      <c r="C667" t="s">
        <v>956</v>
      </c>
    </row>
    <row r="668" spans="1:3" x14ac:dyDescent="0.35">
      <c r="A668" t="s">
        <v>207</v>
      </c>
      <c r="B668" t="s">
        <v>250</v>
      </c>
      <c r="C668" t="s">
        <v>957</v>
      </c>
    </row>
    <row r="669" spans="1:3" x14ac:dyDescent="0.35">
      <c r="A669" t="s">
        <v>207</v>
      </c>
      <c r="B669" t="s">
        <v>250</v>
      </c>
      <c r="C669" t="s">
        <v>958</v>
      </c>
    </row>
    <row r="670" spans="1:3" x14ac:dyDescent="0.35">
      <c r="A670" t="s">
        <v>207</v>
      </c>
      <c r="B670" t="s">
        <v>250</v>
      </c>
      <c r="C670" t="s">
        <v>959</v>
      </c>
    </row>
    <row r="671" spans="1:3" x14ac:dyDescent="0.35">
      <c r="A671" t="s">
        <v>207</v>
      </c>
      <c r="B671" t="s">
        <v>250</v>
      </c>
      <c r="C671" t="s">
        <v>960</v>
      </c>
    </row>
    <row r="672" spans="1:3" x14ac:dyDescent="0.35">
      <c r="A672" t="s">
        <v>207</v>
      </c>
      <c r="B672" t="s">
        <v>250</v>
      </c>
      <c r="C672" t="s">
        <v>961</v>
      </c>
    </row>
    <row r="673" spans="1:3" x14ac:dyDescent="0.35">
      <c r="A673" t="s">
        <v>207</v>
      </c>
      <c r="B673" t="s">
        <v>250</v>
      </c>
      <c r="C673" t="s">
        <v>962</v>
      </c>
    </row>
    <row r="674" spans="1:3" x14ac:dyDescent="0.35">
      <c r="A674" t="s">
        <v>207</v>
      </c>
      <c r="B674" t="s">
        <v>250</v>
      </c>
      <c r="C674" t="s">
        <v>963</v>
      </c>
    </row>
    <row r="675" spans="1:3" x14ac:dyDescent="0.35">
      <c r="A675" t="s">
        <v>207</v>
      </c>
      <c r="B675" t="s">
        <v>250</v>
      </c>
      <c r="C675" t="s">
        <v>964</v>
      </c>
    </row>
    <row r="676" spans="1:3" x14ac:dyDescent="0.35">
      <c r="A676" t="s">
        <v>207</v>
      </c>
      <c r="B676" t="s">
        <v>250</v>
      </c>
      <c r="C676" t="s">
        <v>965</v>
      </c>
    </row>
    <row r="677" spans="1:3" x14ac:dyDescent="0.35">
      <c r="A677" t="s">
        <v>207</v>
      </c>
      <c r="B677" t="s">
        <v>250</v>
      </c>
      <c r="C677" t="s">
        <v>250</v>
      </c>
    </row>
    <row r="678" spans="1:3" x14ac:dyDescent="0.35">
      <c r="A678" t="s">
        <v>207</v>
      </c>
      <c r="B678" t="s">
        <v>250</v>
      </c>
      <c r="C678" t="s">
        <v>966</v>
      </c>
    </row>
    <row r="679" spans="1:3" x14ac:dyDescent="0.35">
      <c r="A679" t="s">
        <v>207</v>
      </c>
      <c r="B679" t="s">
        <v>250</v>
      </c>
      <c r="C679" t="s">
        <v>967</v>
      </c>
    </row>
    <row r="680" spans="1:3" x14ac:dyDescent="0.35">
      <c r="A680" t="s">
        <v>207</v>
      </c>
      <c r="B680" t="s">
        <v>250</v>
      </c>
      <c r="C680" t="s">
        <v>968</v>
      </c>
    </row>
    <row r="681" spans="1:3" x14ac:dyDescent="0.35">
      <c r="A681" t="s">
        <v>207</v>
      </c>
      <c r="B681" t="s">
        <v>250</v>
      </c>
      <c r="C681" t="s">
        <v>969</v>
      </c>
    </row>
    <row r="682" spans="1:3" x14ac:dyDescent="0.35">
      <c r="A682" t="s">
        <v>207</v>
      </c>
      <c r="B682" t="s">
        <v>250</v>
      </c>
      <c r="C682" t="s">
        <v>970</v>
      </c>
    </row>
    <row r="683" spans="1:3" x14ac:dyDescent="0.35">
      <c r="A683" t="s">
        <v>207</v>
      </c>
      <c r="B683" t="s">
        <v>250</v>
      </c>
      <c r="C683" t="s">
        <v>971</v>
      </c>
    </row>
    <row r="684" spans="1:3" x14ac:dyDescent="0.35">
      <c r="A684" t="s">
        <v>207</v>
      </c>
      <c r="B684" t="s">
        <v>250</v>
      </c>
      <c r="C684" t="s">
        <v>972</v>
      </c>
    </row>
    <row r="685" spans="1:3" x14ac:dyDescent="0.35">
      <c r="A685" t="s">
        <v>207</v>
      </c>
      <c r="B685" t="s">
        <v>250</v>
      </c>
      <c r="C685" t="s">
        <v>973</v>
      </c>
    </row>
    <row r="686" spans="1:3" x14ac:dyDescent="0.35">
      <c r="A686" t="s">
        <v>207</v>
      </c>
      <c r="B686" t="s">
        <v>250</v>
      </c>
      <c r="C686" t="s">
        <v>974</v>
      </c>
    </row>
    <row r="687" spans="1:3" x14ac:dyDescent="0.35">
      <c r="A687" t="s">
        <v>207</v>
      </c>
      <c r="B687" t="s">
        <v>250</v>
      </c>
      <c r="C687" t="s">
        <v>975</v>
      </c>
    </row>
    <row r="688" spans="1:3" x14ac:dyDescent="0.35">
      <c r="A688" t="s">
        <v>207</v>
      </c>
      <c r="B688" t="s">
        <v>250</v>
      </c>
      <c r="C688" t="s">
        <v>976</v>
      </c>
    </row>
    <row r="689" spans="1:3" x14ac:dyDescent="0.35">
      <c r="A689" t="s">
        <v>207</v>
      </c>
      <c r="B689" t="s">
        <v>250</v>
      </c>
      <c r="C689" t="s">
        <v>977</v>
      </c>
    </row>
    <row r="690" spans="1:3" x14ac:dyDescent="0.35">
      <c r="A690" t="s">
        <v>207</v>
      </c>
      <c r="B690" t="s">
        <v>250</v>
      </c>
      <c r="C690" t="s">
        <v>978</v>
      </c>
    </row>
    <row r="691" spans="1:3" x14ac:dyDescent="0.35">
      <c r="A691" t="s">
        <v>207</v>
      </c>
      <c r="B691" t="s">
        <v>250</v>
      </c>
      <c r="C691" t="s">
        <v>979</v>
      </c>
    </row>
    <row r="692" spans="1:3" x14ac:dyDescent="0.35">
      <c r="A692" t="s">
        <v>207</v>
      </c>
      <c r="B692" t="s">
        <v>250</v>
      </c>
      <c r="C692" t="s">
        <v>980</v>
      </c>
    </row>
    <row r="693" spans="1:3" x14ac:dyDescent="0.35">
      <c r="A693" t="s">
        <v>207</v>
      </c>
      <c r="B693" t="s">
        <v>250</v>
      </c>
      <c r="C693" t="s">
        <v>981</v>
      </c>
    </row>
    <row r="694" spans="1:3" x14ac:dyDescent="0.35">
      <c r="A694" t="s">
        <v>207</v>
      </c>
      <c r="B694" t="s">
        <v>250</v>
      </c>
      <c r="C694" t="s">
        <v>982</v>
      </c>
    </row>
    <row r="695" spans="1:3" x14ac:dyDescent="0.35">
      <c r="A695" t="s">
        <v>207</v>
      </c>
      <c r="B695" t="s">
        <v>264</v>
      </c>
      <c r="C695" t="s">
        <v>983</v>
      </c>
    </row>
    <row r="696" spans="1:3" x14ac:dyDescent="0.35">
      <c r="A696" t="s">
        <v>207</v>
      </c>
      <c r="B696" t="s">
        <v>264</v>
      </c>
      <c r="C696" t="s">
        <v>984</v>
      </c>
    </row>
    <row r="697" spans="1:3" x14ac:dyDescent="0.35">
      <c r="A697" t="s">
        <v>207</v>
      </c>
      <c r="B697" t="s">
        <v>264</v>
      </c>
      <c r="C697" t="s">
        <v>985</v>
      </c>
    </row>
    <row r="698" spans="1:3" x14ac:dyDescent="0.35">
      <c r="A698" t="s">
        <v>207</v>
      </c>
      <c r="B698" t="s">
        <v>264</v>
      </c>
      <c r="C698" t="s">
        <v>986</v>
      </c>
    </row>
    <row r="699" spans="1:3" x14ac:dyDescent="0.35">
      <c r="A699" t="s">
        <v>207</v>
      </c>
      <c r="B699" t="s">
        <v>264</v>
      </c>
      <c r="C699" t="s">
        <v>987</v>
      </c>
    </row>
    <row r="700" spans="1:3" x14ac:dyDescent="0.35">
      <c r="A700" t="s">
        <v>207</v>
      </c>
      <c r="B700" t="s">
        <v>264</v>
      </c>
      <c r="C700" t="s">
        <v>988</v>
      </c>
    </row>
    <row r="701" spans="1:3" x14ac:dyDescent="0.35">
      <c r="A701" t="s">
        <v>207</v>
      </c>
      <c r="B701" t="s">
        <v>264</v>
      </c>
      <c r="C701" t="s">
        <v>989</v>
      </c>
    </row>
    <row r="702" spans="1:3" x14ac:dyDescent="0.35">
      <c r="A702" t="s">
        <v>207</v>
      </c>
      <c r="B702" t="s">
        <v>264</v>
      </c>
      <c r="C702" t="s">
        <v>990</v>
      </c>
    </row>
    <row r="703" spans="1:3" x14ac:dyDescent="0.35">
      <c r="A703" t="s">
        <v>207</v>
      </c>
      <c r="B703" t="s">
        <v>264</v>
      </c>
      <c r="C703" t="s">
        <v>991</v>
      </c>
    </row>
    <row r="704" spans="1:3" x14ac:dyDescent="0.35">
      <c r="A704" t="s">
        <v>207</v>
      </c>
      <c r="B704" t="s">
        <v>264</v>
      </c>
      <c r="C704" t="s">
        <v>992</v>
      </c>
    </row>
    <row r="705" spans="1:3" x14ac:dyDescent="0.35">
      <c r="A705" t="s">
        <v>207</v>
      </c>
      <c r="B705" t="s">
        <v>264</v>
      </c>
      <c r="C705" t="s">
        <v>993</v>
      </c>
    </row>
    <row r="706" spans="1:3" x14ac:dyDescent="0.35">
      <c r="A706" t="s">
        <v>207</v>
      </c>
      <c r="B706" t="s">
        <v>264</v>
      </c>
      <c r="C706" t="s">
        <v>994</v>
      </c>
    </row>
    <row r="707" spans="1:3" x14ac:dyDescent="0.35">
      <c r="A707" t="s">
        <v>207</v>
      </c>
      <c r="B707" t="s">
        <v>264</v>
      </c>
      <c r="C707" t="s">
        <v>995</v>
      </c>
    </row>
    <row r="708" spans="1:3" x14ac:dyDescent="0.35">
      <c r="A708" t="s">
        <v>207</v>
      </c>
      <c r="B708" t="s">
        <v>264</v>
      </c>
      <c r="C708" t="s">
        <v>996</v>
      </c>
    </row>
    <row r="709" spans="1:3" x14ac:dyDescent="0.35">
      <c r="A709" t="s">
        <v>207</v>
      </c>
      <c r="B709" t="s">
        <v>264</v>
      </c>
      <c r="C709" t="s">
        <v>997</v>
      </c>
    </row>
    <row r="710" spans="1:3" x14ac:dyDescent="0.35">
      <c r="A710" t="s">
        <v>207</v>
      </c>
      <c r="B710" t="s">
        <v>264</v>
      </c>
      <c r="C710" t="s">
        <v>998</v>
      </c>
    </row>
    <row r="711" spans="1:3" x14ac:dyDescent="0.35">
      <c r="A711" t="s">
        <v>207</v>
      </c>
      <c r="B711" t="s">
        <v>264</v>
      </c>
      <c r="C711" t="s">
        <v>999</v>
      </c>
    </row>
    <row r="712" spans="1:3" x14ac:dyDescent="0.35">
      <c r="A712" t="s">
        <v>207</v>
      </c>
      <c r="B712" t="s">
        <v>264</v>
      </c>
      <c r="C712" t="s">
        <v>1000</v>
      </c>
    </row>
    <row r="713" spans="1:3" x14ac:dyDescent="0.35">
      <c r="A713" t="s">
        <v>207</v>
      </c>
      <c r="B713" t="s">
        <v>264</v>
      </c>
      <c r="C713" t="s">
        <v>1001</v>
      </c>
    </row>
    <row r="714" spans="1:3" x14ac:dyDescent="0.35">
      <c r="A714" t="s">
        <v>207</v>
      </c>
      <c r="B714" t="s">
        <v>264</v>
      </c>
      <c r="C714" t="s">
        <v>1002</v>
      </c>
    </row>
    <row r="715" spans="1:3" x14ac:dyDescent="0.35">
      <c r="A715" t="s">
        <v>207</v>
      </c>
      <c r="B715" t="s">
        <v>264</v>
      </c>
      <c r="C715" t="s">
        <v>1003</v>
      </c>
    </row>
    <row r="716" spans="1:3" x14ac:dyDescent="0.35">
      <c r="A716" t="s">
        <v>207</v>
      </c>
      <c r="B716" t="s">
        <v>264</v>
      </c>
      <c r="C716" t="s">
        <v>1004</v>
      </c>
    </row>
    <row r="717" spans="1:3" x14ac:dyDescent="0.35">
      <c r="A717" t="s">
        <v>207</v>
      </c>
      <c r="B717" t="s">
        <v>264</v>
      </c>
      <c r="C717" t="s">
        <v>1005</v>
      </c>
    </row>
    <row r="718" spans="1:3" x14ac:dyDescent="0.35">
      <c r="A718" t="s">
        <v>207</v>
      </c>
      <c r="B718" t="s">
        <v>264</v>
      </c>
      <c r="C718" t="s">
        <v>1006</v>
      </c>
    </row>
    <row r="719" spans="1:3" x14ac:dyDescent="0.35">
      <c r="A719" t="s">
        <v>207</v>
      </c>
      <c r="B719" t="s">
        <v>264</v>
      </c>
      <c r="C719" t="s">
        <v>1007</v>
      </c>
    </row>
    <row r="720" spans="1:3" x14ac:dyDescent="0.35">
      <c r="A720" t="s">
        <v>207</v>
      </c>
      <c r="B720" t="s">
        <v>264</v>
      </c>
      <c r="C720" t="s">
        <v>1008</v>
      </c>
    </row>
    <row r="721" spans="1:3" x14ac:dyDescent="0.35">
      <c r="A721" t="s">
        <v>207</v>
      </c>
      <c r="B721" t="s">
        <v>264</v>
      </c>
      <c r="C721" t="s">
        <v>1009</v>
      </c>
    </row>
    <row r="722" spans="1:3" x14ac:dyDescent="0.35">
      <c r="A722" t="s">
        <v>207</v>
      </c>
      <c r="B722" t="s">
        <v>264</v>
      </c>
      <c r="C722" t="s">
        <v>1010</v>
      </c>
    </row>
    <row r="723" spans="1:3" x14ac:dyDescent="0.35">
      <c r="A723" t="s">
        <v>207</v>
      </c>
      <c r="B723" t="s">
        <v>264</v>
      </c>
      <c r="C723" t="s">
        <v>1011</v>
      </c>
    </row>
    <row r="724" spans="1:3" x14ac:dyDescent="0.35">
      <c r="A724" t="s">
        <v>207</v>
      </c>
      <c r="B724" t="s">
        <v>264</v>
      </c>
      <c r="C724" t="s">
        <v>1012</v>
      </c>
    </row>
    <row r="725" spans="1:3" x14ac:dyDescent="0.35">
      <c r="A725" t="s">
        <v>207</v>
      </c>
      <c r="B725" t="s">
        <v>264</v>
      </c>
      <c r="C725" t="s">
        <v>1013</v>
      </c>
    </row>
    <row r="726" spans="1:3" x14ac:dyDescent="0.35">
      <c r="A726" t="s">
        <v>207</v>
      </c>
      <c r="B726" t="s">
        <v>264</v>
      </c>
      <c r="C726" t="s">
        <v>1014</v>
      </c>
    </row>
    <row r="727" spans="1:3" x14ac:dyDescent="0.35">
      <c r="A727" t="s">
        <v>207</v>
      </c>
      <c r="B727" t="s">
        <v>264</v>
      </c>
      <c r="C727" t="s">
        <v>1015</v>
      </c>
    </row>
    <row r="728" spans="1:3" x14ac:dyDescent="0.35">
      <c r="A728" t="s">
        <v>207</v>
      </c>
      <c r="B728" t="s">
        <v>264</v>
      </c>
      <c r="C728" t="s">
        <v>1016</v>
      </c>
    </row>
    <row r="729" spans="1:3" x14ac:dyDescent="0.35">
      <c r="A729" t="s">
        <v>207</v>
      </c>
      <c r="B729" t="s">
        <v>264</v>
      </c>
      <c r="C729" t="s">
        <v>1017</v>
      </c>
    </row>
    <row r="730" spans="1:3" x14ac:dyDescent="0.35">
      <c r="A730" t="s">
        <v>207</v>
      </c>
      <c r="B730" t="s">
        <v>264</v>
      </c>
      <c r="C730" t="s">
        <v>1018</v>
      </c>
    </row>
    <row r="731" spans="1:3" x14ac:dyDescent="0.35">
      <c r="A731" t="s">
        <v>207</v>
      </c>
      <c r="B731" t="s">
        <v>264</v>
      </c>
      <c r="C731" t="s">
        <v>1019</v>
      </c>
    </row>
    <row r="732" spans="1:3" x14ac:dyDescent="0.35">
      <c r="A732" t="s">
        <v>207</v>
      </c>
      <c r="B732" t="s">
        <v>264</v>
      </c>
      <c r="C732" t="s">
        <v>1020</v>
      </c>
    </row>
    <row r="733" spans="1:3" x14ac:dyDescent="0.35">
      <c r="A733" t="s">
        <v>207</v>
      </c>
      <c r="B733" t="s">
        <v>264</v>
      </c>
      <c r="C733" t="s">
        <v>1021</v>
      </c>
    </row>
    <row r="734" spans="1:3" x14ac:dyDescent="0.35">
      <c r="A734" t="s">
        <v>207</v>
      </c>
      <c r="B734" t="s">
        <v>264</v>
      </c>
      <c r="C734" t="s">
        <v>1022</v>
      </c>
    </row>
    <row r="735" spans="1:3" x14ac:dyDescent="0.35">
      <c r="A735" t="s">
        <v>207</v>
      </c>
      <c r="B735" t="s">
        <v>264</v>
      </c>
      <c r="C735" t="s">
        <v>1023</v>
      </c>
    </row>
    <row r="736" spans="1:3" x14ac:dyDescent="0.35">
      <c r="A736" t="s">
        <v>207</v>
      </c>
      <c r="B736" t="s">
        <v>264</v>
      </c>
      <c r="C736" t="s">
        <v>1024</v>
      </c>
    </row>
    <row r="737" spans="1:3" x14ac:dyDescent="0.35">
      <c r="A737" t="s">
        <v>207</v>
      </c>
      <c r="B737" t="s">
        <v>264</v>
      </c>
      <c r="C737" t="s">
        <v>1025</v>
      </c>
    </row>
    <row r="738" spans="1:3" x14ac:dyDescent="0.35">
      <c r="A738" t="s">
        <v>207</v>
      </c>
      <c r="B738" t="s">
        <v>264</v>
      </c>
      <c r="C738" t="s">
        <v>1026</v>
      </c>
    </row>
    <row r="739" spans="1:3" x14ac:dyDescent="0.35">
      <c r="A739" t="s">
        <v>207</v>
      </c>
      <c r="B739" t="s">
        <v>264</v>
      </c>
      <c r="C739" t="s">
        <v>1027</v>
      </c>
    </row>
    <row r="740" spans="1:3" x14ac:dyDescent="0.35">
      <c r="A740" t="s">
        <v>207</v>
      </c>
      <c r="B740" t="s">
        <v>264</v>
      </c>
      <c r="C740" t="s">
        <v>1028</v>
      </c>
    </row>
    <row r="741" spans="1:3" x14ac:dyDescent="0.35">
      <c r="A741" t="s">
        <v>207</v>
      </c>
      <c r="B741" t="s">
        <v>264</v>
      </c>
      <c r="C741" t="s">
        <v>1029</v>
      </c>
    </row>
    <row r="742" spans="1:3" x14ac:dyDescent="0.35">
      <c r="A742" t="s">
        <v>207</v>
      </c>
      <c r="B742" t="s">
        <v>264</v>
      </c>
      <c r="C742" t="s">
        <v>1030</v>
      </c>
    </row>
    <row r="743" spans="1:3" x14ac:dyDescent="0.35">
      <c r="A743" t="s">
        <v>207</v>
      </c>
      <c r="B743" t="s">
        <v>264</v>
      </c>
      <c r="C743" t="s">
        <v>1031</v>
      </c>
    </row>
    <row r="744" spans="1:3" x14ac:dyDescent="0.35">
      <c r="A744" t="s">
        <v>207</v>
      </c>
      <c r="B744" t="s">
        <v>264</v>
      </c>
      <c r="C744" t="s">
        <v>1032</v>
      </c>
    </row>
    <row r="745" spans="1:3" x14ac:dyDescent="0.35">
      <c r="A745" t="s">
        <v>207</v>
      </c>
      <c r="B745" t="s">
        <v>264</v>
      </c>
      <c r="C745" t="s">
        <v>1033</v>
      </c>
    </row>
    <row r="746" spans="1:3" x14ac:dyDescent="0.35">
      <c r="A746" t="s">
        <v>207</v>
      </c>
      <c r="B746" t="s">
        <v>264</v>
      </c>
      <c r="C746" t="s">
        <v>1034</v>
      </c>
    </row>
    <row r="747" spans="1:3" x14ac:dyDescent="0.35">
      <c r="A747" t="s">
        <v>207</v>
      </c>
      <c r="B747" t="s">
        <v>264</v>
      </c>
      <c r="C747" t="s">
        <v>1035</v>
      </c>
    </row>
    <row r="748" spans="1:3" x14ac:dyDescent="0.35">
      <c r="A748" t="s">
        <v>207</v>
      </c>
      <c r="B748" t="s">
        <v>264</v>
      </c>
      <c r="C748" t="s">
        <v>1036</v>
      </c>
    </row>
    <row r="749" spans="1:3" x14ac:dyDescent="0.35">
      <c r="A749" t="s">
        <v>207</v>
      </c>
      <c r="B749" t="s">
        <v>264</v>
      </c>
      <c r="C749" t="s">
        <v>1037</v>
      </c>
    </row>
    <row r="750" spans="1:3" x14ac:dyDescent="0.35">
      <c r="A750" t="s">
        <v>207</v>
      </c>
      <c r="B750" t="s">
        <v>264</v>
      </c>
      <c r="C750" t="s">
        <v>1038</v>
      </c>
    </row>
    <row r="751" spans="1:3" x14ac:dyDescent="0.35">
      <c r="A751" t="s">
        <v>207</v>
      </c>
      <c r="B751" t="s">
        <v>264</v>
      </c>
      <c r="C751" t="s">
        <v>1039</v>
      </c>
    </row>
    <row r="752" spans="1:3" x14ac:dyDescent="0.35">
      <c r="A752" t="s">
        <v>207</v>
      </c>
      <c r="B752" t="s">
        <v>264</v>
      </c>
      <c r="C752" t="s">
        <v>1040</v>
      </c>
    </row>
    <row r="753" spans="1:3" x14ac:dyDescent="0.35">
      <c r="A753" t="s">
        <v>207</v>
      </c>
      <c r="B753" t="s">
        <v>264</v>
      </c>
      <c r="C753" t="s">
        <v>1041</v>
      </c>
    </row>
    <row r="754" spans="1:3" x14ac:dyDescent="0.35">
      <c r="A754" t="s">
        <v>207</v>
      </c>
      <c r="B754" t="s">
        <v>264</v>
      </c>
      <c r="C754" t="s">
        <v>1042</v>
      </c>
    </row>
    <row r="755" spans="1:3" x14ac:dyDescent="0.35">
      <c r="A755" t="s">
        <v>207</v>
      </c>
      <c r="B755" t="s">
        <v>264</v>
      </c>
      <c r="C755" t="s">
        <v>1043</v>
      </c>
    </row>
    <row r="756" spans="1:3" x14ac:dyDescent="0.35">
      <c r="A756" t="s">
        <v>207</v>
      </c>
      <c r="B756" t="s">
        <v>264</v>
      </c>
      <c r="C756" t="s">
        <v>1044</v>
      </c>
    </row>
    <row r="757" spans="1:3" x14ac:dyDescent="0.35">
      <c r="A757" t="s">
        <v>207</v>
      </c>
      <c r="B757" t="s">
        <v>264</v>
      </c>
      <c r="C757" t="s">
        <v>1045</v>
      </c>
    </row>
    <row r="758" spans="1:3" x14ac:dyDescent="0.35">
      <c r="A758" t="s">
        <v>207</v>
      </c>
      <c r="B758" t="s">
        <v>264</v>
      </c>
      <c r="C758" t="s">
        <v>1046</v>
      </c>
    </row>
    <row r="759" spans="1:3" x14ac:dyDescent="0.35">
      <c r="A759" t="s">
        <v>207</v>
      </c>
      <c r="B759" t="s">
        <v>264</v>
      </c>
      <c r="C759" t="s">
        <v>1047</v>
      </c>
    </row>
    <row r="760" spans="1:3" x14ac:dyDescent="0.35">
      <c r="A760" t="s">
        <v>207</v>
      </c>
      <c r="B760" t="s">
        <v>264</v>
      </c>
      <c r="C760" t="s">
        <v>1048</v>
      </c>
    </row>
    <row r="761" spans="1:3" x14ac:dyDescent="0.35">
      <c r="A761" t="s">
        <v>207</v>
      </c>
      <c r="B761" t="s">
        <v>264</v>
      </c>
      <c r="C761" t="s">
        <v>1049</v>
      </c>
    </row>
    <row r="762" spans="1:3" x14ac:dyDescent="0.35">
      <c r="A762" t="s">
        <v>207</v>
      </c>
      <c r="B762" t="s">
        <v>264</v>
      </c>
      <c r="C762" t="s">
        <v>1050</v>
      </c>
    </row>
    <row r="763" spans="1:3" x14ac:dyDescent="0.35">
      <c r="A763" t="s">
        <v>207</v>
      </c>
      <c r="B763" t="s">
        <v>264</v>
      </c>
      <c r="C763" t="s">
        <v>1051</v>
      </c>
    </row>
    <row r="764" spans="1:3" x14ac:dyDescent="0.35">
      <c r="A764" t="s">
        <v>207</v>
      </c>
      <c r="B764" t="s">
        <v>264</v>
      </c>
      <c r="C764" t="s">
        <v>1052</v>
      </c>
    </row>
    <row r="765" spans="1:3" x14ac:dyDescent="0.35">
      <c r="A765" t="s">
        <v>207</v>
      </c>
      <c r="B765" t="s">
        <v>264</v>
      </c>
      <c r="C765" t="s">
        <v>1053</v>
      </c>
    </row>
    <row r="766" spans="1:3" x14ac:dyDescent="0.35">
      <c r="A766" t="s">
        <v>207</v>
      </c>
      <c r="B766" t="s">
        <v>264</v>
      </c>
      <c r="C766" t="s">
        <v>1054</v>
      </c>
    </row>
    <row r="767" spans="1:3" x14ac:dyDescent="0.35">
      <c r="A767" t="s">
        <v>207</v>
      </c>
      <c r="B767" t="s">
        <v>264</v>
      </c>
      <c r="C767" t="s">
        <v>1055</v>
      </c>
    </row>
    <row r="768" spans="1:3" x14ac:dyDescent="0.35">
      <c r="A768" t="s">
        <v>207</v>
      </c>
      <c r="B768" t="s">
        <v>264</v>
      </c>
      <c r="C768" t="s">
        <v>1056</v>
      </c>
    </row>
    <row r="769" spans="1:3" x14ac:dyDescent="0.35">
      <c r="A769" t="s">
        <v>207</v>
      </c>
      <c r="B769" t="s">
        <v>264</v>
      </c>
      <c r="C769" t="s">
        <v>1057</v>
      </c>
    </row>
    <row r="770" spans="1:3" x14ac:dyDescent="0.35">
      <c r="A770" t="s">
        <v>207</v>
      </c>
      <c r="B770" t="s">
        <v>264</v>
      </c>
      <c r="C770" t="s">
        <v>1058</v>
      </c>
    </row>
    <row r="771" spans="1:3" x14ac:dyDescent="0.35">
      <c r="A771" t="s">
        <v>207</v>
      </c>
      <c r="B771" t="s">
        <v>264</v>
      </c>
      <c r="C771" t="s">
        <v>1059</v>
      </c>
    </row>
    <row r="772" spans="1:3" x14ac:dyDescent="0.35">
      <c r="A772" t="s">
        <v>207</v>
      </c>
      <c r="B772" t="s">
        <v>264</v>
      </c>
      <c r="C772" t="s">
        <v>1060</v>
      </c>
    </row>
    <row r="773" spans="1:3" x14ac:dyDescent="0.35">
      <c r="A773" t="s">
        <v>207</v>
      </c>
      <c r="B773" t="s">
        <v>264</v>
      </c>
      <c r="C773" t="s">
        <v>1061</v>
      </c>
    </row>
    <row r="774" spans="1:3" x14ac:dyDescent="0.35">
      <c r="A774" t="s">
        <v>207</v>
      </c>
      <c r="B774" t="s">
        <v>264</v>
      </c>
      <c r="C774" t="s">
        <v>1062</v>
      </c>
    </row>
    <row r="775" spans="1:3" x14ac:dyDescent="0.35">
      <c r="A775" t="s">
        <v>207</v>
      </c>
      <c r="B775" t="s">
        <v>264</v>
      </c>
      <c r="C775" t="s">
        <v>1063</v>
      </c>
    </row>
    <row r="776" spans="1:3" x14ac:dyDescent="0.35">
      <c r="A776" t="s">
        <v>207</v>
      </c>
      <c r="B776" t="s">
        <v>264</v>
      </c>
      <c r="C776" t="s">
        <v>1064</v>
      </c>
    </row>
    <row r="777" spans="1:3" x14ac:dyDescent="0.35">
      <c r="A777" t="s">
        <v>207</v>
      </c>
      <c r="B777" t="s">
        <v>264</v>
      </c>
      <c r="C777" t="s">
        <v>1065</v>
      </c>
    </row>
    <row r="778" spans="1:3" x14ac:dyDescent="0.35">
      <c r="A778" t="s">
        <v>207</v>
      </c>
      <c r="B778" t="s">
        <v>264</v>
      </c>
      <c r="C778" t="s">
        <v>1066</v>
      </c>
    </row>
    <row r="779" spans="1:3" x14ac:dyDescent="0.35">
      <c r="A779" t="s">
        <v>207</v>
      </c>
      <c r="B779" t="s">
        <v>264</v>
      </c>
      <c r="C779" t="s">
        <v>1067</v>
      </c>
    </row>
    <row r="780" spans="1:3" x14ac:dyDescent="0.35">
      <c r="A780" t="s">
        <v>207</v>
      </c>
      <c r="B780" t="s">
        <v>264</v>
      </c>
      <c r="C780" t="s">
        <v>1068</v>
      </c>
    </row>
    <row r="781" spans="1:3" x14ac:dyDescent="0.35">
      <c r="A781" t="s">
        <v>207</v>
      </c>
      <c r="B781" t="s">
        <v>264</v>
      </c>
      <c r="C781" t="s">
        <v>1069</v>
      </c>
    </row>
    <row r="782" spans="1:3" x14ac:dyDescent="0.35">
      <c r="A782" t="s">
        <v>207</v>
      </c>
      <c r="B782" t="s">
        <v>264</v>
      </c>
      <c r="C782" t="s">
        <v>1070</v>
      </c>
    </row>
    <row r="783" spans="1:3" x14ac:dyDescent="0.35">
      <c r="A783" t="s">
        <v>207</v>
      </c>
      <c r="B783" t="s">
        <v>264</v>
      </c>
      <c r="C783" t="s">
        <v>1071</v>
      </c>
    </row>
    <row r="784" spans="1:3" x14ac:dyDescent="0.35">
      <c r="A784" t="s">
        <v>207</v>
      </c>
      <c r="B784" t="s">
        <v>264</v>
      </c>
      <c r="C784" t="s">
        <v>1072</v>
      </c>
    </row>
    <row r="785" spans="1:3" x14ac:dyDescent="0.35">
      <c r="A785" t="s">
        <v>207</v>
      </c>
      <c r="B785" t="s">
        <v>264</v>
      </c>
      <c r="C785" t="s">
        <v>1073</v>
      </c>
    </row>
    <row r="786" spans="1:3" x14ac:dyDescent="0.35">
      <c r="A786" t="s">
        <v>207</v>
      </c>
      <c r="B786" t="s">
        <v>264</v>
      </c>
      <c r="C786" t="s">
        <v>1074</v>
      </c>
    </row>
    <row r="787" spans="1:3" x14ac:dyDescent="0.35">
      <c r="A787" t="s">
        <v>207</v>
      </c>
      <c r="B787" t="s">
        <v>264</v>
      </c>
      <c r="C787" t="s">
        <v>1075</v>
      </c>
    </row>
    <row r="788" spans="1:3" x14ac:dyDescent="0.35">
      <c r="A788" t="s">
        <v>207</v>
      </c>
      <c r="B788" t="s">
        <v>264</v>
      </c>
      <c r="C788" t="s">
        <v>1076</v>
      </c>
    </row>
    <row r="789" spans="1:3" x14ac:dyDescent="0.35">
      <c r="A789" t="s">
        <v>207</v>
      </c>
      <c r="B789" t="s">
        <v>264</v>
      </c>
      <c r="C789" t="s">
        <v>1077</v>
      </c>
    </row>
    <row r="790" spans="1:3" x14ac:dyDescent="0.35">
      <c r="A790" t="s">
        <v>207</v>
      </c>
      <c r="B790" t="s">
        <v>264</v>
      </c>
      <c r="C790" t="s">
        <v>1078</v>
      </c>
    </row>
    <row r="791" spans="1:3" x14ac:dyDescent="0.35">
      <c r="A791" t="s">
        <v>207</v>
      </c>
      <c r="B791" t="s">
        <v>264</v>
      </c>
      <c r="C791" t="s">
        <v>1079</v>
      </c>
    </row>
    <row r="792" spans="1:3" x14ac:dyDescent="0.35">
      <c r="A792" t="s">
        <v>207</v>
      </c>
      <c r="B792" t="s">
        <v>271</v>
      </c>
      <c r="C792" t="s">
        <v>1080</v>
      </c>
    </row>
    <row r="793" spans="1:3" x14ac:dyDescent="0.35">
      <c r="A793" t="s">
        <v>207</v>
      </c>
      <c r="B793" t="s">
        <v>271</v>
      </c>
      <c r="C793" t="s">
        <v>1081</v>
      </c>
    </row>
    <row r="794" spans="1:3" x14ac:dyDescent="0.35">
      <c r="A794" t="s">
        <v>207</v>
      </c>
      <c r="B794" t="s">
        <v>271</v>
      </c>
      <c r="C794" t="s">
        <v>1082</v>
      </c>
    </row>
    <row r="795" spans="1:3" x14ac:dyDescent="0.35">
      <c r="A795" t="s">
        <v>207</v>
      </c>
      <c r="B795" t="s">
        <v>271</v>
      </c>
      <c r="C795" t="s">
        <v>1083</v>
      </c>
    </row>
    <row r="796" spans="1:3" x14ac:dyDescent="0.35">
      <c r="A796" t="s">
        <v>207</v>
      </c>
      <c r="B796" t="s">
        <v>271</v>
      </c>
      <c r="C796" t="s">
        <v>1084</v>
      </c>
    </row>
    <row r="797" spans="1:3" x14ac:dyDescent="0.35">
      <c r="A797" t="s">
        <v>207</v>
      </c>
      <c r="B797" t="s">
        <v>271</v>
      </c>
      <c r="C797" t="s">
        <v>1085</v>
      </c>
    </row>
    <row r="798" spans="1:3" x14ac:dyDescent="0.35">
      <c r="A798" t="s">
        <v>207</v>
      </c>
      <c r="B798" t="s">
        <v>271</v>
      </c>
      <c r="C798" t="s">
        <v>1086</v>
      </c>
    </row>
    <row r="799" spans="1:3" x14ac:dyDescent="0.35">
      <c r="A799" t="s">
        <v>207</v>
      </c>
      <c r="B799" t="s">
        <v>271</v>
      </c>
      <c r="C799" t="s">
        <v>1087</v>
      </c>
    </row>
    <row r="800" spans="1:3" x14ac:dyDescent="0.35">
      <c r="A800" t="s">
        <v>207</v>
      </c>
      <c r="B800" t="s">
        <v>271</v>
      </c>
      <c r="C800" t="s">
        <v>1088</v>
      </c>
    </row>
    <row r="801" spans="1:3" x14ac:dyDescent="0.35">
      <c r="A801" t="s">
        <v>207</v>
      </c>
      <c r="B801" t="s">
        <v>271</v>
      </c>
      <c r="C801" t="s">
        <v>1089</v>
      </c>
    </row>
    <row r="802" spans="1:3" x14ac:dyDescent="0.35">
      <c r="A802" t="s">
        <v>207</v>
      </c>
      <c r="B802" t="s">
        <v>271</v>
      </c>
      <c r="C802" t="s">
        <v>1090</v>
      </c>
    </row>
    <row r="803" spans="1:3" x14ac:dyDescent="0.35">
      <c r="A803" t="s">
        <v>207</v>
      </c>
      <c r="B803" t="s">
        <v>271</v>
      </c>
      <c r="C803" t="s">
        <v>1091</v>
      </c>
    </row>
    <row r="804" spans="1:3" x14ac:dyDescent="0.35">
      <c r="A804" t="s">
        <v>207</v>
      </c>
      <c r="B804" t="s">
        <v>271</v>
      </c>
      <c r="C804" t="s">
        <v>1092</v>
      </c>
    </row>
    <row r="805" spans="1:3" x14ac:dyDescent="0.35">
      <c r="A805" t="s">
        <v>207</v>
      </c>
      <c r="B805" t="s">
        <v>271</v>
      </c>
      <c r="C805" t="s">
        <v>1093</v>
      </c>
    </row>
    <row r="806" spans="1:3" x14ac:dyDescent="0.35">
      <c r="A806" t="s">
        <v>207</v>
      </c>
      <c r="B806" t="s">
        <v>271</v>
      </c>
      <c r="C806" t="s">
        <v>1094</v>
      </c>
    </row>
    <row r="807" spans="1:3" x14ac:dyDescent="0.35">
      <c r="A807" t="s">
        <v>207</v>
      </c>
      <c r="B807" t="s">
        <v>271</v>
      </c>
      <c r="C807" t="s">
        <v>1095</v>
      </c>
    </row>
    <row r="808" spans="1:3" x14ac:dyDescent="0.35">
      <c r="A808" t="s">
        <v>207</v>
      </c>
      <c r="B808" t="s">
        <v>271</v>
      </c>
      <c r="C808" t="s">
        <v>1096</v>
      </c>
    </row>
    <row r="809" spans="1:3" x14ac:dyDescent="0.35">
      <c r="A809" t="s">
        <v>207</v>
      </c>
      <c r="B809" t="s">
        <v>271</v>
      </c>
      <c r="C809" t="s">
        <v>1097</v>
      </c>
    </row>
    <row r="810" spans="1:3" x14ac:dyDescent="0.35">
      <c r="A810" t="s">
        <v>207</v>
      </c>
      <c r="B810" t="s">
        <v>271</v>
      </c>
      <c r="C810" t="s">
        <v>1098</v>
      </c>
    </row>
    <row r="811" spans="1:3" x14ac:dyDescent="0.35">
      <c r="A811" t="s">
        <v>207</v>
      </c>
      <c r="B811" t="s">
        <v>271</v>
      </c>
      <c r="C811" t="s">
        <v>1099</v>
      </c>
    </row>
    <row r="812" spans="1:3" x14ac:dyDescent="0.35">
      <c r="A812" t="s">
        <v>207</v>
      </c>
      <c r="B812" t="s">
        <v>271</v>
      </c>
      <c r="C812" t="s">
        <v>1100</v>
      </c>
    </row>
    <row r="813" spans="1:3" x14ac:dyDescent="0.35">
      <c r="A813" t="s">
        <v>207</v>
      </c>
      <c r="B813" t="s">
        <v>271</v>
      </c>
      <c r="C813" t="s">
        <v>1101</v>
      </c>
    </row>
    <row r="814" spans="1:3" x14ac:dyDescent="0.35">
      <c r="A814" t="s">
        <v>207</v>
      </c>
      <c r="B814" t="s">
        <v>271</v>
      </c>
      <c r="C814" t="s">
        <v>1102</v>
      </c>
    </row>
    <row r="815" spans="1:3" x14ac:dyDescent="0.35">
      <c r="A815" t="s">
        <v>207</v>
      </c>
      <c r="B815" t="s">
        <v>271</v>
      </c>
      <c r="C815" t="s">
        <v>1103</v>
      </c>
    </row>
    <row r="816" spans="1:3" x14ac:dyDescent="0.35">
      <c r="A816" t="s">
        <v>207</v>
      </c>
      <c r="B816" t="s">
        <v>271</v>
      </c>
      <c r="C816" t="s">
        <v>1104</v>
      </c>
    </row>
    <row r="817" spans="1:3" x14ac:dyDescent="0.35">
      <c r="A817" t="s">
        <v>207</v>
      </c>
      <c r="B817" t="s">
        <v>271</v>
      </c>
      <c r="C817" t="s">
        <v>1105</v>
      </c>
    </row>
    <row r="818" spans="1:3" x14ac:dyDescent="0.35">
      <c r="A818" t="s">
        <v>207</v>
      </c>
      <c r="B818" t="s">
        <v>271</v>
      </c>
      <c r="C818" t="s">
        <v>1106</v>
      </c>
    </row>
    <row r="819" spans="1:3" x14ac:dyDescent="0.35">
      <c r="A819" t="s">
        <v>207</v>
      </c>
      <c r="B819" t="s">
        <v>271</v>
      </c>
      <c r="C819" t="s">
        <v>1107</v>
      </c>
    </row>
    <row r="820" spans="1:3" x14ac:dyDescent="0.35">
      <c r="A820" t="s">
        <v>207</v>
      </c>
      <c r="B820" t="s">
        <v>271</v>
      </c>
      <c r="C820" t="s">
        <v>1108</v>
      </c>
    </row>
    <row r="821" spans="1:3" x14ac:dyDescent="0.35">
      <c r="A821" t="s">
        <v>207</v>
      </c>
      <c r="B821" t="s">
        <v>271</v>
      </c>
      <c r="C821" t="s">
        <v>1109</v>
      </c>
    </row>
    <row r="822" spans="1:3" x14ac:dyDescent="0.35">
      <c r="A822" t="s">
        <v>207</v>
      </c>
      <c r="B822" t="s">
        <v>271</v>
      </c>
      <c r="C822" t="s">
        <v>1110</v>
      </c>
    </row>
    <row r="823" spans="1:3" x14ac:dyDescent="0.35">
      <c r="A823" t="s">
        <v>207</v>
      </c>
      <c r="B823" t="s">
        <v>271</v>
      </c>
      <c r="C823" t="s">
        <v>1111</v>
      </c>
    </row>
    <row r="824" spans="1:3" x14ac:dyDescent="0.35">
      <c r="A824" t="s">
        <v>207</v>
      </c>
      <c r="B824" t="s">
        <v>271</v>
      </c>
      <c r="C824" t="s">
        <v>1112</v>
      </c>
    </row>
    <row r="825" spans="1:3" x14ac:dyDescent="0.35">
      <c r="A825" t="s">
        <v>207</v>
      </c>
      <c r="B825" t="s">
        <v>271</v>
      </c>
      <c r="C825" t="s">
        <v>1113</v>
      </c>
    </row>
    <row r="826" spans="1:3" x14ac:dyDescent="0.35">
      <c r="A826" t="s">
        <v>207</v>
      </c>
      <c r="B826" t="s">
        <v>271</v>
      </c>
      <c r="C826" t="s">
        <v>1114</v>
      </c>
    </row>
    <row r="827" spans="1:3" x14ac:dyDescent="0.35">
      <c r="A827" t="s">
        <v>207</v>
      </c>
      <c r="B827" t="s">
        <v>271</v>
      </c>
      <c r="C827" t="s">
        <v>1115</v>
      </c>
    </row>
    <row r="828" spans="1:3" x14ac:dyDescent="0.35">
      <c r="A828" t="s">
        <v>207</v>
      </c>
      <c r="B828" t="s">
        <v>271</v>
      </c>
      <c r="C828" t="s">
        <v>1116</v>
      </c>
    </row>
    <row r="829" spans="1:3" x14ac:dyDescent="0.35">
      <c r="A829" t="s">
        <v>207</v>
      </c>
      <c r="B829" t="s">
        <v>271</v>
      </c>
      <c r="C829" t="s">
        <v>1117</v>
      </c>
    </row>
    <row r="830" spans="1:3" x14ac:dyDescent="0.35">
      <c r="A830" t="s">
        <v>207</v>
      </c>
      <c r="B830" t="s">
        <v>271</v>
      </c>
      <c r="C830" t="s">
        <v>1118</v>
      </c>
    </row>
    <row r="831" spans="1:3" x14ac:dyDescent="0.35">
      <c r="A831" t="s">
        <v>207</v>
      </c>
      <c r="B831" t="s">
        <v>271</v>
      </c>
      <c r="C831" t="s">
        <v>1119</v>
      </c>
    </row>
    <row r="832" spans="1:3" x14ac:dyDescent="0.35">
      <c r="A832" t="s">
        <v>207</v>
      </c>
      <c r="B832" t="s">
        <v>271</v>
      </c>
      <c r="C832" t="s">
        <v>1120</v>
      </c>
    </row>
    <row r="833" spans="1:3" x14ac:dyDescent="0.35">
      <c r="A833" t="s">
        <v>207</v>
      </c>
      <c r="B833" t="s">
        <v>271</v>
      </c>
      <c r="C833" t="s">
        <v>1121</v>
      </c>
    </row>
    <row r="834" spans="1:3" x14ac:dyDescent="0.35">
      <c r="A834" t="s">
        <v>207</v>
      </c>
      <c r="B834" t="s">
        <v>271</v>
      </c>
      <c r="C834" t="s">
        <v>1122</v>
      </c>
    </row>
    <row r="835" spans="1:3" x14ac:dyDescent="0.35">
      <c r="A835" t="s">
        <v>207</v>
      </c>
      <c r="B835" t="s">
        <v>271</v>
      </c>
      <c r="C835" t="s">
        <v>1123</v>
      </c>
    </row>
    <row r="836" spans="1:3" x14ac:dyDescent="0.35">
      <c r="A836" t="s">
        <v>207</v>
      </c>
      <c r="B836" t="s">
        <v>271</v>
      </c>
      <c r="C836" t="s">
        <v>1124</v>
      </c>
    </row>
    <row r="837" spans="1:3" x14ac:dyDescent="0.35">
      <c r="A837" t="s">
        <v>207</v>
      </c>
      <c r="B837" t="s">
        <v>271</v>
      </c>
      <c r="C837" t="s">
        <v>1125</v>
      </c>
    </row>
    <row r="838" spans="1:3" x14ac:dyDescent="0.35">
      <c r="A838" t="s">
        <v>207</v>
      </c>
      <c r="B838" t="s">
        <v>271</v>
      </c>
      <c r="C838" t="s">
        <v>271</v>
      </c>
    </row>
    <row r="839" spans="1:3" x14ac:dyDescent="0.35">
      <c r="A839" t="s">
        <v>207</v>
      </c>
      <c r="B839" t="s">
        <v>271</v>
      </c>
      <c r="C839" t="s">
        <v>1126</v>
      </c>
    </row>
    <row r="840" spans="1:3" x14ac:dyDescent="0.35">
      <c r="A840" t="s">
        <v>207</v>
      </c>
      <c r="B840" t="s">
        <v>271</v>
      </c>
      <c r="C840" t="s">
        <v>1127</v>
      </c>
    </row>
    <row r="841" spans="1:3" x14ac:dyDescent="0.35">
      <c r="A841" t="s">
        <v>207</v>
      </c>
      <c r="B841" t="s">
        <v>271</v>
      </c>
      <c r="C841" t="s">
        <v>1128</v>
      </c>
    </row>
    <row r="842" spans="1:3" x14ac:dyDescent="0.35">
      <c r="A842" t="s">
        <v>208</v>
      </c>
      <c r="B842" t="s">
        <v>227</v>
      </c>
      <c r="C842" t="s">
        <v>1129</v>
      </c>
    </row>
    <row r="843" spans="1:3" x14ac:dyDescent="0.35">
      <c r="A843" t="s">
        <v>208</v>
      </c>
      <c r="B843" t="s">
        <v>227</v>
      </c>
      <c r="C843" t="s">
        <v>1130</v>
      </c>
    </row>
    <row r="844" spans="1:3" x14ac:dyDescent="0.35">
      <c r="A844" t="s">
        <v>208</v>
      </c>
      <c r="B844" t="s">
        <v>227</v>
      </c>
      <c r="C844" t="s">
        <v>1131</v>
      </c>
    </row>
    <row r="845" spans="1:3" x14ac:dyDescent="0.35">
      <c r="A845" t="s">
        <v>208</v>
      </c>
      <c r="B845" t="s">
        <v>227</v>
      </c>
      <c r="C845" t="s">
        <v>1132</v>
      </c>
    </row>
    <row r="846" spans="1:3" x14ac:dyDescent="0.35">
      <c r="A846" t="s">
        <v>208</v>
      </c>
      <c r="B846" t="s">
        <v>227</v>
      </c>
      <c r="C846" t="s">
        <v>1133</v>
      </c>
    </row>
    <row r="847" spans="1:3" x14ac:dyDescent="0.35">
      <c r="A847" t="s">
        <v>208</v>
      </c>
      <c r="B847" t="s">
        <v>227</v>
      </c>
      <c r="C847" t="s">
        <v>1134</v>
      </c>
    </row>
    <row r="848" spans="1:3" x14ac:dyDescent="0.35">
      <c r="A848" t="s">
        <v>208</v>
      </c>
      <c r="B848" t="s">
        <v>227</v>
      </c>
      <c r="C848" t="s">
        <v>1135</v>
      </c>
    </row>
    <row r="849" spans="1:3" x14ac:dyDescent="0.35">
      <c r="A849" t="s">
        <v>208</v>
      </c>
      <c r="B849" t="s">
        <v>227</v>
      </c>
      <c r="C849" t="s">
        <v>227</v>
      </c>
    </row>
    <row r="850" spans="1:3" x14ac:dyDescent="0.35">
      <c r="A850" t="s">
        <v>208</v>
      </c>
      <c r="B850" t="s">
        <v>227</v>
      </c>
      <c r="C850" t="s">
        <v>1136</v>
      </c>
    </row>
    <row r="851" spans="1:3" x14ac:dyDescent="0.35">
      <c r="A851" t="s">
        <v>208</v>
      </c>
      <c r="B851" t="s">
        <v>227</v>
      </c>
      <c r="C851" t="s">
        <v>1137</v>
      </c>
    </row>
    <row r="852" spans="1:3" x14ac:dyDescent="0.35">
      <c r="A852" t="s">
        <v>208</v>
      </c>
      <c r="B852" t="s">
        <v>227</v>
      </c>
      <c r="C852" t="s">
        <v>1138</v>
      </c>
    </row>
    <row r="853" spans="1:3" x14ac:dyDescent="0.35">
      <c r="A853" t="s">
        <v>208</v>
      </c>
      <c r="B853" t="s">
        <v>227</v>
      </c>
      <c r="C853" t="s">
        <v>1139</v>
      </c>
    </row>
    <row r="854" spans="1:3" x14ac:dyDescent="0.35">
      <c r="A854" t="s">
        <v>208</v>
      </c>
      <c r="B854" t="s">
        <v>227</v>
      </c>
      <c r="C854" t="s">
        <v>1140</v>
      </c>
    </row>
    <row r="855" spans="1:3" x14ac:dyDescent="0.35">
      <c r="A855" t="s">
        <v>208</v>
      </c>
      <c r="B855" t="s">
        <v>227</v>
      </c>
      <c r="C855" t="s">
        <v>1141</v>
      </c>
    </row>
    <row r="856" spans="1:3" x14ac:dyDescent="0.35">
      <c r="A856" t="s">
        <v>208</v>
      </c>
      <c r="B856" t="s">
        <v>227</v>
      </c>
      <c r="C856" t="s">
        <v>1142</v>
      </c>
    </row>
    <row r="857" spans="1:3" x14ac:dyDescent="0.35">
      <c r="A857" t="s">
        <v>208</v>
      </c>
      <c r="B857" t="s">
        <v>227</v>
      </c>
      <c r="C857" t="s">
        <v>1143</v>
      </c>
    </row>
    <row r="858" spans="1:3" x14ac:dyDescent="0.35">
      <c r="A858" t="s">
        <v>208</v>
      </c>
      <c r="B858" t="s">
        <v>227</v>
      </c>
      <c r="C858" t="s">
        <v>1144</v>
      </c>
    </row>
    <row r="859" spans="1:3" x14ac:dyDescent="0.35">
      <c r="A859" t="s">
        <v>208</v>
      </c>
      <c r="B859" t="s">
        <v>227</v>
      </c>
      <c r="C859" t="s">
        <v>1145</v>
      </c>
    </row>
    <row r="860" spans="1:3" x14ac:dyDescent="0.35">
      <c r="A860" t="s">
        <v>208</v>
      </c>
      <c r="B860" t="s">
        <v>227</v>
      </c>
      <c r="C860" t="s">
        <v>1146</v>
      </c>
    </row>
    <row r="861" spans="1:3" x14ac:dyDescent="0.35">
      <c r="A861" t="s">
        <v>208</v>
      </c>
      <c r="B861" t="s">
        <v>227</v>
      </c>
      <c r="C861" t="s">
        <v>1147</v>
      </c>
    </row>
    <row r="862" spans="1:3" x14ac:dyDescent="0.35">
      <c r="A862" t="s">
        <v>208</v>
      </c>
      <c r="B862" t="s">
        <v>227</v>
      </c>
      <c r="C862" t="s">
        <v>1148</v>
      </c>
    </row>
    <row r="863" spans="1:3" x14ac:dyDescent="0.35">
      <c r="A863" t="s">
        <v>208</v>
      </c>
      <c r="B863" t="s">
        <v>227</v>
      </c>
      <c r="C863" t="s">
        <v>1149</v>
      </c>
    </row>
    <row r="864" spans="1:3" x14ac:dyDescent="0.35">
      <c r="A864" t="s">
        <v>208</v>
      </c>
      <c r="B864" t="s">
        <v>227</v>
      </c>
      <c r="C864" t="s">
        <v>1150</v>
      </c>
    </row>
    <row r="865" spans="1:3" x14ac:dyDescent="0.35">
      <c r="A865" t="s">
        <v>208</v>
      </c>
      <c r="B865" t="s">
        <v>227</v>
      </c>
      <c r="C865" t="s">
        <v>1151</v>
      </c>
    </row>
    <row r="866" spans="1:3" x14ac:dyDescent="0.35">
      <c r="A866" t="s">
        <v>208</v>
      </c>
      <c r="B866" t="s">
        <v>227</v>
      </c>
      <c r="C866" t="s">
        <v>1152</v>
      </c>
    </row>
    <row r="867" spans="1:3" x14ac:dyDescent="0.35">
      <c r="A867" t="s">
        <v>208</v>
      </c>
      <c r="B867" t="s">
        <v>227</v>
      </c>
      <c r="C867" t="s">
        <v>1153</v>
      </c>
    </row>
    <row r="868" spans="1:3" x14ac:dyDescent="0.35">
      <c r="A868" t="s">
        <v>208</v>
      </c>
      <c r="B868" t="s">
        <v>227</v>
      </c>
      <c r="C868" t="s">
        <v>1154</v>
      </c>
    </row>
    <row r="869" spans="1:3" x14ac:dyDescent="0.35">
      <c r="A869" t="s">
        <v>208</v>
      </c>
      <c r="B869" t="s">
        <v>227</v>
      </c>
      <c r="C869" t="s">
        <v>1155</v>
      </c>
    </row>
    <row r="870" spans="1:3" x14ac:dyDescent="0.35">
      <c r="A870" t="s">
        <v>208</v>
      </c>
      <c r="B870" t="s">
        <v>227</v>
      </c>
      <c r="C870" t="s">
        <v>1156</v>
      </c>
    </row>
    <row r="871" spans="1:3" x14ac:dyDescent="0.35">
      <c r="A871" t="s">
        <v>208</v>
      </c>
      <c r="B871" t="s">
        <v>227</v>
      </c>
      <c r="C871" t="s">
        <v>1157</v>
      </c>
    </row>
    <row r="872" spans="1:3" x14ac:dyDescent="0.35">
      <c r="A872" t="s">
        <v>208</v>
      </c>
      <c r="B872" t="s">
        <v>227</v>
      </c>
      <c r="C872" t="s">
        <v>1158</v>
      </c>
    </row>
    <row r="873" spans="1:3" x14ac:dyDescent="0.35">
      <c r="A873" t="s">
        <v>208</v>
      </c>
      <c r="B873" t="s">
        <v>227</v>
      </c>
      <c r="C873" t="s">
        <v>1159</v>
      </c>
    </row>
    <row r="874" spans="1:3" x14ac:dyDescent="0.35">
      <c r="A874" t="s">
        <v>208</v>
      </c>
      <c r="B874" t="s">
        <v>227</v>
      </c>
      <c r="C874" t="s">
        <v>1160</v>
      </c>
    </row>
    <row r="875" spans="1:3" x14ac:dyDescent="0.35">
      <c r="A875" t="s">
        <v>208</v>
      </c>
      <c r="B875" t="s">
        <v>227</v>
      </c>
      <c r="C875" t="s">
        <v>1161</v>
      </c>
    </row>
    <row r="876" spans="1:3" x14ac:dyDescent="0.35">
      <c r="A876" t="s">
        <v>208</v>
      </c>
      <c r="B876" t="s">
        <v>227</v>
      </c>
      <c r="C876" t="s">
        <v>1162</v>
      </c>
    </row>
    <row r="877" spans="1:3" x14ac:dyDescent="0.35">
      <c r="A877" t="s">
        <v>208</v>
      </c>
      <c r="B877" t="s">
        <v>227</v>
      </c>
      <c r="C877" t="s">
        <v>1163</v>
      </c>
    </row>
    <row r="878" spans="1:3" x14ac:dyDescent="0.35">
      <c r="A878" t="s">
        <v>208</v>
      </c>
      <c r="B878" t="s">
        <v>227</v>
      </c>
      <c r="C878" t="s">
        <v>1164</v>
      </c>
    </row>
    <row r="879" spans="1:3" x14ac:dyDescent="0.35">
      <c r="A879" t="s">
        <v>208</v>
      </c>
      <c r="B879" t="s">
        <v>227</v>
      </c>
      <c r="C879" t="s">
        <v>1165</v>
      </c>
    </row>
    <row r="880" spans="1:3" x14ac:dyDescent="0.35">
      <c r="A880" t="s">
        <v>208</v>
      </c>
      <c r="B880" t="s">
        <v>227</v>
      </c>
      <c r="C880" t="s">
        <v>1166</v>
      </c>
    </row>
    <row r="881" spans="1:3" x14ac:dyDescent="0.35">
      <c r="A881" t="s">
        <v>208</v>
      </c>
      <c r="B881" t="s">
        <v>227</v>
      </c>
      <c r="C881" t="s">
        <v>1167</v>
      </c>
    </row>
    <row r="882" spans="1:3" x14ac:dyDescent="0.35">
      <c r="A882" t="s">
        <v>208</v>
      </c>
      <c r="B882" t="s">
        <v>227</v>
      </c>
      <c r="C882" t="s">
        <v>1168</v>
      </c>
    </row>
    <row r="883" spans="1:3" x14ac:dyDescent="0.35">
      <c r="A883" t="s">
        <v>208</v>
      </c>
      <c r="B883" t="s">
        <v>227</v>
      </c>
      <c r="C883" t="s">
        <v>1169</v>
      </c>
    </row>
    <row r="884" spans="1:3" x14ac:dyDescent="0.35">
      <c r="A884" t="s">
        <v>208</v>
      </c>
      <c r="B884" t="s">
        <v>227</v>
      </c>
      <c r="C884" t="s">
        <v>1170</v>
      </c>
    </row>
    <row r="885" spans="1:3" x14ac:dyDescent="0.35">
      <c r="A885" t="s">
        <v>208</v>
      </c>
      <c r="B885" t="s">
        <v>227</v>
      </c>
      <c r="C885" t="s">
        <v>1171</v>
      </c>
    </row>
    <row r="886" spans="1:3" x14ac:dyDescent="0.35">
      <c r="A886" t="s">
        <v>208</v>
      </c>
      <c r="B886" t="s">
        <v>227</v>
      </c>
      <c r="C886" t="s">
        <v>1172</v>
      </c>
    </row>
    <row r="887" spans="1:3" x14ac:dyDescent="0.35">
      <c r="A887" t="s">
        <v>208</v>
      </c>
      <c r="B887" t="s">
        <v>227</v>
      </c>
      <c r="C887" t="s">
        <v>1173</v>
      </c>
    </row>
    <row r="888" spans="1:3" x14ac:dyDescent="0.35">
      <c r="A888" t="s">
        <v>208</v>
      </c>
      <c r="B888" t="s">
        <v>227</v>
      </c>
      <c r="C888" t="s">
        <v>1174</v>
      </c>
    </row>
    <row r="889" spans="1:3" x14ac:dyDescent="0.35">
      <c r="A889" t="s">
        <v>208</v>
      </c>
      <c r="B889" t="s">
        <v>227</v>
      </c>
      <c r="C889" t="s">
        <v>1175</v>
      </c>
    </row>
    <row r="890" spans="1:3" x14ac:dyDescent="0.35">
      <c r="A890" t="s">
        <v>208</v>
      </c>
      <c r="B890" t="s">
        <v>227</v>
      </c>
      <c r="C890" t="s">
        <v>1176</v>
      </c>
    </row>
    <row r="891" spans="1:3" x14ac:dyDescent="0.35">
      <c r="A891" t="s">
        <v>208</v>
      </c>
      <c r="B891" t="s">
        <v>227</v>
      </c>
      <c r="C891" t="s">
        <v>1177</v>
      </c>
    </row>
    <row r="892" spans="1:3" x14ac:dyDescent="0.35">
      <c r="A892" t="s">
        <v>208</v>
      </c>
      <c r="B892" t="s">
        <v>227</v>
      </c>
      <c r="C892" t="s">
        <v>1178</v>
      </c>
    </row>
    <row r="893" spans="1:3" x14ac:dyDescent="0.35">
      <c r="A893" t="s">
        <v>208</v>
      </c>
      <c r="B893" t="s">
        <v>227</v>
      </c>
      <c r="C893" t="s">
        <v>1179</v>
      </c>
    </row>
    <row r="894" spans="1:3" x14ac:dyDescent="0.35">
      <c r="A894" t="s">
        <v>208</v>
      </c>
      <c r="B894" t="s">
        <v>227</v>
      </c>
      <c r="C894" t="s">
        <v>1180</v>
      </c>
    </row>
    <row r="895" spans="1:3" x14ac:dyDescent="0.35">
      <c r="A895" t="s">
        <v>208</v>
      </c>
      <c r="B895" t="s">
        <v>227</v>
      </c>
      <c r="C895" t="s">
        <v>1181</v>
      </c>
    </row>
    <row r="896" spans="1:3" x14ac:dyDescent="0.35">
      <c r="A896" t="s">
        <v>208</v>
      </c>
      <c r="B896" t="s">
        <v>227</v>
      </c>
      <c r="C896" t="s">
        <v>1182</v>
      </c>
    </row>
    <row r="897" spans="1:3" x14ac:dyDescent="0.35">
      <c r="A897" t="s">
        <v>208</v>
      </c>
      <c r="B897" t="s">
        <v>227</v>
      </c>
      <c r="C897" t="s">
        <v>1183</v>
      </c>
    </row>
    <row r="898" spans="1:3" x14ac:dyDescent="0.35">
      <c r="A898" t="s">
        <v>208</v>
      </c>
      <c r="B898" t="s">
        <v>227</v>
      </c>
      <c r="C898" t="s">
        <v>1184</v>
      </c>
    </row>
    <row r="899" spans="1:3" x14ac:dyDescent="0.35">
      <c r="A899" t="s">
        <v>208</v>
      </c>
      <c r="B899" t="s">
        <v>227</v>
      </c>
      <c r="C899" t="s">
        <v>1185</v>
      </c>
    </row>
    <row r="900" spans="1:3" x14ac:dyDescent="0.35">
      <c r="A900" t="s">
        <v>208</v>
      </c>
      <c r="B900" t="s">
        <v>227</v>
      </c>
      <c r="C900" t="s">
        <v>1186</v>
      </c>
    </row>
    <row r="901" spans="1:3" x14ac:dyDescent="0.35">
      <c r="A901" t="s">
        <v>208</v>
      </c>
      <c r="B901" t="s">
        <v>227</v>
      </c>
      <c r="C901" t="s">
        <v>1187</v>
      </c>
    </row>
    <row r="902" spans="1:3" x14ac:dyDescent="0.35">
      <c r="A902" t="s">
        <v>208</v>
      </c>
      <c r="B902" t="s">
        <v>227</v>
      </c>
      <c r="C902" t="s">
        <v>1188</v>
      </c>
    </row>
    <row r="903" spans="1:3" x14ac:dyDescent="0.35">
      <c r="A903" t="s">
        <v>208</v>
      </c>
      <c r="B903" t="s">
        <v>227</v>
      </c>
      <c r="C903" t="s">
        <v>1189</v>
      </c>
    </row>
    <row r="904" spans="1:3" x14ac:dyDescent="0.35">
      <c r="A904" t="s">
        <v>208</v>
      </c>
      <c r="B904" t="s">
        <v>227</v>
      </c>
      <c r="C904" t="s">
        <v>1190</v>
      </c>
    </row>
    <row r="905" spans="1:3" x14ac:dyDescent="0.35">
      <c r="A905" t="s">
        <v>208</v>
      </c>
      <c r="B905" t="s">
        <v>227</v>
      </c>
      <c r="C905" t="s">
        <v>1191</v>
      </c>
    </row>
    <row r="906" spans="1:3" x14ac:dyDescent="0.35">
      <c r="A906" t="s">
        <v>208</v>
      </c>
      <c r="B906" t="s">
        <v>227</v>
      </c>
      <c r="C906" t="s">
        <v>1192</v>
      </c>
    </row>
    <row r="907" spans="1:3" x14ac:dyDescent="0.35">
      <c r="A907" t="s">
        <v>208</v>
      </c>
      <c r="B907" t="s">
        <v>227</v>
      </c>
      <c r="C907" t="s">
        <v>1193</v>
      </c>
    </row>
    <row r="908" spans="1:3" x14ac:dyDescent="0.35">
      <c r="A908" t="s">
        <v>208</v>
      </c>
      <c r="B908" t="s">
        <v>227</v>
      </c>
      <c r="C908" t="s">
        <v>1194</v>
      </c>
    </row>
    <row r="909" spans="1:3" x14ac:dyDescent="0.35">
      <c r="A909" t="s">
        <v>208</v>
      </c>
      <c r="B909" t="s">
        <v>227</v>
      </c>
      <c r="C909" t="s">
        <v>1195</v>
      </c>
    </row>
    <row r="910" spans="1:3" x14ac:dyDescent="0.35">
      <c r="A910" t="s">
        <v>208</v>
      </c>
      <c r="B910" t="s">
        <v>227</v>
      </c>
      <c r="C910" t="s">
        <v>1196</v>
      </c>
    </row>
    <row r="911" spans="1:3" x14ac:dyDescent="0.35">
      <c r="A911" t="s">
        <v>208</v>
      </c>
      <c r="B911" t="s">
        <v>227</v>
      </c>
      <c r="C911" t="s">
        <v>1197</v>
      </c>
    </row>
    <row r="912" spans="1:3" x14ac:dyDescent="0.35">
      <c r="A912" t="s">
        <v>208</v>
      </c>
      <c r="B912" t="s">
        <v>227</v>
      </c>
      <c r="C912" t="s">
        <v>1198</v>
      </c>
    </row>
    <row r="913" spans="1:3" x14ac:dyDescent="0.35">
      <c r="A913" t="s">
        <v>208</v>
      </c>
      <c r="B913" t="s">
        <v>227</v>
      </c>
      <c r="C913" t="s">
        <v>1199</v>
      </c>
    </row>
    <row r="914" spans="1:3" x14ac:dyDescent="0.35">
      <c r="A914" t="s">
        <v>208</v>
      </c>
      <c r="B914" t="s">
        <v>227</v>
      </c>
      <c r="C914" t="s">
        <v>1200</v>
      </c>
    </row>
    <row r="915" spans="1:3" x14ac:dyDescent="0.35">
      <c r="A915" t="s">
        <v>208</v>
      </c>
      <c r="B915" t="s">
        <v>227</v>
      </c>
      <c r="C915" t="s">
        <v>1201</v>
      </c>
    </row>
    <row r="916" spans="1:3" x14ac:dyDescent="0.35">
      <c r="A916" t="s">
        <v>208</v>
      </c>
      <c r="B916" t="s">
        <v>227</v>
      </c>
      <c r="C916" t="s">
        <v>1202</v>
      </c>
    </row>
    <row r="917" spans="1:3" x14ac:dyDescent="0.35">
      <c r="A917" t="s">
        <v>208</v>
      </c>
      <c r="B917" t="s">
        <v>227</v>
      </c>
      <c r="C917" t="s">
        <v>1203</v>
      </c>
    </row>
    <row r="918" spans="1:3" x14ac:dyDescent="0.35">
      <c r="A918" t="s">
        <v>208</v>
      </c>
      <c r="B918" t="s">
        <v>227</v>
      </c>
      <c r="C918" t="s">
        <v>1204</v>
      </c>
    </row>
    <row r="919" spans="1:3" x14ac:dyDescent="0.35">
      <c r="A919" t="s">
        <v>208</v>
      </c>
      <c r="B919" t="s">
        <v>227</v>
      </c>
      <c r="C919" t="s">
        <v>1205</v>
      </c>
    </row>
    <row r="920" spans="1:3" x14ac:dyDescent="0.35">
      <c r="A920" t="s">
        <v>208</v>
      </c>
      <c r="B920" t="s">
        <v>227</v>
      </c>
      <c r="C920" t="s">
        <v>1206</v>
      </c>
    </row>
    <row r="921" spans="1:3" x14ac:dyDescent="0.35">
      <c r="A921" t="s">
        <v>208</v>
      </c>
      <c r="B921" t="s">
        <v>227</v>
      </c>
      <c r="C921" t="s">
        <v>1207</v>
      </c>
    </row>
    <row r="922" spans="1:3" x14ac:dyDescent="0.35">
      <c r="A922" t="s">
        <v>208</v>
      </c>
      <c r="B922" t="s">
        <v>227</v>
      </c>
      <c r="C922" t="s">
        <v>1208</v>
      </c>
    </row>
    <row r="923" spans="1:3" x14ac:dyDescent="0.35">
      <c r="A923" t="s">
        <v>208</v>
      </c>
      <c r="B923" t="s">
        <v>227</v>
      </c>
      <c r="C923" t="s">
        <v>1209</v>
      </c>
    </row>
    <row r="924" spans="1:3" x14ac:dyDescent="0.35">
      <c r="A924" t="s">
        <v>208</v>
      </c>
      <c r="B924" t="s">
        <v>227</v>
      </c>
      <c r="C924" t="s">
        <v>1210</v>
      </c>
    </row>
    <row r="925" spans="1:3" x14ac:dyDescent="0.35">
      <c r="A925" t="s">
        <v>208</v>
      </c>
      <c r="B925" t="s">
        <v>227</v>
      </c>
      <c r="C925" t="s">
        <v>1211</v>
      </c>
    </row>
    <row r="926" spans="1:3" x14ac:dyDescent="0.35">
      <c r="A926" t="s">
        <v>208</v>
      </c>
      <c r="B926" t="s">
        <v>227</v>
      </c>
      <c r="C926" t="s">
        <v>1212</v>
      </c>
    </row>
    <row r="927" spans="1:3" x14ac:dyDescent="0.35">
      <c r="A927" t="s">
        <v>208</v>
      </c>
      <c r="B927" t="s">
        <v>227</v>
      </c>
      <c r="C927" t="s">
        <v>1213</v>
      </c>
    </row>
    <row r="928" spans="1:3" x14ac:dyDescent="0.35">
      <c r="A928" t="s">
        <v>208</v>
      </c>
      <c r="B928" t="s">
        <v>227</v>
      </c>
      <c r="C928" t="s">
        <v>1214</v>
      </c>
    </row>
    <row r="929" spans="1:3" x14ac:dyDescent="0.35">
      <c r="A929" t="s">
        <v>208</v>
      </c>
      <c r="B929" t="s">
        <v>227</v>
      </c>
      <c r="C929" t="s">
        <v>1215</v>
      </c>
    </row>
    <row r="930" spans="1:3" x14ac:dyDescent="0.35">
      <c r="A930" t="s">
        <v>208</v>
      </c>
      <c r="B930" t="s">
        <v>227</v>
      </c>
      <c r="C930" t="s">
        <v>1216</v>
      </c>
    </row>
    <row r="931" spans="1:3" x14ac:dyDescent="0.35">
      <c r="A931" t="s">
        <v>208</v>
      </c>
      <c r="B931" t="s">
        <v>227</v>
      </c>
      <c r="C931" t="s">
        <v>1217</v>
      </c>
    </row>
    <row r="932" spans="1:3" x14ac:dyDescent="0.35">
      <c r="A932" t="s">
        <v>208</v>
      </c>
      <c r="B932" t="s">
        <v>227</v>
      </c>
      <c r="C932" t="s">
        <v>1218</v>
      </c>
    </row>
    <row r="933" spans="1:3" x14ac:dyDescent="0.35">
      <c r="A933" t="s">
        <v>208</v>
      </c>
      <c r="B933" t="s">
        <v>227</v>
      </c>
      <c r="C933" t="s">
        <v>1219</v>
      </c>
    </row>
    <row r="934" spans="1:3" x14ac:dyDescent="0.35">
      <c r="A934" t="s">
        <v>208</v>
      </c>
      <c r="B934" t="s">
        <v>227</v>
      </c>
      <c r="C934" t="s">
        <v>1220</v>
      </c>
    </row>
    <row r="935" spans="1:3" x14ac:dyDescent="0.35">
      <c r="A935" t="s">
        <v>208</v>
      </c>
      <c r="B935" t="s">
        <v>227</v>
      </c>
      <c r="C935" t="s">
        <v>1221</v>
      </c>
    </row>
    <row r="936" spans="1:3" x14ac:dyDescent="0.35">
      <c r="A936" t="s">
        <v>208</v>
      </c>
      <c r="B936" t="s">
        <v>227</v>
      </c>
      <c r="C936" t="s">
        <v>1222</v>
      </c>
    </row>
    <row r="937" spans="1:3" x14ac:dyDescent="0.35">
      <c r="A937" t="s">
        <v>208</v>
      </c>
      <c r="B937" t="s">
        <v>227</v>
      </c>
      <c r="C937" t="s">
        <v>1223</v>
      </c>
    </row>
    <row r="938" spans="1:3" x14ac:dyDescent="0.35">
      <c r="A938" t="s">
        <v>208</v>
      </c>
      <c r="B938" t="s">
        <v>227</v>
      </c>
      <c r="C938" t="s">
        <v>1224</v>
      </c>
    </row>
    <row r="939" spans="1:3" x14ac:dyDescent="0.35">
      <c r="A939" t="s">
        <v>208</v>
      </c>
      <c r="B939" t="s">
        <v>227</v>
      </c>
      <c r="C939" t="s">
        <v>1225</v>
      </c>
    </row>
    <row r="940" spans="1:3" x14ac:dyDescent="0.35">
      <c r="A940" t="s">
        <v>208</v>
      </c>
      <c r="B940" t="s">
        <v>227</v>
      </c>
      <c r="C940" t="s">
        <v>1226</v>
      </c>
    </row>
    <row r="941" spans="1:3" x14ac:dyDescent="0.35">
      <c r="A941" t="s">
        <v>208</v>
      </c>
      <c r="B941" t="s">
        <v>227</v>
      </c>
      <c r="C941" t="s">
        <v>1227</v>
      </c>
    </row>
    <row r="942" spans="1:3" x14ac:dyDescent="0.35">
      <c r="A942" t="s">
        <v>208</v>
      </c>
      <c r="B942" t="s">
        <v>227</v>
      </c>
      <c r="C942" t="s">
        <v>1228</v>
      </c>
    </row>
    <row r="943" spans="1:3" x14ac:dyDescent="0.35">
      <c r="A943" t="s">
        <v>208</v>
      </c>
      <c r="B943" t="s">
        <v>227</v>
      </c>
      <c r="C943" t="s">
        <v>1229</v>
      </c>
    </row>
    <row r="944" spans="1:3" x14ac:dyDescent="0.35">
      <c r="A944" t="s">
        <v>208</v>
      </c>
      <c r="B944" t="s">
        <v>227</v>
      </c>
      <c r="C944" t="s">
        <v>1230</v>
      </c>
    </row>
    <row r="945" spans="1:3" x14ac:dyDescent="0.35">
      <c r="A945" t="s">
        <v>208</v>
      </c>
      <c r="B945" t="s">
        <v>227</v>
      </c>
      <c r="C945" t="s">
        <v>1231</v>
      </c>
    </row>
    <row r="946" spans="1:3" x14ac:dyDescent="0.35">
      <c r="A946" t="s">
        <v>208</v>
      </c>
      <c r="B946" t="s">
        <v>227</v>
      </c>
      <c r="C946" t="s">
        <v>1232</v>
      </c>
    </row>
    <row r="947" spans="1:3" x14ac:dyDescent="0.35">
      <c r="A947" t="s">
        <v>208</v>
      </c>
      <c r="B947" t="s">
        <v>227</v>
      </c>
      <c r="C947" t="s">
        <v>1233</v>
      </c>
    </row>
    <row r="948" spans="1:3" x14ac:dyDescent="0.35">
      <c r="A948" t="s">
        <v>208</v>
      </c>
      <c r="B948" t="s">
        <v>227</v>
      </c>
      <c r="C948" t="s">
        <v>1234</v>
      </c>
    </row>
    <row r="949" spans="1:3" x14ac:dyDescent="0.35">
      <c r="A949" t="s">
        <v>208</v>
      </c>
      <c r="B949" t="s">
        <v>227</v>
      </c>
      <c r="C949" t="s">
        <v>1235</v>
      </c>
    </row>
    <row r="950" spans="1:3" x14ac:dyDescent="0.35">
      <c r="A950" t="s">
        <v>208</v>
      </c>
      <c r="B950" t="s">
        <v>227</v>
      </c>
      <c r="C950" t="s">
        <v>1236</v>
      </c>
    </row>
    <row r="951" spans="1:3" x14ac:dyDescent="0.35">
      <c r="A951" t="s">
        <v>208</v>
      </c>
      <c r="B951" t="s">
        <v>227</v>
      </c>
      <c r="C951" t="s">
        <v>1237</v>
      </c>
    </row>
    <row r="952" spans="1:3" x14ac:dyDescent="0.35">
      <c r="A952" t="s">
        <v>208</v>
      </c>
      <c r="B952" t="s">
        <v>227</v>
      </c>
      <c r="C952" t="s">
        <v>1238</v>
      </c>
    </row>
    <row r="953" spans="1:3" x14ac:dyDescent="0.35">
      <c r="A953" t="s">
        <v>208</v>
      </c>
      <c r="B953" t="s">
        <v>227</v>
      </c>
      <c r="C953" t="s">
        <v>1239</v>
      </c>
    </row>
    <row r="954" spans="1:3" x14ac:dyDescent="0.35">
      <c r="A954" t="s">
        <v>208</v>
      </c>
      <c r="B954" t="s">
        <v>227</v>
      </c>
      <c r="C954" t="s">
        <v>1240</v>
      </c>
    </row>
    <row r="955" spans="1:3" x14ac:dyDescent="0.35">
      <c r="A955" t="s">
        <v>208</v>
      </c>
      <c r="B955" t="s">
        <v>227</v>
      </c>
      <c r="C955" t="s">
        <v>1241</v>
      </c>
    </row>
    <row r="956" spans="1:3" x14ac:dyDescent="0.35">
      <c r="A956" t="s">
        <v>208</v>
      </c>
      <c r="B956" t="s">
        <v>227</v>
      </c>
      <c r="C956" t="s">
        <v>1242</v>
      </c>
    </row>
    <row r="957" spans="1:3" x14ac:dyDescent="0.35">
      <c r="A957" t="s">
        <v>208</v>
      </c>
      <c r="B957" t="s">
        <v>227</v>
      </c>
      <c r="C957" t="s">
        <v>1243</v>
      </c>
    </row>
    <row r="958" spans="1:3" x14ac:dyDescent="0.35">
      <c r="A958" t="s">
        <v>208</v>
      </c>
      <c r="B958" t="s">
        <v>227</v>
      </c>
      <c r="C958" t="s">
        <v>1244</v>
      </c>
    </row>
    <row r="959" spans="1:3" x14ac:dyDescent="0.35">
      <c r="A959" t="s">
        <v>208</v>
      </c>
      <c r="B959" t="s">
        <v>227</v>
      </c>
      <c r="C959" t="s">
        <v>1245</v>
      </c>
    </row>
    <row r="960" spans="1:3" x14ac:dyDescent="0.35">
      <c r="A960" t="s">
        <v>208</v>
      </c>
      <c r="B960" t="s">
        <v>237</v>
      </c>
      <c r="C960" t="s">
        <v>1246</v>
      </c>
    </row>
    <row r="961" spans="1:3" x14ac:dyDescent="0.35">
      <c r="A961" t="s">
        <v>208</v>
      </c>
      <c r="B961" t="s">
        <v>237</v>
      </c>
      <c r="C961" t="s">
        <v>1247</v>
      </c>
    </row>
    <row r="962" spans="1:3" x14ac:dyDescent="0.35">
      <c r="A962" t="s">
        <v>208</v>
      </c>
      <c r="B962" t="s">
        <v>237</v>
      </c>
      <c r="C962" t="s">
        <v>1248</v>
      </c>
    </row>
    <row r="963" spans="1:3" x14ac:dyDescent="0.35">
      <c r="A963" t="s">
        <v>208</v>
      </c>
      <c r="B963" t="s">
        <v>237</v>
      </c>
      <c r="C963" t="s">
        <v>1249</v>
      </c>
    </row>
    <row r="964" spans="1:3" x14ac:dyDescent="0.35">
      <c r="A964" t="s">
        <v>208</v>
      </c>
      <c r="B964" t="s">
        <v>237</v>
      </c>
      <c r="C964" t="s">
        <v>1250</v>
      </c>
    </row>
    <row r="965" spans="1:3" x14ac:dyDescent="0.35">
      <c r="A965" t="s">
        <v>208</v>
      </c>
      <c r="B965" t="s">
        <v>237</v>
      </c>
      <c r="C965" t="s">
        <v>1251</v>
      </c>
    </row>
    <row r="966" spans="1:3" x14ac:dyDescent="0.35">
      <c r="A966" t="s">
        <v>208</v>
      </c>
      <c r="B966" t="s">
        <v>237</v>
      </c>
      <c r="C966" t="s">
        <v>1252</v>
      </c>
    </row>
    <row r="967" spans="1:3" x14ac:dyDescent="0.35">
      <c r="A967" t="s">
        <v>208</v>
      </c>
      <c r="B967" t="s">
        <v>237</v>
      </c>
      <c r="C967" t="s">
        <v>237</v>
      </c>
    </row>
    <row r="968" spans="1:3" x14ac:dyDescent="0.35">
      <c r="A968" t="s">
        <v>208</v>
      </c>
      <c r="B968" t="s">
        <v>237</v>
      </c>
      <c r="C968" t="s">
        <v>1253</v>
      </c>
    </row>
    <row r="969" spans="1:3" x14ac:dyDescent="0.35">
      <c r="A969" t="s">
        <v>208</v>
      </c>
      <c r="B969" t="s">
        <v>237</v>
      </c>
      <c r="C969" t="s">
        <v>1254</v>
      </c>
    </row>
    <row r="970" spans="1:3" x14ac:dyDescent="0.35">
      <c r="A970" t="s">
        <v>208</v>
      </c>
      <c r="B970" t="s">
        <v>237</v>
      </c>
      <c r="C970" t="s">
        <v>1255</v>
      </c>
    </row>
    <row r="971" spans="1:3" x14ac:dyDescent="0.35">
      <c r="A971" t="s">
        <v>208</v>
      </c>
      <c r="B971" t="s">
        <v>237</v>
      </c>
      <c r="C971" t="s">
        <v>1256</v>
      </c>
    </row>
    <row r="972" spans="1:3" x14ac:dyDescent="0.35">
      <c r="A972" t="s">
        <v>208</v>
      </c>
      <c r="B972" t="s">
        <v>237</v>
      </c>
      <c r="C972" t="s">
        <v>1257</v>
      </c>
    </row>
    <row r="973" spans="1:3" x14ac:dyDescent="0.35">
      <c r="A973" t="s">
        <v>208</v>
      </c>
      <c r="B973" t="s">
        <v>237</v>
      </c>
      <c r="C973" t="s">
        <v>1258</v>
      </c>
    </row>
    <row r="974" spans="1:3" x14ac:dyDescent="0.35">
      <c r="A974" t="s">
        <v>208</v>
      </c>
      <c r="B974" t="s">
        <v>237</v>
      </c>
      <c r="C974" t="s">
        <v>1259</v>
      </c>
    </row>
    <row r="975" spans="1:3" x14ac:dyDescent="0.35">
      <c r="A975" t="s">
        <v>208</v>
      </c>
      <c r="B975" t="s">
        <v>237</v>
      </c>
      <c r="C975" t="s">
        <v>1260</v>
      </c>
    </row>
    <row r="976" spans="1:3" x14ac:dyDescent="0.35">
      <c r="A976" t="s">
        <v>208</v>
      </c>
      <c r="B976" t="s">
        <v>237</v>
      </c>
      <c r="C976" t="s">
        <v>1261</v>
      </c>
    </row>
    <row r="977" spans="1:3" x14ac:dyDescent="0.35">
      <c r="A977" t="s">
        <v>208</v>
      </c>
      <c r="B977" t="s">
        <v>237</v>
      </c>
      <c r="C977" t="s">
        <v>1262</v>
      </c>
    </row>
    <row r="978" spans="1:3" x14ac:dyDescent="0.35">
      <c r="A978" t="s">
        <v>208</v>
      </c>
      <c r="B978" t="s">
        <v>237</v>
      </c>
      <c r="C978" t="s">
        <v>1263</v>
      </c>
    </row>
    <row r="979" spans="1:3" x14ac:dyDescent="0.35">
      <c r="A979" t="s">
        <v>208</v>
      </c>
      <c r="B979" t="s">
        <v>237</v>
      </c>
      <c r="C979" t="s">
        <v>1264</v>
      </c>
    </row>
    <row r="980" spans="1:3" x14ac:dyDescent="0.35">
      <c r="A980" t="s">
        <v>208</v>
      </c>
      <c r="B980" t="s">
        <v>237</v>
      </c>
      <c r="C980" t="s">
        <v>1265</v>
      </c>
    </row>
    <row r="981" spans="1:3" x14ac:dyDescent="0.35">
      <c r="A981" t="s">
        <v>208</v>
      </c>
      <c r="B981" t="s">
        <v>237</v>
      </c>
      <c r="C981" t="s">
        <v>1266</v>
      </c>
    </row>
    <row r="982" spans="1:3" x14ac:dyDescent="0.35">
      <c r="A982" t="s">
        <v>208</v>
      </c>
      <c r="B982" t="s">
        <v>237</v>
      </c>
      <c r="C982" t="s">
        <v>1267</v>
      </c>
    </row>
    <row r="983" spans="1:3" x14ac:dyDescent="0.35">
      <c r="A983" t="s">
        <v>208</v>
      </c>
      <c r="B983" t="s">
        <v>237</v>
      </c>
      <c r="C983" t="s">
        <v>1268</v>
      </c>
    </row>
    <row r="984" spans="1:3" x14ac:dyDescent="0.35">
      <c r="A984" t="s">
        <v>208</v>
      </c>
      <c r="B984" t="s">
        <v>237</v>
      </c>
      <c r="C984" t="s">
        <v>1269</v>
      </c>
    </row>
    <row r="985" spans="1:3" x14ac:dyDescent="0.35">
      <c r="A985" t="s">
        <v>208</v>
      </c>
      <c r="B985" t="s">
        <v>237</v>
      </c>
      <c r="C985" t="s">
        <v>1270</v>
      </c>
    </row>
    <row r="986" spans="1:3" x14ac:dyDescent="0.35">
      <c r="A986" t="s">
        <v>208</v>
      </c>
      <c r="B986" t="s">
        <v>237</v>
      </c>
      <c r="C986" t="s">
        <v>1271</v>
      </c>
    </row>
    <row r="987" spans="1:3" x14ac:dyDescent="0.35">
      <c r="A987" t="s">
        <v>208</v>
      </c>
      <c r="B987" t="s">
        <v>237</v>
      </c>
      <c r="C987" t="s">
        <v>1272</v>
      </c>
    </row>
    <row r="988" spans="1:3" x14ac:dyDescent="0.35">
      <c r="A988" t="s">
        <v>208</v>
      </c>
      <c r="B988" t="s">
        <v>237</v>
      </c>
      <c r="C988" t="s">
        <v>1273</v>
      </c>
    </row>
    <row r="989" spans="1:3" x14ac:dyDescent="0.35">
      <c r="A989" t="s">
        <v>208</v>
      </c>
      <c r="B989" t="s">
        <v>237</v>
      </c>
      <c r="C989" t="s">
        <v>1274</v>
      </c>
    </row>
    <row r="990" spans="1:3" x14ac:dyDescent="0.35">
      <c r="A990" t="s">
        <v>208</v>
      </c>
      <c r="B990" t="s">
        <v>237</v>
      </c>
      <c r="C990" t="s">
        <v>1275</v>
      </c>
    </row>
    <row r="991" spans="1:3" x14ac:dyDescent="0.35">
      <c r="A991" t="s">
        <v>208</v>
      </c>
      <c r="B991" t="s">
        <v>237</v>
      </c>
      <c r="C991" t="s">
        <v>1276</v>
      </c>
    </row>
    <row r="992" spans="1:3" x14ac:dyDescent="0.35">
      <c r="A992" t="s">
        <v>208</v>
      </c>
      <c r="B992" t="s">
        <v>237</v>
      </c>
      <c r="C992" t="s">
        <v>1277</v>
      </c>
    </row>
    <row r="993" spans="1:3" x14ac:dyDescent="0.35">
      <c r="A993" t="s">
        <v>208</v>
      </c>
      <c r="B993" t="s">
        <v>237</v>
      </c>
      <c r="C993" t="s">
        <v>1278</v>
      </c>
    </row>
    <row r="994" spans="1:3" x14ac:dyDescent="0.35">
      <c r="A994" t="s">
        <v>208</v>
      </c>
      <c r="B994" t="s">
        <v>237</v>
      </c>
      <c r="C994" t="s">
        <v>1279</v>
      </c>
    </row>
    <row r="995" spans="1:3" x14ac:dyDescent="0.35">
      <c r="A995" t="s">
        <v>208</v>
      </c>
      <c r="B995" t="s">
        <v>237</v>
      </c>
      <c r="C995" t="s">
        <v>1280</v>
      </c>
    </row>
    <row r="996" spans="1:3" x14ac:dyDescent="0.35">
      <c r="A996" t="s">
        <v>208</v>
      </c>
      <c r="B996" t="s">
        <v>237</v>
      </c>
      <c r="C996" t="s">
        <v>1281</v>
      </c>
    </row>
    <row r="997" spans="1:3" x14ac:dyDescent="0.35">
      <c r="A997" t="s">
        <v>208</v>
      </c>
      <c r="B997" t="s">
        <v>237</v>
      </c>
      <c r="C997" t="s">
        <v>1282</v>
      </c>
    </row>
    <row r="998" spans="1:3" x14ac:dyDescent="0.35">
      <c r="A998" t="s">
        <v>208</v>
      </c>
      <c r="B998" t="s">
        <v>237</v>
      </c>
      <c r="C998" t="s">
        <v>1283</v>
      </c>
    </row>
    <row r="999" spans="1:3" x14ac:dyDescent="0.35">
      <c r="A999" t="s">
        <v>208</v>
      </c>
      <c r="B999" t="s">
        <v>237</v>
      </c>
      <c r="C999" t="s">
        <v>1284</v>
      </c>
    </row>
    <row r="1000" spans="1:3" x14ac:dyDescent="0.35">
      <c r="A1000" t="s">
        <v>208</v>
      </c>
      <c r="B1000" t="s">
        <v>237</v>
      </c>
      <c r="C1000" t="s">
        <v>1285</v>
      </c>
    </row>
    <row r="1001" spans="1:3" x14ac:dyDescent="0.35">
      <c r="A1001" t="s">
        <v>208</v>
      </c>
      <c r="B1001" t="s">
        <v>237</v>
      </c>
      <c r="C1001" t="s">
        <v>1286</v>
      </c>
    </row>
    <row r="1002" spans="1:3" x14ac:dyDescent="0.35">
      <c r="A1002" t="s">
        <v>208</v>
      </c>
      <c r="B1002" t="s">
        <v>237</v>
      </c>
      <c r="C1002" t="s">
        <v>1287</v>
      </c>
    </row>
    <row r="1003" spans="1:3" x14ac:dyDescent="0.35">
      <c r="A1003" t="s">
        <v>208</v>
      </c>
      <c r="B1003" t="s">
        <v>237</v>
      </c>
      <c r="C1003" t="s">
        <v>1288</v>
      </c>
    </row>
    <row r="1004" spans="1:3" x14ac:dyDescent="0.35">
      <c r="A1004" t="s">
        <v>208</v>
      </c>
      <c r="B1004" t="s">
        <v>237</v>
      </c>
      <c r="C1004" t="s">
        <v>1289</v>
      </c>
    </row>
    <row r="1005" spans="1:3" x14ac:dyDescent="0.35">
      <c r="A1005" t="s">
        <v>208</v>
      </c>
      <c r="B1005" t="s">
        <v>237</v>
      </c>
      <c r="C1005" t="s">
        <v>1290</v>
      </c>
    </row>
    <row r="1006" spans="1:3" x14ac:dyDescent="0.35">
      <c r="A1006" t="s">
        <v>208</v>
      </c>
      <c r="B1006" t="s">
        <v>237</v>
      </c>
      <c r="C1006" t="s">
        <v>1291</v>
      </c>
    </row>
    <row r="1007" spans="1:3" x14ac:dyDescent="0.35">
      <c r="A1007" t="s">
        <v>208</v>
      </c>
      <c r="B1007" t="s">
        <v>237</v>
      </c>
      <c r="C1007" t="s">
        <v>1292</v>
      </c>
    </row>
    <row r="1008" spans="1:3" x14ac:dyDescent="0.35">
      <c r="A1008" t="s">
        <v>208</v>
      </c>
      <c r="B1008" t="s">
        <v>237</v>
      </c>
      <c r="C1008" t="s">
        <v>1293</v>
      </c>
    </row>
    <row r="1009" spans="1:3" x14ac:dyDescent="0.35">
      <c r="A1009" t="s">
        <v>208</v>
      </c>
      <c r="B1009" t="s">
        <v>237</v>
      </c>
      <c r="C1009" t="s">
        <v>1294</v>
      </c>
    </row>
    <row r="1010" spans="1:3" x14ac:dyDescent="0.35">
      <c r="A1010" t="s">
        <v>208</v>
      </c>
      <c r="B1010" t="s">
        <v>237</v>
      </c>
      <c r="C1010" t="s">
        <v>1295</v>
      </c>
    </row>
    <row r="1011" spans="1:3" x14ac:dyDescent="0.35">
      <c r="A1011" t="s">
        <v>208</v>
      </c>
      <c r="B1011" t="s">
        <v>237</v>
      </c>
      <c r="C1011" t="s">
        <v>1296</v>
      </c>
    </row>
    <row r="1012" spans="1:3" x14ac:dyDescent="0.35">
      <c r="A1012" t="s">
        <v>208</v>
      </c>
      <c r="B1012" t="s">
        <v>237</v>
      </c>
      <c r="C1012" t="s">
        <v>1297</v>
      </c>
    </row>
    <row r="1013" spans="1:3" x14ac:dyDescent="0.35">
      <c r="A1013" t="s">
        <v>208</v>
      </c>
      <c r="B1013" t="s">
        <v>237</v>
      </c>
      <c r="C1013" t="s">
        <v>1298</v>
      </c>
    </row>
    <row r="1014" spans="1:3" x14ac:dyDescent="0.35">
      <c r="A1014" t="s">
        <v>208</v>
      </c>
      <c r="B1014" t="s">
        <v>237</v>
      </c>
      <c r="C1014" t="s">
        <v>1299</v>
      </c>
    </row>
    <row r="1015" spans="1:3" x14ac:dyDescent="0.35">
      <c r="A1015" t="s">
        <v>208</v>
      </c>
      <c r="B1015" t="s">
        <v>237</v>
      </c>
      <c r="C1015" t="s">
        <v>1300</v>
      </c>
    </row>
    <row r="1016" spans="1:3" x14ac:dyDescent="0.35">
      <c r="A1016" t="s">
        <v>208</v>
      </c>
      <c r="B1016" t="s">
        <v>237</v>
      </c>
      <c r="C1016" t="s">
        <v>1301</v>
      </c>
    </row>
    <row r="1017" spans="1:3" x14ac:dyDescent="0.35">
      <c r="A1017" t="s">
        <v>208</v>
      </c>
      <c r="B1017" t="s">
        <v>237</v>
      </c>
      <c r="C1017" t="s">
        <v>1302</v>
      </c>
    </row>
    <row r="1018" spans="1:3" x14ac:dyDescent="0.35">
      <c r="A1018" t="s">
        <v>208</v>
      </c>
      <c r="B1018" t="s">
        <v>237</v>
      </c>
      <c r="C1018" t="s">
        <v>1303</v>
      </c>
    </row>
    <row r="1019" spans="1:3" x14ac:dyDescent="0.35">
      <c r="A1019" t="s">
        <v>208</v>
      </c>
      <c r="B1019" t="s">
        <v>237</v>
      </c>
      <c r="C1019" t="s">
        <v>1304</v>
      </c>
    </row>
    <row r="1020" spans="1:3" x14ac:dyDescent="0.35">
      <c r="A1020" t="s">
        <v>208</v>
      </c>
      <c r="B1020" t="s">
        <v>237</v>
      </c>
      <c r="C1020" t="s">
        <v>1305</v>
      </c>
    </row>
    <row r="1021" spans="1:3" x14ac:dyDescent="0.35">
      <c r="A1021" t="s">
        <v>208</v>
      </c>
      <c r="B1021" t="s">
        <v>237</v>
      </c>
      <c r="C1021" t="s">
        <v>1306</v>
      </c>
    </row>
    <row r="1022" spans="1:3" x14ac:dyDescent="0.35">
      <c r="A1022" t="s">
        <v>208</v>
      </c>
      <c r="B1022" t="s">
        <v>237</v>
      </c>
      <c r="C1022" t="s">
        <v>1307</v>
      </c>
    </row>
    <row r="1023" spans="1:3" x14ac:dyDescent="0.35">
      <c r="A1023" t="s">
        <v>208</v>
      </c>
      <c r="B1023" t="s">
        <v>237</v>
      </c>
      <c r="C1023" t="s">
        <v>1308</v>
      </c>
    </row>
    <row r="1024" spans="1:3" x14ac:dyDescent="0.35">
      <c r="A1024" t="s">
        <v>208</v>
      </c>
      <c r="B1024" t="s">
        <v>237</v>
      </c>
      <c r="C1024" t="s">
        <v>1309</v>
      </c>
    </row>
    <row r="1025" spans="1:3" x14ac:dyDescent="0.35">
      <c r="A1025" t="s">
        <v>208</v>
      </c>
      <c r="B1025" t="s">
        <v>237</v>
      </c>
      <c r="C1025" t="s">
        <v>1310</v>
      </c>
    </row>
    <row r="1026" spans="1:3" x14ac:dyDescent="0.35">
      <c r="A1026" t="s">
        <v>208</v>
      </c>
      <c r="B1026" t="s">
        <v>237</v>
      </c>
      <c r="C1026" t="s">
        <v>1311</v>
      </c>
    </row>
    <row r="1027" spans="1:3" x14ac:dyDescent="0.35">
      <c r="A1027" t="s">
        <v>208</v>
      </c>
      <c r="B1027" t="s">
        <v>237</v>
      </c>
      <c r="C1027" t="s">
        <v>1312</v>
      </c>
    </row>
    <row r="1028" spans="1:3" x14ac:dyDescent="0.35">
      <c r="A1028" t="s">
        <v>208</v>
      </c>
      <c r="B1028" t="s">
        <v>237</v>
      </c>
      <c r="C1028" t="s">
        <v>1313</v>
      </c>
    </row>
    <row r="1029" spans="1:3" x14ac:dyDescent="0.35">
      <c r="A1029" t="s">
        <v>208</v>
      </c>
      <c r="B1029" t="s">
        <v>237</v>
      </c>
      <c r="C1029" t="s">
        <v>1314</v>
      </c>
    </row>
    <row r="1030" spans="1:3" x14ac:dyDescent="0.35">
      <c r="A1030" t="s">
        <v>208</v>
      </c>
      <c r="B1030" t="s">
        <v>237</v>
      </c>
      <c r="C1030" t="s">
        <v>1315</v>
      </c>
    </row>
    <row r="1031" spans="1:3" x14ac:dyDescent="0.35">
      <c r="A1031" t="s">
        <v>208</v>
      </c>
      <c r="B1031" t="s">
        <v>237</v>
      </c>
      <c r="C1031" t="s">
        <v>1316</v>
      </c>
    </row>
    <row r="1032" spans="1:3" x14ac:dyDescent="0.35">
      <c r="A1032" t="s">
        <v>208</v>
      </c>
      <c r="B1032" t="s">
        <v>237</v>
      </c>
      <c r="C1032" t="s">
        <v>1317</v>
      </c>
    </row>
    <row r="1033" spans="1:3" x14ac:dyDescent="0.35">
      <c r="A1033" t="s">
        <v>208</v>
      </c>
      <c r="B1033" t="s">
        <v>237</v>
      </c>
      <c r="C1033" t="s">
        <v>1318</v>
      </c>
    </row>
    <row r="1034" spans="1:3" x14ac:dyDescent="0.35">
      <c r="A1034" t="s">
        <v>208</v>
      </c>
      <c r="B1034" t="s">
        <v>237</v>
      </c>
      <c r="C1034" t="s">
        <v>1319</v>
      </c>
    </row>
    <row r="1035" spans="1:3" x14ac:dyDescent="0.35">
      <c r="A1035" t="s">
        <v>208</v>
      </c>
      <c r="B1035" t="s">
        <v>237</v>
      </c>
      <c r="C1035" t="s">
        <v>1320</v>
      </c>
    </row>
    <row r="1036" spans="1:3" x14ac:dyDescent="0.35">
      <c r="A1036" t="s">
        <v>208</v>
      </c>
      <c r="B1036" t="s">
        <v>237</v>
      </c>
      <c r="C1036" t="s">
        <v>1321</v>
      </c>
    </row>
    <row r="1037" spans="1:3" x14ac:dyDescent="0.35">
      <c r="A1037" t="s">
        <v>208</v>
      </c>
      <c r="B1037" t="s">
        <v>237</v>
      </c>
      <c r="C1037" t="s">
        <v>1322</v>
      </c>
    </row>
    <row r="1038" spans="1:3" x14ac:dyDescent="0.35">
      <c r="A1038" t="s">
        <v>208</v>
      </c>
      <c r="B1038" t="s">
        <v>251</v>
      </c>
      <c r="C1038" t="s">
        <v>1323</v>
      </c>
    </row>
    <row r="1039" spans="1:3" x14ac:dyDescent="0.35">
      <c r="A1039" t="s">
        <v>208</v>
      </c>
      <c r="B1039" t="s">
        <v>251</v>
      </c>
      <c r="C1039" t="s">
        <v>1324</v>
      </c>
    </row>
    <row r="1040" spans="1:3" x14ac:dyDescent="0.35">
      <c r="A1040" t="s">
        <v>208</v>
      </c>
      <c r="B1040" t="s">
        <v>251</v>
      </c>
      <c r="C1040" t="s">
        <v>1325</v>
      </c>
    </row>
    <row r="1041" spans="1:3" x14ac:dyDescent="0.35">
      <c r="A1041" t="s">
        <v>208</v>
      </c>
      <c r="B1041" t="s">
        <v>251</v>
      </c>
      <c r="C1041" t="s">
        <v>1326</v>
      </c>
    </row>
    <row r="1042" spans="1:3" x14ac:dyDescent="0.35">
      <c r="A1042" t="s">
        <v>208</v>
      </c>
      <c r="B1042" t="s">
        <v>251</v>
      </c>
      <c r="C1042" t="s">
        <v>1327</v>
      </c>
    </row>
    <row r="1043" spans="1:3" x14ac:dyDescent="0.35">
      <c r="A1043" t="s">
        <v>208</v>
      </c>
      <c r="B1043" t="s">
        <v>251</v>
      </c>
      <c r="C1043" t="s">
        <v>1328</v>
      </c>
    </row>
    <row r="1044" spans="1:3" x14ac:dyDescent="0.35">
      <c r="A1044" t="s">
        <v>208</v>
      </c>
      <c r="B1044" t="s">
        <v>251</v>
      </c>
      <c r="C1044" t="s">
        <v>1329</v>
      </c>
    </row>
    <row r="1045" spans="1:3" x14ac:dyDescent="0.35">
      <c r="A1045" t="s">
        <v>208</v>
      </c>
      <c r="B1045" t="s">
        <v>251</v>
      </c>
      <c r="C1045" t="s">
        <v>1330</v>
      </c>
    </row>
    <row r="1046" spans="1:3" x14ac:dyDescent="0.35">
      <c r="A1046" t="s">
        <v>208</v>
      </c>
      <c r="B1046" t="s">
        <v>251</v>
      </c>
      <c r="C1046" t="s">
        <v>1331</v>
      </c>
    </row>
    <row r="1047" spans="1:3" x14ac:dyDescent="0.35">
      <c r="A1047" t="s">
        <v>208</v>
      </c>
      <c r="B1047" t="s">
        <v>251</v>
      </c>
      <c r="C1047" t="s">
        <v>1332</v>
      </c>
    </row>
    <row r="1048" spans="1:3" x14ac:dyDescent="0.35">
      <c r="A1048" t="s">
        <v>208</v>
      </c>
      <c r="B1048" t="s">
        <v>251</v>
      </c>
      <c r="C1048" t="s">
        <v>1333</v>
      </c>
    </row>
    <row r="1049" spans="1:3" x14ac:dyDescent="0.35">
      <c r="A1049" t="s">
        <v>208</v>
      </c>
      <c r="B1049" t="s">
        <v>251</v>
      </c>
      <c r="C1049" t="s">
        <v>1334</v>
      </c>
    </row>
    <row r="1050" spans="1:3" x14ac:dyDescent="0.35">
      <c r="A1050" t="s">
        <v>208</v>
      </c>
      <c r="B1050" t="s">
        <v>251</v>
      </c>
      <c r="C1050" t="s">
        <v>1335</v>
      </c>
    </row>
    <row r="1051" spans="1:3" x14ac:dyDescent="0.35">
      <c r="A1051" t="s">
        <v>208</v>
      </c>
      <c r="B1051" t="s">
        <v>251</v>
      </c>
      <c r="C1051" t="s">
        <v>1336</v>
      </c>
    </row>
    <row r="1052" spans="1:3" x14ac:dyDescent="0.35">
      <c r="A1052" t="s">
        <v>208</v>
      </c>
      <c r="B1052" t="s">
        <v>251</v>
      </c>
      <c r="C1052" t="s">
        <v>1337</v>
      </c>
    </row>
    <row r="1053" spans="1:3" x14ac:dyDescent="0.35">
      <c r="A1053" t="s">
        <v>208</v>
      </c>
      <c r="B1053" t="s">
        <v>251</v>
      </c>
      <c r="C1053" t="s">
        <v>1338</v>
      </c>
    </row>
    <row r="1054" spans="1:3" x14ac:dyDescent="0.35">
      <c r="A1054" t="s">
        <v>208</v>
      </c>
      <c r="B1054" t="s">
        <v>251</v>
      </c>
      <c r="C1054" t="s">
        <v>1339</v>
      </c>
    </row>
    <row r="1055" spans="1:3" x14ac:dyDescent="0.35">
      <c r="A1055" t="s">
        <v>208</v>
      </c>
      <c r="B1055" t="s">
        <v>251</v>
      </c>
      <c r="C1055" t="s">
        <v>1340</v>
      </c>
    </row>
    <row r="1056" spans="1:3" x14ac:dyDescent="0.35">
      <c r="A1056" t="s">
        <v>208</v>
      </c>
      <c r="B1056" t="s">
        <v>251</v>
      </c>
      <c r="C1056" t="s">
        <v>1341</v>
      </c>
    </row>
    <row r="1057" spans="1:3" x14ac:dyDescent="0.35">
      <c r="A1057" t="s">
        <v>208</v>
      </c>
      <c r="B1057" t="s">
        <v>251</v>
      </c>
      <c r="C1057" t="s">
        <v>1342</v>
      </c>
    </row>
    <row r="1058" spans="1:3" x14ac:dyDescent="0.35">
      <c r="A1058" t="s">
        <v>208</v>
      </c>
      <c r="B1058" t="s">
        <v>251</v>
      </c>
      <c r="C1058" t="s">
        <v>1343</v>
      </c>
    </row>
    <row r="1059" spans="1:3" x14ac:dyDescent="0.35">
      <c r="A1059" t="s">
        <v>208</v>
      </c>
      <c r="B1059" t="s">
        <v>251</v>
      </c>
      <c r="C1059" t="s">
        <v>1344</v>
      </c>
    </row>
    <row r="1060" spans="1:3" x14ac:dyDescent="0.35">
      <c r="A1060" t="s">
        <v>208</v>
      </c>
      <c r="B1060" t="s">
        <v>251</v>
      </c>
      <c r="C1060" t="s">
        <v>251</v>
      </c>
    </row>
    <row r="1061" spans="1:3" x14ac:dyDescent="0.35">
      <c r="A1061" t="s">
        <v>208</v>
      </c>
      <c r="B1061" t="s">
        <v>251</v>
      </c>
      <c r="C1061" t="s">
        <v>1345</v>
      </c>
    </row>
    <row r="1062" spans="1:3" x14ac:dyDescent="0.35">
      <c r="A1062" t="s">
        <v>208</v>
      </c>
      <c r="B1062" t="s">
        <v>251</v>
      </c>
      <c r="C1062" t="s">
        <v>1346</v>
      </c>
    </row>
    <row r="1063" spans="1:3" x14ac:dyDescent="0.35">
      <c r="A1063" t="s">
        <v>208</v>
      </c>
      <c r="B1063" t="s">
        <v>251</v>
      </c>
      <c r="C1063" t="s">
        <v>1347</v>
      </c>
    </row>
    <row r="1064" spans="1:3" x14ac:dyDescent="0.35">
      <c r="A1064" t="s">
        <v>208</v>
      </c>
      <c r="B1064" t="s">
        <v>251</v>
      </c>
      <c r="C1064" t="s">
        <v>1348</v>
      </c>
    </row>
    <row r="1065" spans="1:3" x14ac:dyDescent="0.35">
      <c r="A1065" t="s">
        <v>208</v>
      </c>
      <c r="B1065" t="s">
        <v>251</v>
      </c>
      <c r="C1065" t="s">
        <v>1349</v>
      </c>
    </row>
    <row r="1066" spans="1:3" x14ac:dyDescent="0.35">
      <c r="A1066" t="s">
        <v>208</v>
      </c>
      <c r="B1066" t="s">
        <v>251</v>
      </c>
      <c r="C1066" t="s">
        <v>1350</v>
      </c>
    </row>
    <row r="1067" spans="1:3" x14ac:dyDescent="0.35">
      <c r="A1067" t="s">
        <v>208</v>
      </c>
      <c r="B1067" t="s">
        <v>251</v>
      </c>
      <c r="C1067" t="s">
        <v>1351</v>
      </c>
    </row>
    <row r="1068" spans="1:3" x14ac:dyDescent="0.35">
      <c r="A1068" t="s">
        <v>208</v>
      </c>
      <c r="B1068" t="s">
        <v>251</v>
      </c>
      <c r="C1068" t="s">
        <v>1352</v>
      </c>
    </row>
    <row r="1069" spans="1:3" x14ac:dyDescent="0.35">
      <c r="A1069" t="s">
        <v>208</v>
      </c>
      <c r="B1069" t="s">
        <v>251</v>
      </c>
      <c r="C1069" t="s">
        <v>1353</v>
      </c>
    </row>
    <row r="1070" spans="1:3" x14ac:dyDescent="0.35">
      <c r="A1070" t="s">
        <v>208</v>
      </c>
      <c r="B1070" t="s">
        <v>251</v>
      </c>
      <c r="C1070" t="s">
        <v>1354</v>
      </c>
    </row>
    <row r="1071" spans="1:3" x14ac:dyDescent="0.35">
      <c r="A1071" t="s">
        <v>208</v>
      </c>
      <c r="B1071" t="s">
        <v>251</v>
      </c>
      <c r="C1071" t="s">
        <v>1355</v>
      </c>
    </row>
    <row r="1072" spans="1:3" x14ac:dyDescent="0.35">
      <c r="A1072" t="s">
        <v>208</v>
      </c>
      <c r="B1072" t="s">
        <v>251</v>
      </c>
      <c r="C1072" t="s">
        <v>1356</v>
      </c>
    </row>
    <row r="1073" spans="1:3" x14ac:dyDescent="0.35">
      <c r="A1073" t="s">
        <v>208</v>
      </c>
      <c r="B1073" t="s">
        <v>251</v>
      </c>
      <c r="C1073" t="s">
        <v>1357</v>
      </c>
    </row>
    <row r="1074" spans="1:3" x14ac:dyDescent="0.35">
      <c r="A1074" t="s">
        <v>208</v>
      </c>
      <c r="B1074" t="s">
        <v>251</v>
      </c>
      <c r="C1074" t="s">
        <v>1358</v>
      </c>
    </row>
    <row r="1075" spans="1:3" x14ac:dyDescent="0.35">
      <c r="A1075" t="s">
        <v>208</v>
      </c>
      <c r="B1075" t="s">
        <v>251</v>
      </c>
      <c r="C1075" t="s">
        <v>1359</v>
      </c>
    </row>
    <row r="1076" spans="1:3" x14ac:dyDescent="0.35">
      <c r="A1076" t="s">
        <v>208</v>
      </c>
      <c r="B1076" t="s">
        <v>251</v>
      </c>
      <c r="C1076" t="s">
        <v>1360</v>
      </c>
    </row>
    <row r="1077" spans="1:3" x14ac:dyDescent="0.35">
      <c r="A1077" t="s">
        <v>208</v>
      </c>
      <c r="B1077" t="s">
        <v>251</v>
      </c>
      <c r="C1077" t="s">
        <v>1361</v>
      </c>
    </row>
    <row r="1078" spans="1:3" x14ac:dyDescent="0.35">
      <c r="A1078" t="s">
        <v>208</v>
      </c>
      <c r="B1078" t="s">
        <v>251</v>
      </c>
      <c r="C1078" t="s">
        <v>1362</v>
      </c>
    </row>
    <row r="1079" spans="1:3" x14ac:dyDescent="0.35">
      <c r="A1079" t="s">
        <v>208</v>
      </c>
      <c r="B1079" t="s">
        <v>251</v>
      </c>
      <c r="C1079" t="s">
        <v>1363</v>
      </c>
    </row>
    <row r="1080" spans="1:3" x14ac:dyDescent="0.35">
      <c r="A1080" t="s">
        <v>208</v>
      </c>
      <c r="B1080" t="s">
        <v>251</v>
      </c>
      <c r="C1080" t="s">
        <v>1364</v>
      </c>
    </row>
    <row r="1081" spans="1:3" x14ac:dyDescent="0.35">
      <c r="A1081" t="s">
        <v>208</v>
      </c>
      <c r="B1081" t="s">
        <v>251</v>
      </c>
      <c r="C1081" t="s">
        <v>1365</v>
      </c>
    </row>
    <row r="1082" spans="1:3" x14ac:dyDescent="0.35">
      <c r="A1082" t="s">
        <v>208</v>
      </c>
      <c r="B1082" t="s">
        <v>251</v>
      </c>
      <c r="C1082" t="s">
        <v>1366</v>
      </c>
    </row>
    <row r="1083" spans="1:3" x14ac:dyDescent="0.35">
      <c r="A1083" t="s">
        <v>208</v>
      </c>
      <c r="B1083" t="s">
        <v>251</v>
      </c>
      <c r="C1083" t="s">
        <v>1367</v>
      </c>
    </row>
    <row r="1084" spans="1:3" x14ac:dyDescent="0.35">
      <c r="A1084" t="s">
        <v>208</v>
      </c>
      <c r="B1084" t="s">
        <v>251</v>
      </c>
      <c r="C1084" t="s">
        <v>1368</v>
      </c>
    </row>
    <row r="1085" spans="1:3" x14ac:dyDescent="0.35">
      <c r="A1085" t="s">
        <v>208</v>
      </c>
      <c r="B1085" t="s">
        <v>251</v>
      </c>
      <c r="C1085" t="s">
        <v>1369</v>
      </c>
    </row>
    <row r="1086" spans="1:3" x14ac:dyDescent="0.35">
      <c r="A1086" t="s">
        <v>208</v>
      </c>
      <c r="B1086" t="s">
        <v>251</v>
      </c>
      <c r="C1086" t="s">
        <v>1370</v>
      </c>
    </row>
    <row r="1087" spans="1:3" x14ac:dyDescent="0.35">
      <c r="A1087" t="s">
        <v>208</v>
      </c>
      <c r="B1087" t="s">
        <v>251</v>
      </c>
      <c r="C1087" t="s">
        <v>1371</v>
      </c>
    </row>
    <row r="1088" spans="1:3" x14ac:dyDescent="0.35">
      <c r="A1088" t="s">
        <v>208</v>
      </c>
      <c r="B1088" t="s">
        <v>251</v>
      </c>
      <c r="C1088" t="s">
        <v>1372</v>
      </c>
    </row>
    <row r="1089" spans="1:3" x14ac:dyDescent="0.35">
      <c r="A1089" t="s">
        <v>208</v>
      </c>
      <c r="B1089" t="s">
        <v>251</v>
      </c>
      <c r="C1089" t="s">
        <v>1373</v>
      </c>
    </row>
    <row r="1090" spans="1:3" x14ac:dyDescent="0.35">
      <c r="A1090" t="s">
        <v>208</v>
      </c>
      <c r="B1090" t="s">
        <v>251</v>
      </c>
      <c r="C1090" t="s">
        <v>1374</v>
      </c>
    </row>
    <row r="1091" spans="1:3" x14ac:dyDescent="0.35">
      <c r="A1091" t="s">
        <v>208</v>
      </c>
      <c r="B1091" t="s">
        <v>251</v>
      </c>
      <c r="C1091" t="s">
        <v>1375</v>
      </c>
    </row>
    <row r="1092" spans="1:3" x14ac:dyDescent="0.35">
      <c r="A1092" t="s">
        <v>208</v>
      </c>
      <c r="B1092" t="s">
        <v>251</v>
      </c>
      <c r="C1092" t="s">
        <v>1376</v>
      </c>
    </row>
    <row r="1093" spans="1:3" x14ac:dyDescent="0.35">
      <c r="A1093" t="s">
        <v>208</v>
      </c>
      <c r="B1093" t="s">
        <v>251</v>
      </c>
      <c r="C1093" t="s">
        <v>1377</v>
      </c>
    </row>
    <row r="1094" spans="1:3" x14ac:dyDescent="0.35">
      <c r="A1094" t="s">
        <v>208</v>
      </c>
      <c r="B1094" t="s">
        <v>251</v>
      </c>
      <c r="C1094" t="s">
        <v>1378</v>
      </c>
    </row>
    <row r="1095" spans="1:3" x14ac:dyDescent="0.35">
      <c r="A1095" t="s">
        <v>208</v>
      </c>
      <c r="B1095" t="s">
        <v>251</v>
      </c>
      <c r="C1095" t="s">
        <v>1379</v>
      </c>
    </row>
    <row r="1096" spans="1:3" x14ac:dyDescent="0.35">
      <c r="A1096" t="s">
        <v>208</v>
      </c>
      <c r="B1096" t="s">
        <v>251</v>
      </c>
      <c r="C1096" t="s">
        <v>1380</v>
      </c>
    </row>
    <row r="1097" spans="1:3" x14ac:dyDescent="0.35">
      <c r="A1097" t="s">
        <v>208</v>
      </c>
      <c r="B1097" t="s">
        <v>251</v>
      </c>
      <c r="C1097" t="s">
        <v>1381</v>
      </c>
    </row>
    <row r="1098" spans="1:3" x14ac:dyDescent="0.35">
      <c r="A1098" t="s">
        <v>208</v>
      </c>
      <c r="B1098" t="s">
        <v>251</v>
      </c>
      <c r="C1098" t="s">
        <v>1382</v>
      </c>
    </row>
    <row r="1099" spans="1:3" x14ac:dyDescent="0.35">
      <c r="A1099" t="s">
        <v>208</v>
      </c>
      <c r="B1099" t="s">
        <v>251</v>
      </c>
      <c r="C1099" t="s">
        <v>1383</v>
      </c>
    </row>
    <row r="1100" spans="1:3" x14ac:dyDescent="0.35">
      <c r="A1100" t="s">
        <v>208</v>
      </c>
      <c r="B1100" t="s">
        <v>251</v>
      </c>
      <c r="C1100" t="s">
        <v>1384</v>
      </c>
    </row>
    <row r="1101" spans="1:3" x14ac:dyDescent="0.35">
      <c r="A1101" t="s">
        <v>208</v>
      </c>
      <c r="B1101" t="s">
        <v>251</v>
      </c>
      <c r="C1101" t="s">
        <v>1385</v>
      </c>
    </row>
    <row r="1102" spans="1:3" x14ac:dyDescent="0.35">
      <c r="A1102" t="s">
        <v>208</v>
      </c>
      <c r="B1102" t="s">
        <v>251</v>
      </c>
      <c r="C1102" t="s">
        <v>1386</v>
      </c>
    </row>
    <row r="1103" spans="1:3" x14ac:dyDescent="0.35">
      <c r="A1103" t="s">
        <v>208</v>
      </c>
      <c r="B1103" t="s">
        <v>251</v>
      </c>
      <c r="C1103" t="s">
        <v>1387</v>
      </c>
    </row>
    <row r="1104" spans="1:3" x14ac:dyDescent="0.35">
      <c r="A1104" t="s">
        <v>208</v>
      </c>
      <c r="B1104" t="s">
        <v>251</v>
      </c>
      <c r="C1104" t="s">
        <v>1388</v>
      </c>
    </row>
    <row r="1105" spans="1:3" x14ac:dyDescent="0.35">
      <c r="A1105" t="s">
        <v>208</v>
      </c>
      <c r="B1105" t="s">
        <v>251</v>
      </c>
      <c r="C1105" t="s">
        <v>1389</v>
      </c>
    </row>
    <row r="1106" spans="1:3" x14ac:dyDescent="0.35">
      <c r="A1106" t="s">
        <v>208</v>
      </c>
      <c r="B1106" t="s">
        <v>251</v>
      </c>
      <c r="C1106" t="s">
        <v>1390</v>
      </c>
    </row>
    <row r="1107" spans="1:3" x14ac:dyDescent="0.35">
      <c r="A1107" t="s">
        <v>208</v>
      </c>
      <c r="B1107" t="s">
        <v>251</v>
      </c>
      <c r="C1107" t="s">
        <v>1391</v>
      </c>
    </row>
    <row r="1108" spans="1:3" x14ac:dyDescent="0.35">
      <c r="A1108" t="s">
        <v>208</v>
      </c>
      <c r="B1108" t="s">
        <v>251</v>
      </c>
      <c r="C1108" t="s">
        <v>1392</v>
      </c>
    </row>
    <row r="1109" spans="1:3" x14ac:dyDescent="0.35">
      <c r="A1109" t="s">
        <v>208</v>
      </c>
      <c r="B1109" t="s">
        <v>251</v>
      </c>
      <c r="C1109" t="s">
        <v>1393</v>
      </c>
    </row>
    <row r="1110" spans="1:3" x14ac:dyDescent="0.35">
      <c r="A1110" t="s">
        <v>208</v>
      </c>
      <c r="B1110" t="s">
        <v>251</v>
      </c>
      <c r="C1110" t="s">
        <v>1394</v>
      </c>
    </row>
    <row r="1111" spans="1:3" x14ac:dyDescent="0.35">
      <c r="A1111" t="s">
        <v>208</v>
      </c>
      <c r="B1111" t="s">
        <v>251</v>
      </c>
      <c r="C1111" t="s">
        <v>1395</v>
      </c>
    </row>
    <row r="1112" spans="1:3" x14ac:dyDescent="0.35">
      <c r="A1112" t="s">
        <v>208</v>
      </c>
      <c r="B1112" t="s">
        <v>251</v>
      </c>
      <c r="C1112" t="s">
        <v>1396</v>
      </c>
    </row>
    <row r="1113" spans="1:3" x14ac:dyDescent="0.35">
      <c r="A1113" t="s">
        <v>208</v>
      </c>
      <c r="B1113" t="s">
        <v>251</v>
      </c>
      <c r="C1113" t="s">
        <v>1397</v>
      </c>
    </row>
    <row r="1114" spans="1:3" x14ac:dyDescent="0.35">
      <c r="A1114" t="s">
        <v>208</v>
      </c>
      <c r="B1114" t="s">
        <v>251</v>
      </c>
      <c r="C1114" t="s">
        <v>1398</v>
      </c>
    </row>
    <row r="1115" spans="1:3" x14ac:dyDescent="0.35">
      <c r="A1115" t="s">
        <v>208</v>
      </c>
      <c r="B1115" t="s">
        <v>251</v>
      </c>
      <c r="C1115" t="s">
        <v>1399</v>
      </c>
    </row>
    <row r="1116" spans="1:3" x14ac:dyDescent="0.35">
      <c r="A1116" t="s">
        <v>208</v>
      </c>
      <c r="B1116" t="s">
        <v>251</v>
      </c>
      <c r="C1116" t="s">
        <v>1400</v>
      </c>
    </row>
    <row r="1117" spans="1:3" x14ac:dyDescent="0.35">
      <c r="A1117" t="s">
        <v>208</v>
      </c>
      <c r="B1117" t="s">
        <v>251</v>
      </c>
      <c r="C1117" t="s">
        <v>1401</v>
      </c>
    </row>
    <row r="1118" spans="1:3" x14ac:dyDescent="0.35">
      <c r="A1118" t="s">
        <v>208</v>
      </c>
      <c r="B1118" t="s">
        <v>251</v>
      </c>
      <c r="C1118" t="s">
        <v>1402</v>
      </c>
    </row>
    <row r="1119" spans="1:3" x14ac:dyDescent="0.35">
      <c r="A1119" t="s">
        <v>208</v>
      </c>
      <c r="B1119" t="s">
        <v>251</v>
      </c>
      <c r="C1119" t="s">
        <v>1403</v>
      </c>
    </row>
    <row r="1120" spans="1:3" x14ac:dyDescent="0.35">
      <c r="A1120" t="s">
        <v>208</v>
      </c>
      <c r="B1120" t="s">
        <v>251</v>
      </c>
      <c r="C1120" t="s">
        <v>1404</v>
      </c>
    </row>
    <row r="1121" spans="1:3" x14ac:dyDescent="0.35">
      <c r="A1121" t="s">
        <v>208</v>
      </c>
      <c r="B1121" t="s">
        <v>251</v>
      </c>
      <c r="C1121" t="s">
        <v>1405</v>
      </c>
    </row>
    <row r="1122" spans="1:3" x14ac:dyDescent="0.35">
      <c r="A1122" t="s">
        <v>208</v>
      </c>
      <c r="B1122" t="s">
        <v>251</v>
      </c>
      <c r="C1122" t="s">
        <v>1406</v>
      </c>
    </row>
    <row r="1123" spans="1:3" x14ac:dyDescent="0.35">
      <c r="A1123" t="s">
        <v>208</v>
      </c>
      <c r="B1123" t="s">
        <v>251</v>
      </c>
      <c r="C1123" t="s">
        <v>1407</v>
      </c>
    </row>
    <row r="1124" spans="1:3" x14ac:dyDescent="0.35">
      <c r="A1124" t="s">
        <v>208</v>
      </c>
      <c r="B1124" t="s">
        <v>251</v>
      </c>
      <c r="C1124" t="s">
        <v>1408</v>
      </c>
    </row>
    <row r="1125" spans="1:3" x14ac:dyDescent="0.35">
      <c r="A1125" t="s">
        <v>208</v>
      </c>
      <c r="B1125" t="s">
        <v>251</v>
      </c>
      <c r="C1125" t="s">
        <v>1409</v>
      </c>
    </row>
    <row r="1126" spans="1:3" x14ac:dyDescent="0.35">
      <c r="A1126" t="s">
        <v>208</v>
      </c>
      <c r="B1126" t="s">
        <v>251</v>
      </c>
      <c r="C1126" t="s">
        <v>1410</v>
      </c>
    </row>
    <row r="1127" spans="1:3" x14ac:dyDescent="0.35">
      <c r="A1127" t="s">
        <v>208</v>
      </c>
      <c r="B1127" t="s">
        <v>251</v>
      </c>
      <c r="C1127" t="s">
        <v>1411</v>
      </c>
    </row>
    <row r="1128" spans="1:3" x14ac:dyDescent="0.35">
      <c r="A1128" t="s">
        <v>208</v>
      </c>
      <c r="B1128" t="s">
        <v>251</v>
      </c>
      <c r="C1128" t="s">
        <v>1412</v>
      </c>
    </row>
    <row r="1129" spans="1:3" x14ac:dyDescent="0.35">
      <c r="A1129" t="s">
        <v>208</v>
      </c>
      <c r="B1129" t="s">
        <v>251</v>
      </c>
      <c r="C1129" t="s">
        <v>1413</v>
      </c>
    </row>
    <row r="1130" spans="1:3" x14ac:dyDescent="0.35">
      <c r="A1130" t="s">
        <v>208</v>
      </c>
      <c r="B1130" t="s">
        <v>251</v>
      </c>
      <c r="C1130" t="s">
        <v>1414</v>
      </c>
    </row>
    <row r="1131" spans="1:3" x14ac:dyDescent="0.35">
      <c r="A1131" t="s">
        <v>208</v>
      </c>
      <c r="B1131" t="s">
        <v>251</v>
      </c>
      <c r="C1131" t="s">
        <v>1415</v>
      </c>
    </row>
    <row r="1132" spans="1:3" x14ac:dyDescent="0.35">
      <c r="A1132" t="s">
        <v>208</v>
      </c>
      <c r="B1132" t="s">
        <v>251</v>
      </c>
      <c r="C1132" t="s">
        <v>1416</v>
      </c>
    </row>
    <row r="1133" spans="1:3" x14ac:dyDescent="0.35">
      <c r="A1133" t="s">
        <v>208</v>
      </c>
      <c r="B1133" t="s">
        <v>251</v>
      </c>
      <c r="C1133" t="s">
        <v>1417</v>
      </c>
    </row>
    <row r="1134" spans="1:3" x14ac:dyDescent="0.35">
      <c r="A1134" t="s">
        <v>208</v>
      </c>
      <c r="B1134" t="s">
        <v>251</v>
      </c>
      <c r="C1134" t="s">
        <v>1418</v>
      </c>
    </row>
    <row r="1135" spans="1:3" x14ac:dyDescent="0.35">
      <c r="A1135" t="s">
        <v>208</v>
      </c>
      <c r="B1135" t="s">
        <v>251</v>
      </c>
      <c r="C1135" t="s">
        <v>1419</v>
      </c>
    </row>
    <row r="1136" spans="1:3" x14ac:dyDescent="0.35">
      <c r="A1136" t="s">
        <v>208</v>
      </c>
      <c r="B1136" t="s">
        <v>251</v>
      </c>
      <c r="C1136" t="s">
        <v>1420</v>
      </c>
    </row>
    <row r="1137" spans="1:3" x14ac:dyDescent="0.35">
      <c r="A1137" t="s">
        <v>208</v>
      </c>
      <c r="B1137" t="s">
        <v>251</v>
      </c>
      <c r="C1137" t="s">
        <v>1421</v>
      </c>
    </row>
    <row r="1138" spans="1:3" x14ac:dyDescent="0.35">
      <c r="A1138" t="s">
        <v>208</v>
      </c>
      <c r="B1138" t="s">
        <v>251</v>
      </c>
      <c r="C1138" t="s">
        <v>1422</v>
      </c>
    </row>
    <row r="1139" spans="1:3" x14ac:dyDescent="0.35">
      <c r="A1139" t="s">
        <v>208</v>
      </c>
      <c r="B1139" t="s">
        <v>251</v>
      </c>
      <c r="C1139" t="s">
        <v>1423</v>
      </c>
    </row>
    <row r="1140" spans="1:3" x14ac:dyDescent="0.35">
      <c r="A1140" t="s">
        <v>208</v>
      </c>
      <c r="B1140" t="s">
        <v>251</v>
      </c>
      <c r="C1140" t="s">
        <v>1424</v>
      </c>
    </row>
    <row r="1141" spans="1:3" x14ac:dyDescent="0.35">
      <c r="A1141" t="s">
        <v>208</v>
      </c>
      <c r="B1141" t="s">
        <v>251</v>
      </c>
      <c r="C1141" t="s">
        <v>1425</v>
      </c>
    </row>
    <row r="1142" spans="1:3" x14ac:dyDescent="0.35">
      <c r="A1142" t="s">
        <v>208</v>
      </c>
      <c r="B1142" t="s">
        <v>64</v>
      </c>
      <c r="C1142" t="s">
        <v>1426</v>
      </c>
    </row>
    <row r="1143" spans="1:3" x14ac:dyDescent="0.35">
      <c r="A1143" t="s">
        <v>208</v>
      </c>
      <c r="B1143" t="s">
        <v>64</v>
      </c>
      <c r="C1143" t="s">
        <v>1427</v>
      </c>
    </row>
    <row r="1144" spans="1:3" x14ac:dyDescent="0.35">
      <c r="A1144" t="s">
        <v>208</v>
      </c>
      <c r="B1144" t="s">
        <v>64</v>
      </c>
      <c r="C1144" t="s">
        <v>1428</v>
      </c>
    </row>
    <row r="1145" spans="1:3" x14ac:dyDescent="0.35">
      <c r="A1145" t="s">
        <v>208</v>
      </c>
      <c r="B1145" t="s">
        <v>64</v>
      </c>
      <c r="C1145" t="s">
        <v>1429</v>
      </c>
    </row>
    <row r="1146" spans="1:3" x14ac:dyDescent="0.35">
      <c r="A1146" t="s">
        <v>208</v>
      </c>
      <c r="B1146" t="s">
        <v>64</v>
      </c>
      <c r="C1146" t="s">
        <v>1430</v>
      </c>
    </row>
    <row r="1147" spans="1:3" x14ac:dyDescent="0.35">
      <c r="A1147" t="s">
        <v>208</v>
      </c>
      <c r="B1147" t="s">
        <v>64</v>
      </c>
      <c r="C1147" t="s">
        <v>1431</v>
      </c>
    </row>
    <row r="1148" spans="1:3" x14ac:dyDescent="0.35">
      <c r="A1148" t="s">
        <v>208</v>
      </c>
      <c r="B1148" t="s">
        <v>64</v>
      </c>
      <c r="C1148" t="s">
        <v>1432</v>
      </c>
    </row>
    <row r="1149" spans="1:3" x14ac:dyDescent="0.35">
      <c r="A1149" t="s">
        <v>208</v>
      </c>
      <c r="B1149" t="s">
        <v>64</v>
      </c>
      <c r="C1149" t="s">
        <v>1433</v>
      </c>
    </row>
    <row r="1150" spans="1:3" x14ac:dyDescent="0.35">
      <c r="A1150" t="s">
        <v>208</v>
      </c>
      <c r="B1150" t="s">
        <v>64</v>
      </c>
      <c r="C1150" t="s">
        <v>1434</v>
      </c>
    </row>
    <row r="1151" spans="1:3" x14ac:dyDescent="0.35">
      <c r="A1151" t="s">
        <v>208</v>
      </c>
      <c r="B1151" t="s">
        <v>64</v>
      </c>
      <c r="C1151" t="s">
        <v>1435</v>
      </c>
    </row>
    <row r="1152" spans="1:3" x14ac:dyDescent="0.35">
      <c r="A1152" t="s">
        <v>208</v>
      </c>
      <c r="B1152" t="s">
        <v>64</v>
      </c>
      <c r="C1152" t="s">
        <v>1436</v>
      </c>
    </row>
    <row r="1153" spans="1:3" x14ac:dyDescent="0.35">
      <c r="A1153" t="s">
        <v>208</v>
      </c>
      <c r="B1153" t="s">
        <v>64</v>
      </c>
      <c r="C1153" t="s">
        <v>1437</v>
      </c>
    </row>
    <row r="1154" spans="1:3" x14ac:dyDescent="0.35">
      <c r="A1154" t="s">
        <v>208</v>
      </c>
      <c r="B1154" t="s">
        <v>64</v>
      </c>
      <c r="C1154" t="s">
        <v>1438</v>
      </c>
    </row>
    <row r="1155" spans="1:3" x14ac:dyDescent="0.35">
      <c r="A1155" t="s">
        <v>208</v>
      </c>
      <c r="B1155" t="s">
        <v>64</v>
      </c>
      <c r="C1155" t="s">
        <v>1439</v>
      </c>
    </row>
    <row r="1156" spans="1:3" x14ac:dyDescent="0.35">
      <c r="A1156" t="s">
        <v>208</v>
      </c>
      <c r="B1156" t="s">
        <v>64</v>
      </c>
      <c r="C1156" t="s">
        <v>1440</v>
      </c>
    </row>
    <row r="1157" spans="1:3" x14ac:dyDescent="0.35">
      <c r="A1157" t="s">
        <v>208</v>
      </c>
      <c r="B1157" t="s">
        <v>64</v>
      </c>
      <c r="C1157" t="s">
        <v>1441</v>
      </c>
    </row>
    <row r="1158" spans="1:3" x14ac:dyDescent="0.35">
      <c r="A1158" t="s">
        <v>208</v>
      </c>
      <c r="B1158" t="s">
        <v>64</v>
      </c>
      <c r="C1158" t="s">
        <v>1442</v>
      </c>
    </row>
    <row r="1159" spans="1:3" x14ac:dyDescent="0.35">
      <c r="A1159" t="s">
        <v>208</v>
      </c>
      <c r="B1159" t="s">
        <v>64</v>
      </c>
      <c r="C1159" t="s">
        <v>1443</v>
      </c>
    </row>
    <row r="1160" spans="1:3" x14ac:dyDescent="0.35">
      <c r="A1160" t="s">
        <v>208</v>
      </c>
      <c r="B1160" t="s">
        <v>64</v>
      </c>
      <c r="C1160" t="s">
        <v>1444</v>
      </c>
    </row>
    <row r="1161" spans="1:3" x14ac:dyDescent="0.35">
      <c r="A1161" t="s">
        <v>208</v>
      </c>
      <c r="B1161" t="s">
        <v>64</v>
      </c>
      <c r="C1161" t="s">
        <v>1445</v>
      </c>
    </row>
    <row r="1162" spans="1:3" x14ac:dyDescent="0.35">
      <c r="A1162" t="s">
        <v>208</v>
      </c>
      <c r="B1162" t="s">
        <v>64</v>
      </c>
      <c r="C1162" t="s">
        <v>1446</v>
      </c>
    </row>
    <row r="1163" spans="1:3" x14ac:dyDescent="0.35">
      <c r="A1163" t="s">
        <v>208</v>
      </c>
      <c r="B1163" t="s">
        <v>64</v>
      </c>
      <c r="C1163" t="s">
        <v>1447</v>
      </c>
    </row>
    <row r="1164" spans="1:3" x14ac:dyDescent="0.35">
      <c r="A1164" t="s">
        <v>208</v>
      </c>
      <c r="B1164" t="s">
        <v>64</v>
      </c>
      <c r="C1164" t="s">
        <v>1448</v>
      </c>
    </row>
    <row r="1165" spans="1:3" x14ac:dyDescent="0.35">
      <c r="A1165" t="s">
        <v>208</v>
      </c>
      <c r="B1165" t="s">
        <v>64</v>
      </c>
      <c r="C1165" t="s">
        <v>1449</v>
      </c>
    </row>
    <row r="1166" spans="1:3" x14ac:dyDescent="0.35">
      <c r="A1166" t="s">
        <v>208</v>
      </c>
      <c r="B1166" t="s">
        <v>64</v>
      </c>
      <c r="C1166" t="s">
        <v>1450</v>
      </c>
    </row>
    <row r="1167" spans="1:3" x14ac:dyDescent="0.35">
      <c r="A1167" t="s">
        <v>208</v>
      </c>
      <c r="B1167" t="s">
        <v>64</v>
      </c>
      <c r="C1167" t="s">
        <v>1451</v>
      </c>
    </row>
    <row r="1168" spans="1:3" x14ac:dyDescent="0.35">
      <c r="A1168" t="s">
        <v>208</v>
      </c>
      <c r="B1168" t="s">
        <v>64</v>
      </c>
      <c r="C1168" t="s">
        <v>1452</v>
      </c>
    </row>
    <row r="1169" spans="1:3" x14ac:dyDescent="0.35">
      <c r="A1169" t="s">
        <v>208</v>
      </c>
      <c r="B1169" t="s">
        <v>64</v>
      </c>
      <c r="C1169" t="s">
        <v>1453</v>
      </c>
    </row>
    <row r="1170" spans="1:3" x14ac:dyDescent="0.35">
      <c r="A1170" t="s">
        <v>208</v>
      </c>
      <c r="B1170" t="s">
        <v>64</v>
      </c>
      <c r="C1170" t="s">
        <v>1454</v>
      </c>
    </row>
    <row r="1171" spans="1:3" x14ac:dyDescent="0.35">
      <c r="A1171" t="s">
        <v>208</v>
      </c>
      <c r="B1171" t="s">
        <v>64</v>
      </c>
      <c r="C1171" t="s">
        <v>1455</v>
      </c>
    </row>
    <row r="1172" spans="1:3" x14ac:dyDescent="0.35">
      <c r="A1172" t="s">
        <v>208</v>
      </c>
      <c r="B1172" t="s">
        <v>64</v>
      </c>
      <c r="C1172" t="s">
        <v>1456</v>
      </c>
    </row>
    <row r="1173" spans="1:3" x14ac:dyDescent="0.35">
      <c r="A1173" t="s">
        <v>208</v>
      </c>
      <c r="B1173" t="s">
        <v>64</v>
      </c>
      <c r="C1173" t="s">
        <v>1457</v>
      </c>
    </row>
    <row r="1174" spans="1:3" x14ac:dyDescent="0.35">
      <c r="A1174" t="s">
        <v>208</v>
      </c>
      <c r="B1174" t="s">
        <v>64</v>
      </c>
      <c r="C1174" t="s">
        <v>1458</v>
      </c>
    </row>
    <row r="1175" spans="1:3" x14ac:dyDescent="0.35">
      <c r="A1175" t="s">
        <v>208</v>
      </c>
      <c r="B1175" t="s">
        <v>64</v>
      </c>
      <c r="C1175" t="s">
        <v>1459</v>
      </c>
    </row>
    <row r="1176" spans="1:3" x14ac:dyDescent="0.35">
      <c r="A1176" t="s">
        <v>208</v>
      </c>
      <c r="B1176" t="s">
        <v>64</v>
      </c>
      <c r="C1176" t="s">
        <v>1460</v>
      </c>
    </row>
    <row r="1177" spans="1:3" x14ac:dyDescent="0.35">
      <c r="A1177" t="s">
        <v>208</v>
      </c>
      <c r="B1177" t="s">
        <v>64</v>
      </c>
      <c r="C1177" t="s">
        <v>1461</v>
      </c>
    </row>
    <row r="1178" spans="1:3" x14ac:dyDescent="0.35">
      <c r="A1178" t="s">
        <v>208</v>
      </c>
      <c r="B1178" t="s">
        <v>64</v>
      </c>
      <c r="C1178" t="s">
        <v>1462</v>
      </c>
    </row>
    <row r="1179" spans="1:3" x14ac:dyDescent="0.35">
      <c r="A1179" t="s">
        <v>208</v>
      </c>
      <c r="B1179" t="s">
        <v>64</v>
      </c>
      <c r="C1179" t="s">
        <v>1463</v>
      </c>
    </row>
    <row r="1180" spans="1:3" x14ac:dyDescent="0.35">
      <c r="A1180" t="s">
        <v>208</v>
      </c>
      <c r="B1180" t="s">
        <v>64</v>
      </c>
      <c r="C1180" t="s">
        <v>1464</v>
      </c>
    </row>
    <row r="1181" spans="1:3" x14ac:dyDescent="0.35">
      <c r="A1181" t="s">
        <v>208</v>
      </c>
      <c r="B1181" t="s">
        <v>64</v>
      </c>
      <c r="C1181" t="s">
        <v>1465</v>
      </c>
    </row>
    <row r="1182" spans="1:3" x14ac:dyDescent="0.35">
      <c r="A1182" t="s">
        <v>208</v>
      </c>
      <c r="B1182" t="s">
        <v>64</v>
      </c>
      <c r="C1182" t="s">
        <v>1466</v>
      </c>
    </row>
    <row r="1183" spans="1:3" x14ac:dyDescent="0.35">
      <c r="A1183" t="s">
        <v>208</v>
      </c>
      <c r="B1183" t="s">
        <v>64</v>
      </c>
      <c r="C1183" t="s">
        <v>1467</v>
      </c>
    </row>
    <row r="1184" spans="1:3" x14ac:dyDescent="0.35">
      <c r="A1184" t="s">
        <v>208</v>
      </c>
      <c r="B1184" t="s">
        <v>64</v>
      </c>
      <c r="C1184" t="s">
        <v>1468</v>
      </c>
    </row>
    <row r="1185" spans="1:3" x14ac:dyDescent="0.35">
      <c r="A1185" t="s">
        <v>208</v>
      </c>
      <c r="B1185" t="s">
        <v>64</v>
      </c>
      <c r="C1185" t="s">
        <v>1469</v>
      </c>
    </row>
    <row r="1186" spans="1:3" x14ac:dyDescent="0.35">
      <c r="A1186" t="s">
        <v>208</v>
      </c>
      <c r="B1186" t="s">
        <v>64</v>
      </c>
      <c r="C1186" t="s">
        <v>1470</v>
      </c>
    </row>
    <row r="1187" spans="1:3" x14ac:dyDescent="0.35">
      <c r="A1187" t="s">
        <v>208</v>
      </c>
      <c r="B1187" t="s">
        <v>64</v>
      </c>
      <c r="C1187" t="s">
        <v>1471</v>
      </c>
    </row>
    <row r="1188" spans="1:3" x14ac:dyDescent="0.35">
      <c r="A1188" t="s">
        <v>208</v>
      </c>
      <c r="B1188" t="s">
        <v>64</v>
      </c>
      <c r="C1188" t="s">
        <v>1472</v>
      </c>
    </row>
    <row r="1189" spans="1:3" x14ac:dyDescent="0.35">
      <c r="A1189" t="s">
        <v>208</v>
      </c>
      <c r="B1189" t="s">
        <v>64</v>
      </c>
      <c r="C1189" t="s">
        <v>1473</v>
      </c>
    </row>
    <row r="1190" spans="1:3" x14ac:dyDescent="0.35">
      <c r="A1190" t="s">
        <v>208</v>
      </c>
      <c r="B1190" t="s">
        <v>64</v>
      </c>
      <c r="C1190" t="s">
        <v>1474</v>
      </c>
    </row>
    <row r="1191" spans="1:3" x14ac:dyDescent="0.35">
      <c r="A1191" t="s">
        <v>208</v>
      </c>
      <c r="B1191" t="s">
        <v>64</v>
      </c>
      <c r="C1191" t="s">
        <v>1475</v>
      </c>
    </row>
    <row r="1192" spans="1:3" x14ac:dyDescent="0.35">
      <c r="A1192" t="s">
        <v>208</v>
      </c>
      <c r="B1192" t="s">
        <v>64</v>
      </c>
      <c r="C1192" t="s">
        <v>64</v>
      </c>
    </row>
    <row r="1193" spans="1:3" x14ac:dyDescent="0.35">
      <c r="A1193" t="s">
        <v>208</v>
      </c>
      <c r="B1193" t="s">
        <v>64</v>
      </c>
      <c r="C1193" t="s">
        <v>1476</v>
      </c>
    </row>
    <row r="1194" spans="1:3" x14ac:dyDescent="0.35">
      <c r="A1194" t="s">
        <v>208</v>
      </c>
      <c r="B1194" t="s">
        <v>64</v>
      </c>
      <c r="C1194" t="s">
        <v>1477</v>
      </c>
    </row>
    <row r="1195" spans="1:3" x14ac:dyDescent="0.35">
      <c r="A1195" t="s">
        <v>208</v>
      </c>
      <c r="B1195" t="s">
        <v>64</v>
      </c>
      <c r="C1195" t="s">
        <v>1478</v>
      </c>
    </row>
    <row r="1196" spans="1:3" x14ac:dyDescent="0.35">
      <c r="A1196" t="s">
        <v>208</v>
      </c>
      <c r="B1196" t="s">
        <v>64</v>
      </c>
      <c r="C1196" t="s">
        <v>1479</v>
      </c>
    </row>
    <row r="1197" spans="1:3" x14ac:dyDescent="0.35">
      <c r="A1197" t="s">
        <v>208</v>
      </c>
      <c r="B1197" t="s">
        <v>64</v>
      </c>
      <c r="C1197" t="s">
        <v>1480</v>
      </c>
    </row>
    <row r="1198" spans="1:3" x14ac:dyDescent="0.35">
      <c r="A1198" t="s">
        <v>208</v>
      </c>
      <c r="B1198" t="s">
        <v>64</v>
      </c>
      <c r="C1198" t="s">
        <v>1481</v>
      </c>
    </row>
    <row r="1199" spans="1:3" x14ac:dyDescent="0.35">
      <c r="A1199" t="s">
        <v>208</v>
      </c>
      <c r="B1199" t="s">
        <v>64</v>
      </c>
      <c r="C1199" t="s">
        <v>1482</v>
      </c>
    </row>
    <row r="1200" spans="1:3" x14ac:dyDescent="0.35">
      <c r="A1200" t="s">
        <v>208</v>
      </c>
      <c r="B1200" t="s">
        <v>64</v>
      </c>
      <c r="C1200" t="s">
        <v>1483</v>
      </c>
    </row>
    <row r="1201" spans="1:3" x14ac:dyDescent="0.35">
      <c r="A1201" t="s">
        <v>208</v>
      </c>
      <c r="B1201" t="s">
        <v>64</v>
      </c>
      <c r="C1201" t="s">
        <v>1484</v>
      </c>
    </row>
    <row r="1202" spans="1:3" x14ac:dyDescent="0.35">
      <c r="A1202" t="s">
        <v>208</v>
      </c>
      <c r="B1202" t="s">
        <v>64</v>
      </c>
      <c r="C1202" t="s">
        <v>1485</v>
      </c>
    </row>
    <row r="1203" spans="1:3" x14ac:dyDescent="0.35">
      <c r="A1203" t="s">
        <v>208</v>
      </c>
      <c r="B1203" t="s">
        <v>64</v>
      </c>
      <c r="C1203" t="s">
        <v>1486</v>
      </c>
    </row>
    <row r="1204" spans="1:3" x14ac:dyDescent="0.35">
      <c r="A1204" t="s">
        <v>208</v>
      </c>
      <c r="B1204" t="s">
        <v>64</v>
      </c>
      <c r="C1204" t="s">
        <v>1487</v>
      </c>
    </row>
    <row r="1205" spans="1:3" x14ac:dyDescent="0.35">
      <c r="A1205" t="s">
        <v>208</v>
      </c>
      <c r="B1205" t="s">
        <v>64</v>
      </c>
      <c r="C1205" t="s">
        <v>1488</v>
      </c>
    </row>
    <row r="1206" spans="1:3" x14ac:dyDescent="0.35">
      <c r="A1206" t="s">
        <v>208</v>
      </c>
      <c r="B1206" t="s">
        <v>64</v>
      </c>
      <c r="C1206" t="s">
        <v>1489</v>
      </c>
    </row>
    <row r="1207" spans="1:3" x14ac:dyDescent="0.35">
      <c r="A1207" t="s">
        <v>208</v>
      </c>
      <c r="B1207" t="s">
        <v>64</v>
      </c>
      <c r="C1207" t="s">
        <v>1490</v>
      </c>
    </row>
    <row r="1208" spans="1:3" x14ac:dyDescent="0.35">
      <c r="A1208" t="s">
        <v>208</v>
      </c>
      <c r="B1208" t="s">
        <v>64</v>
      </c>
      <c r="C1208" t="s">
        <v>1491</v>
      </c>
    </row>
    <row r="1209" spans="1:3" x14ac:dyDescent="0.35">
      <c r="A1209" t="s">
        <v>208</v>
      </c>
      <c r="B1209" t="s">
        <v>64</v>
      </c>
      <c r="C1209" t="s">
        <v>1492</v>
      </c>
    </row>
    <row r="1210" spans="1:3" x14ac:dyDescent="0.35">
      <c r="A1210" t="s">
        <v>208</v>
      </c>
      <c r="B1210" t="s">
        <v>64</v>
      </c>
      <c r="C1210" t="s">
        <v>1493</v>
      </c>
    </row>
    <row r="1211" spans="1:3" x14ac:dyDescent="0.35">
      <c r="A1211" t="s">
        <v>208</v>
      </c>
      <c r="B1211" t="s">
        <v>64</v>
      </c>
      <c r="C1211" t="s">
        <v>1494</v>
      </c>
    </row>
    <row r="1212" spans="1:3" x14ac:dyDescent="0.35">
      <c r="A1212" t="s">
        <v>208</v>
      </c>
      <c r="B1212" t="s">
        <v>64</v>
      </c>
      <c r="C1212" t="s">
        <v>1495</v>
      </c>
    </row>
    <row r="1213" spans="1:3" x14ac:dyDescent="0.35">
      <c r="A1213" t="s">
        <v>208</v>
      </c>
      <c r="B1213" t="s">
        <v>64</v>
      </c>
      <c r="C1213" t="s">
        <v>1496</v>
      </c>
    </row>
    <row r="1214" spans="1:3" x14ac:dyDescent="0.35">
      <c r="A1214" t="s">
        <v>208</v>
      </c>
      <c r="B1214" t="s">
        <v>64</v>
      </c>
      <c r="C1214" t="s">
        <v>1497</v>
      </c>
    </row>
    <row r="1215" spans="1:3" x14ac:dyDescent="0.35">
      <c r="A1215" t="s">
        <v>208</v>
      </c>
      <c r="B1215" t="s">
        <v>64</v>
      </c>
      <c r="C1215" t="s">
        <v>1498</v>
      </c>
    </row>
    <row r="1216" spans="1:3" x14ac:dyDescent="0.35">
      <c r="A1216" t="s">
        <v>208</v>
      </c>
      <c r="B1216" t="s">
        <v>64</v>
      </c>
      <c r="C1216" t="s">
        <v>1499</v>
      </c>
    </row>
    <row r="1217" spans="1:3" x14ac:dyDescent="0.35">
      <c r="A1217" t="s">
        <v>208</v>
      </c>
      <c r="B1217" t="s">
        <v>64</v>
      </c>
      <c r="C1217" t="s">
        <v>1500</v>
      </c>
    </row>
    <row r="1218" spans="1:3" x14ac:dyDescent="0.35">
      <c r="A1218" t="s">
        <v>208</v>
      </c>
      <c r="B1218" t="s">
        <v>64</v>
      </c>
      <c r="C1218" t="s">
        <v>1501</v>
      </c>
    </row>
    <row r="1219" spans="1:3" x14ac:dyDescent="0.35">
      <c r="A1219" t="s">
        <v>208</v>
      </c>
      <c r="B1219" t="s">
        <v>64</v>
      </c>
      <c r="C1219" t="s">
        <v>1502</v>
      </c>
    </row>
    <row r="1220" spans="1:3" x14ac:dyDescent="0.35">
      <c r="A1220" t="s">
        <v>208</v>
      </c>
      <c r="B1220" t="s">
        <v>64</v>
      </c>
      <c r="C1220" t="s">
        <v>1503</v>
      </c>
    </row>
    <row r="1221" spans="1:3" x14ac:dyDescent="0.35">
      <c r="A1221" t="s">
        <v>208</v>
      </c>
      <c r="B1221" t="s">
        <v>64</v>
      </c>
      <c r="C1221" t="s">
        <v>1504</v>
      </c>
    </row>
    <row r="1222" spans="1:3" x14ac:dyDescent="0.35">
      <c r="A1222" t="s">
        <v>208</v>
      </c>
      <c r="B1222" t="s">
        <v>64</v>
      </c>
      <c r="C1222" t="s">
        <v>1505</v>
      </c>
    </row>
    <row r="1223" spans="1:3" x14ac:dyDescent="0.35">
      <c r="A1223" t="s">
        <v>208</v>
      </c>
      <c r="B1223" t="s">
        <v>64</v>
      </c>
      <c r="C1223" t="s">
        <v>1506</v>
      </c>
    </row>
    <row r="1224" spans="1:3" x14ac:dyDescent="0.35">
      <c r="A1224" t="s">
        <v>208</v>
      </c>
      <c r="B1224" t="s">
        <v>64</v>
      </c>
      <c r="C1224" t="s">
        <v>1507</v>
      </c>
    </row>
    <row r="1225" spans="1:3" x14ac:dyDescent="0.35">
      <c r="A1225" t="s">
        <v>208</v>
      </c>
      <c r="B1225" t="s">
        <v>64</v>
      </c>
      <c r="C1225" t="s">
        <v>1508</v>
      </c>
    </row>
    <row r="1226" spans="1:3" x14ac:dyDescent="0.35">
      <c r="A1226" t="s">
        <v>208</v>
      </c>
      <c r="B1226" t="s">
        <v>64</v>
      </c>
      <c r="C1226" t="s">
        <v>1509</v>
      </c>
    </row>
    <row r="1227" spans="1:3" x14ac:dyDescent="0.35">
      <c r="A1227" t="s">
        <v>208</v>
      </c>
      <c r="B1227" t="s">
        <v>64</v>
      </c>
      <c r="C1227" t="s">
        <v>1510</v>
      </c>
    </row>
    <row r="1228" spans="1:3" x14ac:dyDescent="0.35">
      <c r="A1228" t="s">
        <v>208</v>
      </c>
      <c r="B1228" t="s">
        <v>64</v>
      </c>
      <c r="C1228" t="s">
        <v>1511</v>
      </c>
    </row>
    <row r="1229" spans="1:3" x14ac:dyDescent="0.35">
      <c r="A1229" t="s">
        <v>208</v>
      </c>
      <c r="B1229" t="s">
        <v>64</v>
      </c>
      <c r="C1229" t="s">
        <v>1512</v>
      </c>
    </row>
    <row r="1230" spans="1:3" x14ac:dyDescent="0.35">
      <c r="A1230" t="s">
        <v>208</v>
      </c>
      <c r="B1230" t="s">
        <v>64</v>
      </c>
      <c r="C1230" t="s">
        <v>1513</v>
      </c>
    </row>
    <row r="1231" spans="1:3" x14ac:dyDescent="0.35">
      <c r="A1231" t="s">
        <v>208</v>
      </c>
      <c r="B1231" t="s">
        <v>64</v>
      </c>
      <c r="C1231" t="s">
        <v>1514</v>
      </c>
    </row>
    <row r="1232" spans="1:3" x14ac:dyDescent="0.35">
      <c r="A1232" t="s">
        <v>208</v>
      </c>
      <c r="B1232" t="s">
        <v>64</v>
      </c>
      <c r="C1232" t="s">
        <v>1515</v>
      </c>
    </row>
    <row r="1233" spans="1:3" x14ac:dyDescent="0.35">
      <c r="A1233" t="s">
        <v>208</v>
      </c>
      <c r="B1233" t="s">
        <v>64</v>
      </c>
      <c r="C1233" t="s">
        <v>1516</v>
      </c>
    </row>
    <row r="1234" spans="1:3" x14ac:dyDescent="0.35">
      <c r="A1234" t="s">
        <v>208</v>
      </c>
      <c r="B1234" t="s">
        <v>71</v>
      </c>
      <c r="C1234" t="s">
        <v>1517</v>
      </c>
    </row>
    <row r="1235" spans="1:3" x14ac:dyDescent="0.35">
      <c r="A1235" t="s">
        <v>208</v>
      </c>
      <c r="B1235" t="s">
        <v>71</v>
      </c>
      <c r="C1235" t="s">
        <v>1518</v>
      </c>
    </row>
    <row r="1236" spans="1:3" x14ac:dyDescent="0.35">
      <c r="A1236" t="s">
        <v>208</v>
      </c>
      <c r="B1236" t="s">
        <v>71</v>
      </c>
      <c r="C1236" t="s">
        <v>1519</v>
      </c>
    </row>
    <row r="1237" spans="1:3" x14ac:dyDescent="0.35">
      <c r="A1237" t="s">
        <v>208</v>
      </c>
      <c r="B1237" t="s">
        <v>71</v>
      </c>
      <c r="C1237" t="s">
        <v>1520</v>
      </c>
    </row>
    <row r="1238" spans="1:3" x14ac:dyDescent="0.35">
      <c r="A1238" t="s">
        <v>208</v>
      </c>
      <c r="B1238" t="s">
        <v>71</v>
      </c>
      <c r="C1238" t="s">
        <v>1521</v>
      </c>
    </row>
    <row r="1239" spans="1:3" x14ac:dyDescent="0.35">
      <c r="A1239" t="s">
        <v>208</v>
      </c>
      <c r="B1239" t="s">
        <v>71</v>
      </c>
      <c r="C1239" t="s">
        <v>1522</v>
      </c>
    </row>
    <row r="1240" spans="1:3" x14ac:dyDescent="0.35">
      <c r="A1240" t="s">
        <v>208</v>
      </c>
      <c r="B1240" t="s">
        <v>71</v>
      </c>
      <c r="C1240" t="s">
        <v>1523</v>
      </c>
    </row>
    <row r="1241" spans="1:3" x14ac:dyDescent="0.35">
      <c r="A1241" t="s">
        <v>208</v>
      </c>
      <c r="B1241" t="s">
        <v>71</v>
      </c>
      <c r="C1241" t="s">
        <v>1524</v>
      </c>
    </row>
    <row r="1242" spans="1:3" x14ac:dyDescent="0.35">
      <c r="A1242" t="s">
        <v>208</v>
      </c>
      <c r="B1242" t="s">
        <v>71</v>
      </c>
      <c r="C1242" t="s">
        <v>1525</v>
      </c>
    </row>
    <row r="1243" spans="1:3" x14ac:dyDescent="0.35">
      <c r="A1243" t="s">
        <v>208</v>
      </c>
      <c r="B1243" t="s">
        <v>71</v>
      </c>
      <c r="C1243" t="s">
        <v>1526</v>
      </c>
    </row>
    <row r="1244" spans="1:3" x14ac:dyDescent="0.35">
      <c r="A1244" t="s">
        <v>208</v>
      </c>
      <c r="B1244" t="s">
        <v>71</v>
      </c>
      <c r="C1244" t="s">
        <v>1527</v>
      </c>
    </row>
    <row r="1245" spans="1:3" x14ac:dyDescent="0.35">
      <c r="A1245" t="s">
        <v>208</v>
      </c>
      <c r="B1245" t="s">
        <v>71</v>
      </c>
      <c r="C1245" t="s">
        <v>1528</v>
      </c>
    </row>
    <row r="1246" spans="1:3" x14ac:dyDescent="0.35">
      <c r="A1246" t="s">
        <v>208</v>
      </c>
      <c r="B1246" t="s">
        <v>71</v>
      </c>
      <c r="C1246" t="s">
        <v>1529</v>
      </c>
    </row>
    <row r="1247" spans="1:3" x14ac:dyDescent="0.35">
      <c r="A1247" t="s">
        <v>208</v>
      </c>
      <c r="B1247" t="s">
        <v>71</v>
      </c>
      <c r="C1247" t="s">
        <v>1530</v>
      </c>
    </row>
    <row r="1248" spans="1:3" x14ac:dyDescent="0.35">
      <c r="A1248" t="s">
        <v>208</v>
      </c>
      <c r="B1248" t="s">
        <v>71</v>
      </c>
      <c r="C1248" t="s">
        <v>1531</v>
      </c>
    </row>
    <row r="1249" spans="1:3" x14ac:dyDescent="0.35">
      <c r="A1249" t="s">
        <v>208</v>
      </c>
      <c r="B1249" t="s">
        <v>71</v>
      </c>
      <c r="C1249" t="s">
        <v>1532</v>
      </c>
    </row>
    <row r="1250" spans="1:3" x14ac:dyDescent="0.35">
      <c r="A1250" t="s">
        <v>208</v>
      </c>
      <c r="B1250" t="s">
        <v>71</v>
      </c>
      <c r="C1250" t="s">
        <v>1533</v>
      </c>
    </row>
    <row r="1251" spans="1:3" x14ac:dyDescent="0.35">
      <c r="A1251" t="s">
        <v>208</v>
      </c>
      <c r="B1251" t="s">
        <v>71</v>
      </c>
      <c r="C1251" t="s">
        <v>1534</v>
      </c>
    </row>
    <row r="1252" spans="1:3" x14ac:dyDescent="0.35">
      <c r="A1252" t="s">
        <v>208</v>
      </c>
      <c r="B1252" t="s">
        <v>71</v>
      </c>
      <c r="C1252" t="s">
        <v>1535</v>
      </c>
    </row>
    <row r="1253" spans="1:3" x14ac:dyDescent="0.35">
      <c r="A1253" t="s">
        <v>208</v>
      </c>
      <c r="B1253" t="s">
        <v>71</v>
      </c>
      <c r="C1253" t="s">
        <v>1536</v>
      </c>
    </row>
    <row r="1254" spans="1:3" x14ac:dyDescent="0.35">
      <c r="A1254" t="s">
        <v>208</v>
      </c>
      <c r="B1254" t="s">
        <v>71</v>
      </c>
      <c r="C1254" t="s">
        <v>1537</v>
      </c>
    </row>
    <row r="1255" spans="1:3" x14ac:dyDescent="0.35">
      <c r="A1255" t="s">
        <v>208</v>
      </c>
      <c r="B1255" t="s">
        <v>71</v>
      </c>
      <c r="C1255" t="s">
        <v>1538</v>
      </c>
    </row>
    <row r="1256" spans="1:3" x14ac:dyDescent="0.35">
      <c r="A1256" t="s">
        <v>208</v>
      </c>
      <c r="B1256" t="s">
        <v>71</v>
      </c>
      <c r="C1256" t="s">
        <v>1539</v>
      </c>
    </row>
    <row r="1257" spans="1:3" x14ac:dyDescent="0.35">
      <c r="A1257" t="s">
        <v>208</v>
      </c>
      <c r="B1257" t="s">
        <v>71</v>
      </c>
      <c r="C1257" t="s">
        <v>1540</v>
      </c>
    </row>
    <row r="1258" spans="1:3" x14ac:dyDescent="0.35">
      <c r="A1258" t="s">
        <v>208</v>
      </c>
      <c r="B1258" t="s">
        <v>71</v>
      </c>
      <c r="C1258" t="s">
        <v>1541</v>
      </c>
    </row>
    <row r="1259" spans="1:3" x14ac:dyDescent="0.35">
      <c r="A1259" t="s">
        <v>208</v>
      </c>
      <c r="B1259" t="s">
        <v>71</v>
      </c>
      <c r="C1259" t="s">
        <v>1542</v>
      </c>
    </row>
    <row r="1260" spans="1:3" x14ac:dyDescent="0.35">
      <c r="A1260" t="s">
        <v>208</v>
      </c>
      <c r="B1260" t="s">
        <v>71</v>
      </c>
      <c r="C1260" t="s">
        <v>1543</v>
      </c>
    </row>
    <row r="1261" spans="1:3" x14ac:dyDescent="0.35">
      <c r="A1261" t="s">
        <v>208</v>
      </c>
      <c r="B1261" t="s">
        <v>71</v>
      </c>
      <c r="C1261" t="s">
        <v>1544</v>
      </c>
    </row>
    <row r="1262" spans="1:3" x14ac:dyDescent="0.35">
      <c r="A1262" t="s">
        <v>208</v>
      </c>
      <c r="B1262" t="s">
        <v>71</v>
      </c>
      <c r="C1262" t="s">
        <v>1545</v>
      </c>
    </row>
    <row r="1263" spans="1:3" x14ac:dyDescent="0.35">
      <c r="A1263" t="s">
        <v>208</v>
      </c>
      <c r="B1263" t="s">
        <v>71</v>
      </c>
      <c r="C1263" t="s">
        <v>1546</v>
      </c>
    </row>
    <row r="1264" spans="1:3" x14ac:dyDescent="0.35">
      <c r="A1264" t="s">
        <v>208</v>
      </c>
      <c r="B1264" t="s">
        <v>71</v>
      </c>
      <c r="C1264" t="s">
        <v>1547</v>
      </c>
    </row>
    <row r="1265" spans="1:3" x14ac:dyDescent="0.35">
      <c r="A1265" t="s">
        <v>208</v>
      </c>
      <c r="B1265" t="s">
        <v>71</v>
      </c>
      <c r="C1265" t="s">
        <v>1548</v>
      </c>
    </row>
    <row r="1266" spans="1:3" x14ac:dyDescent="0.35">
      <c r="A1266" t="s">
        <v>208</v>
      </c>
      <c r="B1266" t="s">
        <v>71</v>
      </c>
      <c r="C1266" t="s">
        <v>1549</v>
      </c>
    </row>
    <row r="1267" spans="1:3" x14ac:dyDescent="0.35">
      <c r="A1267" t="s">
        <v>208</v>
      </c>
      <c r="B1267" t="s">
        <v>71</v>
      </c>
      <c r="C1267" t="s">
        <v>1550</v>
      </c>
    </row>
    <row r="1268" spans="1:3" x14ac:dyDescent="0.35">
      <c r="A1268" t="s">
        <v>208</v>
      </c>
      <c r="B1268" t="s">
        <v>71</v>
      </c>
      <c r="C1268" t="s">
        <v>1551</v>
      </c>
    </row>
    <row r="1269" spans="1:3" x14ac:dyDescent="0.35">
      <c r="A1269" t="s">
        <v>208</v>
      </c>
      <c r="B1269" t="s">
        <v>71</v>
      </c>
      <c r="C1269" t="s">
        <v>1552</v>
      </c>
    </row>
    <row r="1270" spans="1:3" x14ac:dyDescent="0.35">
      <c r="A1270" t="s">
        <v>208</v>
      </c>
      <c r="B1270" t="s">
        <v>71</v>
      </c>
      <c r="C1270" t="s">
        <v>1553</v>
      </c>
    </row>
    <row r="1271" spans="1:3" x14ac:dyDescent="0.35">
      <c r="A1271" t="s">
        <v>208</v>
      </c>
      <c r="B1271" t="s">
        <v>71</v>
      </c>
      <c r="C1271" t="s">
        <v>1554</v>
      </c>
    </row>
    <row r="1272" spans="1:3" x14ac:dyDescent="0.35">
      <c r="A1272" t="s">
        <v>208</v>
      </c>
      <c r="B1272" t="s">
        <v>71</v>
      </c>
      <c r="C1272" t="s">
        <v>1555</v>
      </c>
    </row>
    <row r="1273" spans="1:3" x14ac:dyDescent="0.35">
      <c r="A1273" t="s">
        <v>208</v>
      </c>
      <c r="B1273" t="s">
        <v>71</v>
      </c>
      <c r="C1273" t="s">
        <v>1556</v>
      </c>
    </row>
    <row r="1274" spans="1:3" x14ac:dyDescent="0.35">
      <c r="A1274" t="s">
        <v>208</v>
      </c>
      <c r="B1274" t="s">
        <v>71</v>
      </c>
      <c r="C1274" t="s">
        <v>1557</v>
      </c>
    </row>
    <row r="1275" spans="1:3" x14ac:dyDescent="0.35">
      <c r="A1275" t="s">
        <v>208</v>
      </c>
      <c r="B1275" t="s">
        <v>71</v>
      </c>
      <c r="C1275" t="s">
        <v>1558</v>
      </c>
    </row>
    <row r="1276" spans="1:3" x14ac:dyDescent="0.35">
      <c r="A1276" t="s">
        <v>208</v>
      </c>
      <c r="B1276" t="s">
        <v>71</v>
      </c>
      <c r="C1276" t="s">
        <v>1559</v>
      </c>
    </row>
    <row r="1277" spans="1:3" x14ac:dyDescent="0.35">
      <c r="A1277" t="s">
        <v>208</v>
      </c>
      <c r="B1277" t="s">
        <v>71</v>
      </c>
      <c r="C1277" t="s">
        <v>1560</v>
      </c>
    </row>
    <row r="1278" spans="1:3" x14ac:dyDescent="0.35">
      <c r="A1278" t="s">
        <v>208</v>
      </c>
      <c r="B1278" t="s">
        <v>71</v>
      </c>
      <c r="C1278" t="s">
        <v>1561</v>
      </c>
    </row>
    <row r="1279" spans="1:3" x14ac:dyDescent="0.35">
      <c r="A1279" t="s">
        <v>208</v>
      </c>
      <c r="B1279" t="s">
        <v>71</v>
      </c>
      <c r="C1279" t="s">
        <v>1562</v>
      </c>
    </row>
    <row r="1280" spans="1:3" x14ac:dyDescent="0.35">
      <c r="A1280" t="s">
        <v>208</v>
      </c>
      <c r="B1280" t="s">
        <v>71</v>
      </c>
      <c r="C1280" t="s">
        <v>1563</v>
      </c>
    </row>
    <row r="1281" spans="1:3" x14ac:dyDescent="0.35">
      <c r="A1281" t="s">
        <v>208</v>
      </c>
      <c r="B1281" t="s">
        <v>71</v>
      </c>
      <c r="C1281" t="s">
        <v>1564</v>
      </c>
    </row>
    <row r="1282" spans="1:3" x14ac:dyDescent="0.35">
      <c r="A1282" t="s">
        <v>208</v>
      </c>
      <c r="B1282" t="s">
        <v>71</v>
      </c>
      <c r="C1282" t="s">
        <v>1565</v>
      </c>
    </row>
    <row r="1283" spans="1:3" x14ac:dyDescent="0.35">
      <c r="A1283" t="s">
        <v>208</v>
      </c>
      <c r="B1283" t="s">
        <v>71</v>
      </c>
      <c r="C1283" t="s">
        <v>1566</v>
      </c>
    </row>
    <row r="1284" spans="1:3" x14ac:dyDescent="0.35">
      <c r="A1284" t="s">
        <v>208</v>
      </c>
      <c r="B1284" t="s">
        <v>71</v>
      </c>
      <c r="C1284" t="s">
        <v>1567</v>
      </c>
    </row>
    <row r="1285" spans="1:3" x14ac:dyDescent="0.35">
      <c r="A1285" t="s">
        <v>208</v>
      </c>
      <c r="B1285" t="s">
        <v>71</v>
      </c>
      <c r="C1285" t="s">
        <v>1568</v>
      </c>
    </row>
    <row r="1286" spans="1:3" x14ac:dyDescent="0.35">
      <c r="A1286" t="s">
        <v>208</v>
      </c>
      <c r="B1286" t="s">
        <v>71</v>
      </c>
      <c r="C1286" t="s">
        <v>1569</v>
      </c>
    </row>
    <row r="1287" spans="1:3" x14ac:dyDescent="0.35">
      <c r="A1287" t="s">
        <v>208</v>
      </c>
      <c r="B1287" t="s">
        <v>71</v>
      </c>
      <c r="C1287" t="s">
        <v>1570</v>
      </c>
    </row>
    <row r="1288" spans="1:3" x14ac:dyDescent="0.35">
      <c r="A1288" t="s">
        <v>208</v>
      </c>
      <c r="B1288" t="s">
        <v>71</v>
      </c>
      <c r="C1288" t="s">
        <v>1571</v>
      </c>
    </row>
    <row r="1289" spans="1:3" x14ac:dyDescent="0.35">
      <c r="A1289" t="s">
        <v>208</v>
      </c>
      <c r="B1289" t="s">
        <v>71</v>
      </c>
      <c r="C1289" t="s">
        <v>1572</v>
      </c>
    </row>
    <row r="1290" spans="1:3" x14ac:dyDescent="0.35">
      <c r="A1290" t="s">
        <v>208</v>
      </c>
      <c r="B1290" t="s">
        <v>71</v>
      </c>
      <c r="C1290" t="s">
        <v>1573</v>
      </c>
    </row>
    <row r="1291" spans="1:3" x14ac:dyDescent="0.35">
      <c r="A1291" t="s">
        <v>208</v>
      </c>
      <c r="B1291" t="s">
        <v>71</v>
      </c>
      <c r="C1291" t="s">
        <v>1574</v>
      </c>
    </row>
    <row r="1292" spans="1:3" x14ac:dyDescent="0.35">
      <c r="A1292" t="s">
        <v>208</v>
      </c>
      <c r="B1292" t="s">
        <v>71</v>
      </c>
      <c r="C1292" t="s">
        <v>1575</v>
      </c>
    </row>
    <row r="1293" spans="1:3" x14ac:dyDescent="0.35">
      <c r="A1293" t="s">
        <v>208</v>
      </c>
      <c r="B1293" t="s">
        <v>71</v>
      </c>
      <c r="C1293" t="s">
        <v>1576</v>
      </c>
    </row>
    <row r="1294" spans="1:3" x14ac:dyDescent="0.35">
      <c r="A1294" t="s">
        <v>208</v>
      </c>
      <c r="B1294" t="s">
        <v>71</v>
      </c>
      <c r="C1294" t="s">
        <v>1577</v>
      </c>
    </row>
    <row r="1295" spans="1:3" x14ac:dyDescent="0.35">
      <c r="A1295" t="s">
        <v>208</v>
      </c>
      <c r="B1295" t="s">
        <v>71</v>
      </c>
      <c r="C1295" t="s">
        <v>1578</v>
      </c>
    </row>
    <row r="1296" spans="1:3" x14ac:dyDescent="0.35">
      <c r="A1296" t="s">
        <v>208</v>
      </c>
      <c r="B1296" t="s">
        <v>71</v>
      </c>
      <c r="C1296" t="s">
        <v>1579</v>
      </c>
    </row>
    <row r="1297" spans="1:3" x14ac:dyDescent="0.35">
      <c r="A1297" t="s">
        <v>208</v>
      </c>
      <c r="B1297" t="s">
        <v>71</v>
      </c>
      <c r="C1297" t="s">
        <v>1580</v>
      </c>
    </row>
    <row r="1298" spans="1:3" x14ac:dyDescent="0.35">
      <c r="A1298" t="s">
        <v>208</v>
      </c>
      <c r="B1298" t="s">
        <v>71</v>
      </c>
      <c r="C1298" t="s">
        <v>1581</v>
      </c>
    </row>
    <row r="1299" spans="1:3" x14ac:dyDescent="0.35">
      <c r="A1299" t="s">
        <v>208</v>
      </c>
      <c r="B1299" t="s">
        <v>71</v>
      </c>
      <c r="C1299" t="s">
        <v>1582</v>
      </c>
    </row>
    <row r="1300" spans="1:3" x14ac:dyDescent="0.35">
      <c r="A1300" t="s">
        <v>208</v>
      </c>
      <c r="B1300" t="s">
        <v>71</v>
      </c>
      <c r="C1300" t="s">
        <v>1583</v>
      </c>
    </row>
    <row r="1301" spans="1:3" x14ac:dyDescent="0.35">
      <c r="A1301" t="s">
        <v>208</v>
      </c>
      <c r="B1301" t="s">
        <v>71</v>
      </c>
      <c r="C1301" t="s">
        <v>1584</v>
      </c>
    </row>
    <row r="1302" spans="1:3" x14ac:dyDescent="0.35">
      <c r="A1302" t="s">
        <v>208</v>
      </c>
      <c r="B1302" t="s">
        <v>71</v>
      </c>
      <c r="C1302" t="s">
        <v>1585</v>
      </c>
    </row>
    <row r="1303" spans="1:3" x14ac:dyDescent="0.35">
      <c r="A1303" t="s">
        <v>208</v>
      </c>
      <c r="B1303" t="s">
        <v>71</v>
      </c>
      <c r="C1303" t="s">
        <v>1586</v>
      </c>
    </row>
    <row r="1304" spans="1:3" x14ac:dyDescent="0.35">
      <c r="A1304" t="s">
        <v>208</v>
      </c>
      <c r="B1304" t="s">
        <v>71</v>
      </c>
      <c r="C1304" t="s">
        <v>1587</v>
      </c>
    </row>
    <row r="1305" spans="1:3" x14ac:dyDescent="0.35">
      <c r="A1305" t="s">
        <v>208</v>
      </c>
      <c r="B1305" t="s">
        <v>71</v>
      </c>
      <c r="C1305" t="s">
        <v>1588</v>
      </c>
    </row>
    <row r="1306" spans="1:3" x14ac:dyDescent="0.35">
      <c r="A1306" t="s">
        <v>208</v>
      </c>
      <c r="B1306" t="s">
        <v>71</v>
      </c>
      <c r="C1306" t="s">
        <v>1589</v>
      </c>
    </row>
    <row r="1307" spans="1:3" x14ac:dyDescent="0.35">
      <c r="A1307" t="s">
        <v>208</v>
      </c>
      <c r="B1307" t="s">
        <v>71</v>
      </c>
      <c r="C1307" t="s">
        <v>1590</v>
      </c>
    </row>
    <row r="1308" spans="1:3" x14ac:dyDescent="0.35">
      <c r="A1308" t="s">
        <v>208</v>
      </c>
      <c r="B1308" t="s">
        <v>71</v>
      </c>
      <c r="C1308" t="s">
        <v>1591</v>
      </c>
    </row>
    <row r="1309" spans="1:3" x14ac:dyDescent="0.35">
      <c r="A1309" t="s">
        <v>208</v>
      </c>
      <c r="B1309" t="s">
        <v>71</v>
      </c>
      <c r="C1309" t="s">
        <v>1592</v>
      </c>
    </row>
    <row r="1310" spans="1:3" x14ac:dyDescent="0.35">
      <c r="A1310" t="s">
        <v>208</v>
      </c>
      <c r="B1310" t="s">
        <v>71</v>
      </c>
      <c r="C1310" t="s">
        <v>1593</v>
      </c>
    </row>
    <row r="1311" spans="1:3" x14ac:dyDescent="0.35">
      <c r="A1311" t="s">
        <v>208</v>
      </c>
      <c r="B1311" t="s">
        <v>71</v>
      </c>
      <c r="C1311" t="s">
        <v>1594</v>
      </c>
    </row>
    <row r="1312" spans="1:3" x14ac:dyDescent="0.35">
      <c r="A1312" t="s">
        <v>208</v>
      </c>
      <c r="B1312" t="s">
        <v>71</v>
      </c>
      <c r="C1312" t="s">
        <v>1595</v>
      </c>
    </row>
    <row r="1313" spans="1:3" x14ac:dyDescent="0.35">
      <c r="A1313" t="s">
        <v>208</v>
      </c>
      <c r="B1313" t="s">
        <v>71</v>
      </c>
      <c r="C1313" t="s">
        <v>1596</v>
      </c>
    </row>
    <row r="1314" spans="1:3" x14ac:dyDescent="0.35">
      <c r="A1314" t="s">
        <v>208</v>
      </c>
      <c r="B1314" t="s">
        <v>71</v>
      </c>
      <c r="C1314" t="s">
        <v>1597</v>
      </c>
    </row>
    <row r="1315" spans="1:3" x14ac:dyDescent="0.35">
      <c r="A1315" t="s">
        <v>208</v>
      </c>
      <c r="B1315" t="s">
        <v>71</v>
      </c>
      <c r="C1315" t="s">
        <v>1598</v>
      </c>
    </row>
    <row r="1316" spans="1:3" x14ac:dyDescent="0.35">
      <c r="A1316" t="s">
        <v>208</v>
      </c>
      <c r="B1316" t="s">
        <v>71</v>
      </c>
      <c r="C1316" t="s">
        <v>1599</v>
      </c>
    </row>
    <row r="1317" spans="1:3" x14ac:dyDescent="0.35">
      <c r="A1317" t="s">
        <v>208</v>
      </c>
      <c r="B1317" t="s">
        <v>71</v>
      </c>
      <c r="C1317" t="s">
        <v>1600</v>
      </c>
    </row>
    <row r="1318" spans="1:3" x14ac:dyDescent="0.35">
      <c r="A1318" t="s">
        <v>208</v>
      </c>
      <c r="B1318" t="s">
        <v>71</v>
      </c>
      <c r="C1318" t="s">
        <v>1601</v>
      </c>
    </row>
    <row r="1319" spans="1:3" x14ac:dyDescent="0.35">
      <c r="A1319" t="s">
        <v>208</v>
      </c>
      <c r="B1319" t="s">
        <v>71</v>
      </c>
      <c r="C1319" t="s">
        <v>1602</v>
      </c>
    </row>
    <row r="1320" spans="1:3" x14ac:dyDescent="0.35">
      <c r="A1320" t="s">
        <v>208</v>
      </c>
      <c r="B1320" t="s">
        <v>71</v>
      </c>
      <c r="C1320" t="s">
        <v>1603</v>
      </c>
    </row>
    <row r="1321" spans="1:3" x14ac:dyDescent="0.35">
      <c r="A1321" t="s">
        <v>208</v>
      </c>
      <c r="B1321" t="s">
        <v>71</v>
      </c>
      <c r="C1321" t="s">
        <v>1604</v>
      </c>
    </row>
    <row r="1322" spans="1:3" x14ac:dyDescent="0.35">
      <c r="A1322" t="s">
        <v>208</v>
      </c>
      <c r="B1322" t="s">
        <v>71</v>
      </c>
      <c r="C1322" t="s">
        <v>1605</v>
      </c>
    </row>
    <row r="1323" spans="1:3" x14ac:dyDescent="0.35">
      <c r="A1323" t="s">
        <v>208</v>
      </c>
      <c r="B1323" t="s">
        <v>71</v>
      </c>
      <c r="C1323" t="s">
        <v>1606</v>
      </c>
    </row>
    <row r="1324" spans="1:3" x14ac:dyDescent="0.35">
      <c r="A1324" t="s">
        <v>208</v>
      </c>
      <c r="B1324" t="s">
        <v>71</v>
      </c>
      <c r="C1324" t="s">
        <v>1607</v>
      </c>
    </row>
    <row r="1325" spans="1:3" x14ac:dyDescent="0.35">
      <c r="A1325" t="s">
        <v>208</v>
      </c>
      <c r="B1325" t="s">
        <v>71</v>
      </c>
      <c r="C1325" t="s">
        <v>1608</v>
      </c>
    </row>
    <row r="1326" spans="1:3" x14ac:dyDescent="0.35">
      <c r="A1326" t="s">
        <v>208</v>
      </c>
      <c r="B1326" t="s">
        <v>71</v>
      </c>
      <c r="C1326" t="s">
        <v>1609</v>
      </c>
    </row>
    <row r="1327" spans="1:3" x14ac:dyDescent="0.35">
      <c r="A1327" t="s">
        <v>208</v>
      </c>
      <c r="B1327" t="s">
        <v>71</v>
      </c>
      <c r="C1327" t="s">
        <v>1610</v>
      </c>
    </row>
    <row r="1328" spans="1:3" x14ac:dyDescent="0.35">
      <c r="A1328" t="s">
        <v>208</v>
      </c>
      <c r="B1328" t="s">
        <v>71</v>
      </c>
      <c r="C1328" t="s">
        <v>1611</v>
      </c>
    </row>
    <row r="1329" spans="1:3" x14ac:dyDescent="0.35">
      <c r="A1329" t="s">
        <v>208</v>
      </c>
      <c r="B1329" t="s">
        <v>71</v>
      </c>
      <c r="C1329" t="s">
        <v>1612</v>
      </c>
    </row>
    <row r="1330" spans="1:3" x14ac:dyDescent="0.35">
      <c r="A1330" t="s">
        <v>208</v>
      </c>
      <c r="B1330" t="s">
        <v>71</v>
      </c>
      <c r="C1330" t="s">
        <v>1613</v>
      </c>
    </row>
    <row r="1331" spans="1:3" x14ac:dyDescent="0.35">
      <c r="A1331" t="s">
        <v>208</v>
      </c>
      <c r="B1331" t="s">
        <v>71</v>
      </c>
      <c r="C1331" t="s">
        <v>1614</v>
      </c>
    </row>
    <row r="1332" spans="1:3" x14ac:dyDescent="0.35">
      <c r="A1332" t="s">
        <v>208</v>
      </c>
      <c r="B1332" t="s">
        <v>71</v>
      </c>
      <c r="C1332" t="s">
        <v>1615</v>
      </c>
    </row>
    <row r="1333" spans="1:3" x14ac:dyDescent="0.35">
      <c r="A1333" t="s">
        <v>208</v>
      </c>
      <c r="B1333" t="s">
        <v>71</v>
      </c>
      <c r="C1333" t="s">
        <v>1616</v>
      </c>
    </row>
    <row r="1334" spans="1:3" x14ac:dyDescent="0.35">
      <c r="A1334" t="s">
        <v>208</v>
      </c>
      <c r="B1334" t="s">
        <v>71</v>
      </c>
      <c r="C1334" t="s">
        <v>1617</v>
      </c>
    </row>
    <row r="1335" spans="1:3" x14ac:dyDescent="0.35">
      <c r="A1335" t="s">
        <v>208</v>
      </c>
      <c r="B1335" t="s">
        <v>71</v>
      </c>
      <c r="C1335" t="s">
        <v>1618</v>
      </c>
    </row>
    <row r="1336" spans="1:3" x14ac:dyDescent="0.35">
      <c r="A1336" t="s">
        <v>208</v>
      </c>
      <c r="B1336" t="s">
        <v>71</v>
      </c>
      <c r="C1336" t="s">
        <v>1619</v>
      </c>
    </row>
    <row r="1337" spans="1:3" x14ac:dyDescent="0.35">
      <c r="A1337" t="s">
        <v>208</v>
      </c>
      <c r="B1337" t="s">
        <v>71</v>
      </c>
      <c r="C1337" t="s">
        <v>1620</v>
      </c>
    </row>
    <row r="1338" spans="1:3" x14ac:dyDescent="0.35">
      <c r="A1338" t="s">
        <v>208</v>
      </c>
      <c r="B1338" t="s">
        <v>71</v>
      </c>
      <c r="C1338" t="s">
        <v>1621</v>
      </c>
    </row>
    <row r="1339" spans="1:3" x14ac:dyDescent="0.35">
      <c r="A1339" t="s">
        <v>208</v>
      </c>
      <c r="B1339" t="s">
        <v>71</v>
      </c>
      <c r="C1339" t="s">
        <v>1622</v>
      </c>
    </row>
    <row r="1340" spans="1:3" x14ac:dyDescent="0.35">
      <c r="A1340" t="s">
        <v>208</v>
      </c>
      <c r="B1340" t="s">
        <v>71</v>
      </c>
      <c r="C1340" t="s">
        <v>1623</v>
      </c>
    </row>
    <row r="1341" spans="1:3" x14ac:dyDescent="0.35">
      <c r="A1341" t="s">
        <v>208</v>
      </c>
      <c r="B1341" t="s">
        <v>71</v>
      </c>
      <c r="C1341" t="s">
        <v>1624</v>
      </c>
    </row>
    <row r="1342" spans="1:3" x14ac:dyDescent="0.35">
      <c r="A1342" t="s">
        <v>208</v>
      </c>
      <c r="B1342" t="s">
        <v>71</v>
      </c>
      <c r="C1342" t="s">
        <v>1625</v>
      </c>
    </row>
    <row r="1343" spans="1:3" x14ac:dyDescent="0.35">
      <c r="A1343" t="s">
        <v>208</v>
      </c>
      <c r="B1343" t="s">
        <v>71</v>
      </c>
      <c r="C1343" t="s">
        <v>1626</v>
      </c>
    </row>
    <row r="1344" spans="1:3" x14ac:dyDescent="0.35">
      <c r="A1344" t="s">
        <v>208</v>
      </c>
      <c r="B1344" t="s">
        <v>71</v>
      </c>
      <c r="C1344" t="s">
        <v>1627</v>
      </c>
    </row>
    <row r="1345" spans="1:3" x14ac:dyDescent="0.35">
      <c r="A1345" t="s">
        <v>208</v>
      </c>
      <c r="B1345" t="s">
        <v>71</v>
      </c>
      <c r="C1345" t="s">
        <v>1628</v>
      </c>
    </row>
    <row r="1346" spans="1:3" x14ac:dyDescent="0.35">
      <c r="A1346" t="s">
        <v>208</v>
      </c>
      <c r="B1346" t="s">
        <v>71</v>
      </c>
      <c r="C1346" t="s">
        <v>1629</v>
      </c>
    </row>
    <row r="1347" spans="1:3" x14ac:dyDescent="0.35">
      <c r="A1347" t="s">
        <v>208</v>
      </c>
      <c r="B1347" t="s">
        <v>71</v>
      </c>
      <c r="C1347" t="s">
        <v>1630</v>
      </c>
    </row>
    <row r="1348" spans="1:3" x14ac:dyDescent="0.35">
      <c r="A1348" t="s">
        <v>208</v>
      </c>
      <c r="B1348" t="s">
        <v>71</v>
      </c>
      <c r="C1348" t="s">
        <v>1631</v>
      </c>
    </row>
    <row r="1349" spans="1:3" x14ac:dyDescent="0.35">
      <c r="A1349" t="s">
        <v>208</v>
      </c>
      <c r="B1349" t="s">
        <v>71</v>
      </c>
      <c r="C1349" t="s">
        <v>1632</v>
      </c>
    </row>
    <row r="1350" spans="1:3" x14ac:dyDescent="0.35">
      <c r="A1350" t="s">
        <v>208</v>
      </c>
      <c r="B1350" t="s">
        <v>71</v>
      </c>
      <c r="C1350" t="s">
        <v>71</v>
      </c>
    </row>
    <row r="1351" spans="1:3" x14ac:dyDescent="0.35">
      <c r="A1351" t="s">
        <v>208</v>
      </c>
      <c r="B1351" t="s">
        <v>71</v>
      </c>
      <c r="C1351" t="s">
        <v>1633</v>
      </c>
    </row>
    <row r="1352" spans="1:3" x14ac:dyDescent="0.35">
      <c r="A1352" t="s">
        <v>208</v>
      </c>
      <c r="B1352" t="s">
        <v>71</v>
      </c>
      <c r="C1352" t="s">
        <v>1634</v>
      </c>
    </row>
    <row r="1353" spans="1:3" x14ac:dyDescent="0.35">
      <c r="A1353" t="s">
        <v>208</v>
      </c>
      <c r="B1353" t="s">
        <v>71</v>
      </c>
      <c r="C1353" t="s">
        <v>1635</v>
      </c>
    </row>
    <row r="1354" spans="1:3" x14ac:dyDescent="0.35">
      <c r="A1354" t="s">
        <v>208</v>
      </c>
      <c r="B1354" t="s">
        <v>71</v>
      </c>
      <c r="C1354" t="s">
        <v>1636</v>
      </c>
    </row>
    <row r="1355" spans="1:3" x14ac:dyDescent="0.35">
      <c r="A1355" t="s">
        <v>208</v>
      </c>
      <c r="B1355" t="s">
        <v>71</v>
      </c>
      <c r="C1355" t="s">
        <v>1637</v>
      </c>
    </row>
    <row r="1356" spans="1:3" x14ac:dyDescent="0.35">
      <c r="A1356" t="s">
        <v>208</v>
      </c>
      <c r="B1356" t="s">
        <v>71</v>
      </c>
      <c r="C1356" t="s">
        <v>1638</v>
      </c>
    </row>
    <row r="1357" spans="1:3" x14ac:dyDescent="0.35">
      <c r="A1357" t="s">
        <v>208</v>
      </c>
      <c r="B1357" t="s">
        <v>71</v>
      </c>
      <c r="C1357" t="s">
        <v>1639</v>
      </c>
    </row>
    <row r="1358" spans="1:3" x14ac:dyDescent="0.35">
      <c r="A1358" t="s">
        <v>208</v>
      </c>
      <c r="B1358" t="s">
        <v>71</v>
      </c>
      <c r="C1358" t="s">
        <v>1640</v>
      </c>
    </row>
    <row r="1359" spans="1:3" x14ac:dyDescent="0.35">
      <c r="A1359" t="s">
        <v>208</v>
      </c>
      <c r="B1359" t="s">
        <v>71</v>
      </c>
      <c r="C1359" t="s">
        <v>1641</v>
      </c>
    </row>
    <row r="1360" spans="1:3" x14ac:dyDescent="0.35">
      <c r="A1360" t="s">
        <v>208</v>
      </c>
      <c r="B1360" t="s">
        <v>71</v>
      </c>
      <c r="C1360" t="s">
        <v>1642</v>
      </c>
    </row>
    <row r="1361" spans="1:3" x14ac:dyDescent="0.35">
      <c r="A1361" t="s">
        <v>208</v>
      </c>
      <c r="B1361" t="s">
        <v>71</v>
      </c>
      <c r="C1361" t="s">
        <v>1643</v>
      </c>
    </row>
    <row r="1362" spans="1:3" x14ac:dyDescent="0.35">
      <c r="A1362" t="s">
        <v>208</v>
      </c>
      <c r="B1362" t="s">
        <v>71</v>
      </c>
      <c r="C1362" t="s">
        <v>1644</v>
      </c>
    </row>
    <row r="1363" spans="1:3" x14ac:dyDescent="0.35">
      <c r="A1363" t="s">
        <v>208</v>
      </c>
      <c r="B1363" t="s">
        <v>71</v>
      </c>
      <c r="C1363" t="s">
        <v>1645</v>
      </c>
    </row>
    <row r="1364" spans="1:3" x14ac:dyDescent="0.35">
      <c r="A1364" t="s">
        <v>208</v>
      </c>
      <c r="B1364" t="s">
        <v>71</v>
      </c>
      <c r="C1364" t="s">
        <v>1646</v>
      </c>
    </row>
    <row r="1365" spans="1:3" x14ac:dyDescent="0.35">
      <c r="A1365" t="s">
        <v>208</v>
      </c>
      <c r="B1365" t="s">
        <v>71</v>
      </c>
      <c r="C1365" t="s">
        <v>1647</v>
      </c>
    </row>
    <row r="1366" spans="1:3" x14ac:dyDescent="0.35">
      <c r="A1366" t="s">
        <v>208</v>
      </c>
      <c r="B1366" t="s">
        <v>71</v>
      </c>
      <c r="C1366" t="s">
        <v>1648</v>
      </c>
    </row>
    <row r="1367" spans="1:3" x14ac:dyDescent="0.35">
      <c r="A1367" t="s">
        <v>208</v>
      </c>
      <c r="B1367" t="s">
        <v>71</v>
      </c>
      <c r="C1367" t="s">
        <v>1649</v>
      </c>
    </row>
    <row r="1368" spans="1:3" x14ac:dyDescent="0.35">
      <c r="A1368" t="s">
        <v>208</v>
      </c>
      <c r="B1368" t="s">
        <v>71</v>
      </c>
      <c r="C1368" t="s">
        <v>1650</v>
      </c>
    </row>
    <row r="1369" spans="1:3" x14ac:dyDescent="0.35">
      <c r="A1369" t="s">
        <v>208</v>
      </c>
      <c r="B1369" t="s">
        <v>71</v>
      </c>
      <c r="C1369" t="s">
        <v>1651</v>
      </c>
    </row>
    <row r="1370" spans="1:3" x14ac:dyDescent="0.35">
      <c r="A1370" t="s">
        <v>208</v>
      </c>
      <c r="B1370" t="s">
        <v>71</v>
      </c>
      <c r="C1370" t="s">
        <v>1652</v>
      </c>
    </row>
    <row r="1371" spans="1:3" x14ac:dyDescent="0.35">
      <c r="A1371" t="s">
        <v>208</v>
      </c>
      <c r="B1371" t="s">
        <v>71</v>
      </c>
      <c r="C1371" t="s">
        <v>1653</v>
      </c>
    </row>
    <row r="1372" spans="1:3" x14ac:dyDescent="0.35">
      <c r="A1372" t="s">
        <v>208</v>
      </c>
      <c r="B1372" t="s">
        <v>71</v>
      </c>
      <c r="C1372" t="s">
        <v>1654</v>
      </c>
    </row>
    <row r="1373" spans="1:3" x14ac:dyDescent="0.35">
      <c r="A1373" t="s">
        <v>208</v>
      </c>
      <c r="B1373" t="s">
        <v>71</v>
      </c>
      <c r="C1373" t="s">
        <v>1655</v>
      </c>
    </row>
    <row r="1374" spans="1:3" x14ac:dyDescent="0.35">
      <c r="A1374" t="s">
        <v>208</v>
      </c>
      <c r="B1374" t="s">
        <v>71</v>
      </c>
      <c r="C1374" t="s">
        <v>1656</v>
      </c>
    </row>
    <row r="1375" spans="1:3" x14ac:dyDescent="0.35">
      <c r="A1375" t="s">
        <v>208</v>
      </c>
      <c r="B1375" t="s">
        <v>71</v>
      </c>
      <c r="C1375" t="s">
        <v>1657</v>
      </c>
    </row>
    <row r="1376" spans="1:3" x14ac:dyDescent="0.35">
      <c r="A1376" t="s">
        <v>208</v>
      </c>
      <c r="B1376" t="s">
        <v>71</v>
      </c>
      <c r="C1376" t="s">
        <v>1658</v>
      </c>
    </row>
    <row r="1377" spans="1:3" x14ac:dyDescent="0.35">
      <c r="A1377" t="s">
        <v>208</v>
      </c>
      <c r="B1377" t="s">
        <v>71</v>
      </c>
      <c r="C1377" t="s">
        <v>1659</v>
      </c>
    </row>
    <row r="1378" spans="1:3" x14ac:dyDescent="0.35">
      <c r="A1378" t="s">
        <v>208</v>
      </c>
      <c r="B1378" t="s">
        <v>71</v>
      </c>
      <c r="C1378" t="s">
        <v>1660</v>
      </c>
    </row>
    <row r="1379" spans="1:3" x14ac:dyDescent="0.35">
      <c r="A1379" t="s">
        <v>208</v>
      </c>
      <c r="B1379" t="s">
        <v>71</v>
      </c>
      <c r="C1379" t="s">
        <v>1661</v>
      </c>
    </row>
    <row r="1380" spans="1:3" x14ac:dyDescent="0.35">
      <c r="A1380" t="s">
        <v>208</v>
      </c>
      <c r="B1380" t="s">
        <v>71</v>
      </c>
      <c r="C1380" t="s">
        <v>1662</v>
      </c>
    </row>
    <row r="1381" spans="1:3" x14ac:dyDescent="0.35">
      <c r="A1381" t="s">
        <v>208</v>
      </c>
      <c r="B1381" t="s">
        <v>71</v>
      </c>
      <c r="C1381" t="s">
        <v>1663</v>
      </c>
    </row>
    <row r="1382" spans="1:3" x14ac:dyDescent="0.35">
      <c r="A1382" t="s">
        <v>208</v>
      </c>
      <c r="B1382" t="s">
        <v>71</v>
      </c>
      <c r="C1382" t="s">
        <v>1664</v>
      </c>
    </row>
    <row r="1383" spans="1:3" x14ac:dyDescent="0.35">
      <c r="A1383" t="s">
        <v>208</v>
      </c>
      <c r="B1383" t="s">
        <v>71</v>
      </c>
      <c r="C1383" t="s">
        <v>1665</v>
      </c>
    </row>
    <row r="1384" spans="1:3" x14ac:dyDescent="0.35">
      <c r="A1384" t="s">
        <v>208</v>
      </c>
      <c r="B1384" t="s">
        <v>71</v>
      </c>
      <c r="C1384" t="s">
        <v>1666</v>
      </c>
    </row>
    <row r="1385" spans="1:3" x14ac:dyDescent="0.35">
      <c r="A1385" t="s">
        <v>208</v>
      </c>
      <c r="B1385" t="s">
        <v>71</v>
      </c>
      <c r="C1385" t="s">
        <v>1667</v>
      </c>
    </row>
    <row r="1386" spans="1:3" x14ac:dyDescent="0.35">
      <c r="A1386" t="s">
        <v>208</v>
      </c>
      <c r="B1386" t="s">
        <v>71</v>
      </c>
      <c r="C1386" t="s">
        <v>1668</v>
      </c>
    </row>
    <row r="1387" spans="1:3" x14ac:dyDescent="0.35">
      <c r="A1387" t="s">
        <v>208</v>
      </c>
      <c r="B1387" t="s">
        <v>71</v>
      </c>
      <c r="C1387" t="s">
        <v>1669</v>
      </c>
    </row>
    <row r="1388" spans="1:3" x14ac:dyDescent="0.35">
      <c r="A1388" t="s">
        <v>208</v>
      </c>
      <c r="B1388" t="s">
        <v>71</v>
      </c>
      <c r="C1388" t="s">
        <v>1670</v>
      </c>
    </row>
    <row r="1389" spans="1:3" x14ac:dyDescent="0.35">
      <c r="A1389" t="s">
        <v>208</v>
      </c>
      <c r="B1389" t="s">
        <v>71</v>
      </c>
      <c r="C1389" t="s">
        <v>1671</v>
      </c>
    </row>
    <row r="1390" spans="1:3" x14ac:dyDescent="0.35">
      <c r="A1390" t="s">
        <v>208</v>
      </c>
      <c r="B1390" t="s">
        <v>71</v>
      </c>
      <c r="C1390" t="s">
        <v>1672</v>
      </c>
    </row>
    <row r="1391" spans="1:3" x14ac:dyDescent="0.35">
      <c r="A1391" t="s">
        <v>208</v>
      </c>
      <c r="B1391" t="s">
        <v>71</v>
      </c>
      <c r="C1391" t="s">
        <v>1673</v>
      </c>
    </row>
    <row r="1392" spans="1:3" x14ac:dyDescent="0.35">
      <c r="A1392" t="s">
        <v>209</v>
      </c>
      <c r="B1392" t="s">
        <v>39</v>
      </c>
      <c r="C1392" t="s">
        <v>1674</v>
      </c>
    </row>
    <row r="1393" spans="1:3" x14ac:dyDescent="0.35">
      <c r="A1393" t="s">
        <v>209</v>
      </c>
      <c r="B1393" t="s">
        <v>39</v>
      </c>
      <c r="C1393" t="s">
        <v>1675</v>
      </c>
    </row>
    <row r="1394" spans="1:3" x14ac:dyDescent="0.35">
      <c r="A1394" t="s">
        <v>209</v>
      </c>
      <c r="B1394" t="s">
        <v>39</v>
      </c>
      <c r="C1394" t="s">
        <v>1676</v>
      </c>
    </row>
    <row r="1395" spans="1:3" x14ac:dyDescent="0.35">
      <c r="A1395" t="s">
        <v>209</v>
      </c>
      <c r="B1395" t="s">
        <v>39</v>
      </c>
      <c r="C1395" t="s">
        <v>1677</v>
      </c>
    </row>
    <row r="1396" spans="1:3" x14ac:dyDescent="0.35">
      <c r="A1396" t="s">
        <v>209</v>
      </c>
      <c r="B1396" t="s">
        <v>39</v>
      </c>
      <c r="C1396" t="s">
        <v>1678</v>
      </c>
    </row>
    <row r="1397" spans="1:3" x14ac:dyDescent="0.35">
      <c r="A1397" t="s">
        <v>209</v>
      </c>
      <c r="B1397" t="s">
        <v>39</v>
      </c>
      <c r="C1397" t="s">
        <v>39</v>
      </c>
    </row>
    <row r="1398" spans="1:3" x14ac:dyDescent="0.35">
      <c r="A1398" t="s">
        <v>209</v>
      </c>
      <c r="B1398" t="s">
        <v>39</v>
      </c>
      <c r="C1398" t="s">
        <v>1679</v>
      </c>
    </row>
    <row r="1399" spans="1:3" x14ac:dyDescent="0.35">
      <c r="A1399" t="s">
        <v>209</v>
      </c>
      <c r="B1399" t="s">
        <v>39</v>
      </c>
      <c r="C1399" t="s">
        <v>1680</v>
      </c>
    </row>
    <row r="1400" spans="1:3" x14ac:dyDescent="0.35">
      <c r="A1400" t="s">
        <v>209</v>
      </c>
      <c r="B1400" t="s">
        <v>39</v>
      </c>
      <c r="C1400" t="s">
        <v>1681</v>
      </c>
    </row>
    <row r="1401" spans="1:3" x14ac:dyDescent="0.35">
      <c r="A1401" t="s">
        <v>209</v>
      </c>
      <c r="B1401" t="s">
        <v>39</v>
      </c>
      <c r="C1401" t="s">
        <v>1682</v>
      </c>
    </row>
    <row r="1402" spans="1:3" x14ac:dyDescent="0.35">
      <c r="A1402" t="s">
        <v>209</v>
      </c>
      <c r="B1402" t="s">
        <v>39</v>
      </c>
      <c r="C1402" t="s">
        <v>1683</v>
      </c>
    </row>
    <row r="1403" spans="1:3" x14ac:dyDescent="0.35">
      <c r="A1403" t="s">
        <v>209</v>
      </c>
      <c r="B1403" t="s">
        <v>39</v>
      </c>
      <c r="C1403" t="s">
        <v>1684</v>
      </c>
    </row>
    <row r="1404" spans="1:3" x14ac:dyDescent="0.35">
      <c r="A1404" t="s">
        <v>209</v>
      </c>
      <c r="B1404" t="s">
        <v>39</v>
      </c>
      <c r="C1404" t="s">
        <v>1685</v>
      </c>
    </row>
    <row r="1405" spans="1:3" x14ac:dyDescent="0.35">
      <c r="A1405" t="s">
        <v>209</v>
      </c>
      <c r="B1405" t="s">
        <v>39</v>
      </c>
      <c r="C1405" t="s">
        <v>1686</v>
      </c>
    </row>
    <row r="1406" spans="1:3" x14ac:dyDescent="0.35">
      <c r="A1406" t="s">
        <v>209</v>
      </c>
      <c r="B1406" t="s">
        <v>39</v>
      </c>
      <c r="C1406" t="s">
        <v>1687</v>
      </c>
    </row>
    <row r="1407" spans="1:3" x14ac:dyDescent="0.35">
      <c r="A1407" t="s">
        <v>209</v>
      </c>
      <c r="B1407" t="s">
        <v>39</v>
      </c>
      <c r="C1407" t="s">
        <v>1688</v>
      </c>
    </row>
    <row r="1408" spans="1:3" x14ac:dyDescent="0.35">
      <c r="A1408" t="s">
        <v>209</v>
      </c>
      <c r="B1408" t="s">
        <v>39</v>
      </c>
      <c r="C1408" t="s">
        <v>1689</v>
      </c>
    </row>
    <row r="1409" spans="1:3" x14ac:dyDescent="0.35">
      <c r="A1409" t="s">
        <v>209</v>
      </c>
      <c r="B1409" t="s">
        <v>39</v>
      </c>
      <c r="C1409" t="s">
        <v>1690</v>
      </c>
    </row>
    <row r="1410" spans="1:3" x14ac:dyDescent="0.35">
      <c r="A1410" t="s">
        <v>209</v>
      </c>
      <c r="B1410" t="s">
        <v>39</v>
      </c>
      <c r="C1410" t="s">
        <v>1691</v>
      </c>
    </row>
    <row r="1411" spans="1:3" x14ac:dyDescent="0.35">
      <c r="A1411" t="s">
        <v>209</v>
      </c>
      <c r="B1411" t="s">
        <v>39</v>
      </c>
      <c r="C1411" t="s">
        <v>1692</v>
      </c>
    </row>
    <row r="1412" spans="1:3" x14ac:dyDescent="0.35">
      <c r="A1412" t="s">
        <v>209</v>
      </c>
      <c r="B1412" t="s">
        <v>39</v>
      </c>
      <c r="C1412" t="s">
        <v>1693</v>
      </c>
    </row>
    <row r="1413" spans="1:3" x14ac:dyDescent="0.35">
      <c r="A1413" t="s">
        <v>209</v>
      </c>
      <c r="B1413" t="s">
        <v>39</v>
      </c>
      <c r="C1413" t="s">
        <v>1694</v>
      </c>
    </row>
    <row r="1414" spans="1:3" x14ac:dyDescent="0.35">
      <c r="A1414" t="s">
        <v>209</v>
      </c>
      <c r="B1414" t="s">
        <v>39</v>
      </c>
      <c r="C1414" t="s">
        <v>1695</v>
      </c>
    </row>
    <row r="1415" spans="1:3" x14ac:dyDescent="0.35">
      <c r="A1415" t="s">
        <v>209</v>
      </c>
      <c r="B1415" t="s">
        <v>39</v>
      </c>
      <c r="C1415" t="s">
        <v>1696</v>
      </c>
    </row>
    <row r="1416" spans="1:3" x14ac:dyDescent="0.35">
      <c r="A1416" t="s">
        <v>209</v>
      </c>
      <c r="B1416" t="s">
        <v>39</v>
      </c>
      <c r="C1416" t="s">
        <v>1697</v>
      </c>
    </row>
    <row r="1417" spans="1:3" x14ac:dyDescent="0.35">
      <c r="A1417" t="s">
        <v>209</v>
      </c>
      <c r="B1417" t="s">
        <v>39</v>
      </c>
      <c r="C1417" t="s">
        <v>1698</v>
      </c>
    </row>
    <row r="1418" spans="1:3" x14ac:dyDescent="0.35">
      <c r="A1418" t="s">
        <v>209</v>
      </c>
      <c r="B1418" t="s">
        <v>39</v>
      </c>
      <c r="C1418" t="s">
        <v>1699</v>
      </c>
    </row>
    <row r="1419" spans="1:3" x14ac:dyDescent="0.35">
      <c r="A1419" t="s">
        <v>209</v>
      </c>
      <c r="B1419" t="s">
        <v>39</v>
      </c>
      <c r="C1419" t="s">
        <v>1700</v>
      </c>
    </row>
    <row r="1420" spans="1:3" x14ac:dyDescent="0.35">
      <c r="A1420" t="s">
        <v>209</v>
      </c>
      <c r="B1420" t="s">
        <v>39</v>
      </c>
      <c r="C1420" t="s">
        <v>1701</v>
      </c>
    </row>
    <row r="1421" spans="1:3" x14ac:dyDescent="0.35">
      <c r="A1421" t="s">
        <v>209</v>
      </c>
      <c r="B1421" t="s">
        <v>39</v>
      </c>
      <c r="C1421" t="s">
        <v>1702</v>
      </c>
    </row>
    <row r="1422" spans="1:3" x14ac:dyDescent="0.35">
      <c r="A1422" t="s">
        <v>209</v>
      </c>
      <c r="B1422" t="s">
        <v>39</v>
      </c>
      <c r="C1422" t="s">
        <v>1703</v>
      </c>
    </row>
    <row r="1423" spans="1:3" x14ac:dyDescent="0.35">
      <c r="A1423" t="s">
        <v>209</v>
      </c>
      <c r="B1423" t="s">
        <v>39</v>
      </c>
      <c r="C1423" t="s">
        <v>1704</v>
      </c>
    </row>
    <row r="1424" spans="1:3" x14ac:dyDescent="0.35">
      <c r="A1424" t="s">
        <v>209</v>
      </c>
      <c r="B1424" t="s">
        <v>39</v>
      </c>
      <c r="C1424" t="s">
        <v>1705</v>
      </c>
    </row>
    <row r="1425" spans="1:3" x14ac:dyDescent="0.35">
      <c r="A1425" t="s">
        <v>209</v>
      </c>
      <c r="B1425" t="s">
        <v>39</v>
      </c>
      <c r="C1425" t="s">
        <v>1706</v>
      </c>
    </row>
    <row r="1426" spans="1:3" x14ac:dyDescent="0.35">
      <c r="A1426" t="s">
        <v>209</v>
      </c>
      <c r="B1426" t="s">
        <v>39</v>
      </c>
      <c r="C1426" t="s">
        <v>1707</v>
      </c>
    </row>
    <row r="1427" spans="1:3" x14ac:dyDescent="0.35">
      <c r="A1427" t="s">
        <v>209</v>
      </c>
      <c r="B1427" t="s">
        <v>39</v>
      </c>
      <c r="C1427" t="s">
        <v>1708</v>
      </c>
    </row>
    <row r="1428" spans="1:3" x14ac:dyDescent="0.35">
      <c r="A1428" t="s">
        <v>209</v>
      </c>
      <c r="B1428" t="s">
        <v>39</v>
      </c>
      <c r="C1428" t="s">
        <v>1709</v>
      </c>
    </row>
    <row r="1429" spans="1:3" x14ac:dyDescent="0.35">
      <c r="A1429" t="s">
        <v>209</v>
      </c>
      <c r="B1429" t="s">
        <v>39</v>
      </c>
      <c r="C1429" t="s">
        <v>1710</v>
      </c>
    </row>
    <row r="1430" spans="1:3" x14ac:dyDescent="0.35">
      <c r="A1430" t="s">
        <v>209</v>
      </c>
      <c r="B1430" t="s">
        <v>39</v>
      </c>
      <c r="C1430" t="s">
        <v>1711</v>
      </c>
    </row>
    <row r="1431" spans="1:3" x14ac:dyDescent="0.35">
      <c r="A1431" t="s">
        <v>209</v>
      </c>
      <c r="B1431" t="s">
        <v>39</v>
      </c>
      <c r="C1431" t="s">
        <v>1712</v>
      </c>
    </row>
    <row r="1432" spans="1:3" x14ac:dyDescent="0.35">
      <c r="A1432" t="s">
        <v>209</v>
      </c>
      <c r="B1432" t="s">
        <v>39</v>
      </c>
      <c r="C1432" t="s">
        <v>1713</v>
      </c>
    </row>
    <row r="1433" spans="1:3" x14ac:dyDescent="0.35">
      <c r="A1433" t="s">
        <v>209</v>
      </c>
      <c r="B1433" t="s">
        <v>39</v>
      </c>
      <c r="C1433" t="s">
        <v>1714</v>
      </c>
    </row>
    <row r="1434" spans="1:3" x14ac:dyDescent="0.35">
      <c r="A1434" t="s">
        <v>209</v>
      </c>
      <c r="B1434" t="s">
        <v>39</v>
      </c>
      <c r="C1434" t="s">
        <v>1715</v>
      </c>
    </row>
    <row r="1435" spans="1:3" x14ac:dyDescent="0.35">
      <c r="A1435" t="s">
        <v>209</v>
      </c>
      <c r="B1435" t="s">
        <v>39</v>
      </c>
      <c r="C1435" t="s">
        <v>1716</v>
      </c>
    </row>
    <row r="1436" spans="1:3" x14ac:dyDescent="0.35">
      <c r="A1436" t="s">
        <v>209</v>
      </c>
      <c r="B1436" t="s">
        <v>39</v>
      </c>
      <c r="C1436" t="s">
        <v>1717</v>
      </c>
    </row>
    <row r="1437" spans="1:3" x14ac:dyDescent="0.35">
      <c r="A1437" t="s">
        <v>209</v>
      </c>
      <c r="B1437" t="s">
        <v>39</v>
      </c>
      <c r="C1437" t="s">
        <v>1718</v>
      </c>
    </row>
    <row r="1438" spans="1:3" x14ac:dyDescent="0.35">
      <c r="A1438" t="s">
        <v>209</v>
      </c>
      <c r="B1438" t="s">
        <v>39</v>
      </c>
      <c r="C1438" t="s">
        <v>1719</v>
      </c>
    </row>
    <row r="1439" spans="1:3" x14ac:dyDescent="0.35">
      <c r="A1439" t="s">
        <v>209</v>
      </c>
      <c r="B1439" t="s">
        <v>39</v>
      </c>
      <c r="C1439" t="s">
        <v>1720</v>
      </c>
    </row>
    <row r="1440" spans="1:3" x14ac:dyDescent="0.35">
      <c r="A1440" t="s">
        <v>209</v>
      </c>
      <c r="B1440" t="s">
        <v>39</v>
      </c>
      <c r="C1440" t="s">
        <v>1721</v>
      </c>
    </row>
    <row r="1441" spans="1:3" x14ac:dyDescent="0.35">
      <c r="A1441" t="s">
        <v>209</v>
      </c>
      <c r="B1441" t="s">
        <v>39</v>
      </c>
      <c r="C1441" t="s">
        <v>1722</v>
      </c>
    </row>
    <row r="1442" spans="1:3" x14ac:dyDescent="0.35">
      <c r="A1442" t="s">
        <v>209</v>
      </c>
      <c r="B1442" t="s">
        <v>39</v>
      </c>
      <c r="C1442" t="s">
        <v>1723</v>
      </c>
    </row>
    <row r="1443" spans="1:3" x14ac:dyDescent="0.35">
      <c r="A1443" t="s">
        <v>209</v>
      </c>
      <c r="B1443" t="s">
        <v>39</v>
      </c>
      <c r="C1443" t="s">
        <v>1724</v>
      </c>
    </row>
    <row r="1444" spans="1:3" x14ac:dyDescent="0.35">
      <c r="A1444" t="s">
        <v>209</v>
      </c>
      <c r="B1444" t="s">
        <v>39</v>
      </c>
      <c r="C1444" t="s">
        <v>1725</v>
      </c>
    </row>
    <row r="1445" spans="1:3" x14ac:dyDescent="0.35">
      <c r="A1445" t="s">
        <v>209</v>
      </c>
      <c r="B1445" t="s">
        <v>39</v>
      </c>
      <c r="C1445" t="s">
        <v>1726</v>
      </c>
    </row>
    <row r="1446" spans="1:3" x14ac:dyDescent="0.35">
      <c r="A1446" t="s">
        <v>209</v>
      </c>
      <c r="B1446" t="s">
        <v>39</v>
      </c>
      <c r="C1446" t="s">
        <v>1727</v>
      </c>
    </row>
    <row r="1447" spans="1:3" x14ac:dyDescent="0.35">
      <c r="A1447" t="s">
        <v>209</v>
      </c>
      <c r="B1447" t="s">
        <v>238</v>
      </c>
      <c r="C1447" t="s">
        <v>1728</v>
      </c>
    </row>
    <row r="1448" spans="1:3" x14ac:dyDescent="0.35">
      <c r="A1448" t="s">
        <v>209</v>
      </c>
      <c r="B1448" t="s">
        <v>238</v>
      </c>
      <c r="C1448" t="s">
        <v>1729</v>
      </c>
    </row>
    <row r="1449" spans="1:3" x14ac:dyDescent="0.35">
      <c r="A1449" t="s">
        <v>209</v>
      </c>
      <c r="B1449" t="s">
        <v>238</v>
      </c>
      <c r="C1449" t="s">
        <v>1730</v>
      </c>
    </row>
    <row r="1450" spans="1:3" x14ac:dyDescent="0.35">
      <c r="A1450" t="s">
        <v>209</v>
      </c>
      <c r="B1450" t="s">
        <v>238</v>
      </c>
      <c r="C1450" t="s">
        <v>1731</v>
      </c>
    </row>
    <row r="1451" spans="1:3" x14ac:dyDescent="0.35">
      <c r="A1451" t="s">
        <v>209</v>
      </c>
      <c r="B1451" t="s">
        <v>238</v>
      </c>
      <c r="C1451" t="s">
        <v>1732</v>
      </c>
    </row>
    <row r="1452" spans="1:3" x14ac:dyDescent="0.35">
      <c r="A1452" t="s">
        <v>209</v>
      </c>
      <c r="B1452" t="s">
        <v>238</v>
      </c>
      <c r="C1452" t="s">
        <v>1733</v>
      </c>
    </row>
    <row r="1453" spans="1:3" x14ac:dyDescent="0.35">
      <c r="A1453" t="s">
        <v>209</v>
      </c>
      <c r="B1453" t="s">
        <v>238</v>
      </c>
      <c r="C1453" t="s">
        <v>238</v>
      </c>
    </row>
    <row r="1454" spans="1:3" x14ac:dyDescent="0.35">
      <c r="A1454" t="s">
        <v>209</v>
      </c>
      <c r="B1454" t="s">
        <v>238</v>
      </c>
      <c r="C1454" t="s">
        <v>1734</v>
      </c>
    </row>
    <row r="1455" spans="1:3" x14ac:dyDescent="0.35">
      <c r="A1455" t="s">
        <v>209</v>
      </c>
      <c r="B1455" t="s">
        <v>238</v>
      </c>
      <c r="C1455" t="s">
        <v>1735</v>
      </c>
    </row>
    <row r="1456" spans="1:3" x14ac:dyDescent="0.35">
      <c r="A1456" t="s">
        <v>209</v>
      </c>
      <c r="B1456" t="s">
        <v>238</v>
      </c>
      <c r="C1456" t="s">
        <v>1736</v>
      </c>
    </row>
    <row r="1457" spans="1:3" x14ac:dyDescent="0.35">
      <c r="A1457" t="s">
        <v>209</v>
      </c>
      <c r="B1457" t="s">
        <v>238</v>
      </c>
      <c r="C1457" t="s">
        <v>1737</v>
      </c>
    </row>
    <row r="1458" spans="1:3" x14ac:dyDescent="0.35">
      <c r="A1458" t="s">
        <v>209</v>
      </c>
      <c r="B1458" t="s">
        <v>238</v>
      </c>
      <c r="C1458" t="s">
        <v>1738</v>
      </c>
    </row>
    <row r="1459" spans="1:3" x14ac:dyDescent="0.35">
      <c r="A1459" t="s">
        <v>209</v>
      </c>
      <c r="B1459" t="s">
        <v>238</v>
      </c>
      <c r="C1459" t="s">
        <v>1739</v>
      </c>
    </row>
    <row r="1460" spans="1:3" x14ac:dyDescent="0.35">
      <c r="A1460" t="s">
        <v>209</v>
      </c>
      <c r="B1460" t="s">
        <v>238</v>
      </c>
      <c r="C1460" t="s">
        <v>1740</v>
      </c>
    </row>
    <row r="1461" spans="1:3" x14ac:dyDescent="0.35">
      <c r="A1461" t="s">
        <v>209</v>
      </c>
      <c r="B1461" t="s">
        <v>238</v>
      </c>
      <c r="C1461" t="s">
        <v>1741</v>
      </c>
    </row>
    <row r="1462" spans="1:3" x14ac:dyDescent="0.35">
      <c r="A1462" t="s">
        <v>209</v>
      </c>
      <c r="B1462" t="s">
        <v>238</v>
      </c>
      <c r="C1462" t="s">
        <v>1742</v>
      </c>
    </row>
    <row r="1463" spans="1:3" x14ac:dyDescent="0.35">
      <c r="A1463" t="s">
        <v>209</v>
      </c>
      <c r="B1463" t="s">
        <v>238</v>
      </c>
      <c r="C1463" t="s">
        <v>1743</v>
      </c>
    </row>
    <row r="1464" spans="1:3" x14ac:dyDescent="0.35">
      <c r="A1464" t="s">
        <v>209</v>
      </c>
      <c r="B1464" t="s">
        <v>238</v>
      </c>
      <c r="C1464" t="s">
        <v>1744</v>
      </c>
    </row>
    <row r="1465" spans="1:3" x14ac:dyDescent="0.35">
      <c r="A1465" t="s">
        <v>209</v>
      </c>
      <c r="B1465" t="s">
        <v>238</v>
      </c>
      <c r="C1465" t="s">
        <v>1745</v>
      </c>
    </row>
    <row r="1466" spans="1:3" x14ac:dyDescent="0.35">
      <c r="A1466" t="s">
        <v>209</v>
      </c>
      <c r="B1466" t="s">
        <v>238</v>
      </c>
      <c r="C1466" t="s">
        <v>1746</v>
      </c>
    </row>
    <row r="1467" spans="1:3" x14ac:dyDescent="0.35">
      <c r="A1467" t="s">
        <v>209</v>
      </c>
      <c r="B1467" t="s">
        <v>238</v>
      </c>
      <c r="C1467" t="s">
        <v>1747</v>
      </c>
    </row>
    <row r="1468" spans="1:3" x14ac:dyDescent="0.35">
      <c r="A1468" t="s">
        <v>209</v>
      </c>
      <c r="B1468" t="s">
        <v>252</v>
      </c>
      <c r="C1468" t="s">
        <v>1748</v>
      </c>
    </row>
    <row r="1469" spans="1:3" x14ac:dyDescent="0.35">
      <c r="A1469" t="s">
        <v>209</v>
      </c>
      <c r="B1469" t="s">
        <v>252</v>
      </c>
      <c r="C1469" t="s">
        <v>1749</v>
      </c>
    </row>
    <row r="1470" spans="1:3" x14ac:dyDescent="0.35">
      <c r="A1470" t="s">
        <v>209</v>
      </c>
      <c r="B1470" t="s">
        <v>252</v>
      </c>
      <c r="C1470" t="s">
        <v>1750</v>
      </c>
    </row>
    <row r="1471" spans="1:3" x14ac:dyDescent="0.35">
      <c r="A1471" t="s">
        <v>209</v>
      </c>
      <c r="B1471" t="s">
        <v>252</v>
      </c>
      <c r="C1471" t="s">
        <v>1751</v>
      </c>
    </row>
    <row r="1472" spans="1:3" x14ac:dyDescent="0.35">
      <c r="A1472" t="s">
        <v>209</v>
      </c>
      <c r="B1472" t="s">
        <v>252</v>
      </c>
      <c r="C1472" t="s">
        <v>1752</v>
      </c>
    </row>
    <row r="1473" spans="1:3" x14ac:dyDescent="0.35">
      <c r="A1473" t="s">
        <v>209</v>
      </c>
      <c r="B1473" t="s">
        <v>252</v>
      </c>
      <c r="C1473" t="s">
        <v>1753</v>
      </c>
    </row>
    <row r="1474" spans="1:3" x14ac:dyDescent="0.35">
      <c r="A1474" t="s">
        <v>209</v>
      </c>
      <c r="B1474" t="s">
        <v>252</v>
      </c>
      <c r="C1474" t="s">
        <v>1754</v>
      </c>
    </row>
    <row r="1475" spans="1:3" x14ac:dyDescent="0.35">
      <c r="A1475" t="s">
        <v>209</v>
      </c>
      <c r="B1475" t="s">
        <v>252</v>
      </c>
      <c r="C1475" t="s">
        <v>1755</v>
      </c>
    </row>
    <row r="1476" spans="1:3" x14ac:dyDescent="0.35">
      <c r="A1476" t="s">
        <v>209</v>
      </c>
      <c r="B1476" t="s">
        <v>252</v>
      </c>
      <c r="C1476" t="s">
        <v>1756</v>
      </c>
    </row>
    <row r="1477" spans="1:3" x14ac:dyDescent="0.35">
      <c r="A1477" t="s">
        <v>209</v>
      </c>
      <c r="B1477" t="s">
        <v>252</v>
      </c>
      <c r="C1477" t="s">
        <v>1757</v>
      </c>
    </row>
    <row r="1478" spans="1:3" x14ac:dyDescent="0.35">
      <c r="A1478" t="s">
        <v>209</v>
      </c>
      <c r="B1478" t="s">
        <v>252</v>
      </c>
      <c r="C1478" t="s">
        <v>1758</v>
      </c>
    </row>
    <row r="1479" spans="1:3" x14ac:dyDescent="0.35">
      <c r="A1479" t="s">
        <v>209</v>
      </c>
      <c r="B1479" t="s">
        <v>252</v>
      </c>
      <c r="C1479" t="s">
        <v>1759</v>
      </c>
    </row>
    <row r="1480" spans="1:3" x14ac:dyDescent="0.35">
      <c r="A1480" t="s">
        <v>209</v>
      </c>
      <c r="B1480" t="s">
        <v>252</v>
      </c>
      <c r="C1480" t="s">
        <v>1760</v>
      </c>
    </row>
    <row r="1481" spans="1:3" x14ac:dyDescent="0.35">
      <c r="A1481" t="s">
        <v>209</v>
      </c>
      <c r="B1481" t="s">
        <v>252</v>
      </c>
      <c r="C1481" t="s">
        <v>1761</v>
      </c>
    </row>
    <row r="1482" spans="1:3" x14ac:dyDescent="0.35">
      <c r="A1482" t="s">
        <v>209</v>
      </c>
      <c r="B1482" t="s">
        <v>252</v>
      </c>
      <c r="C1482" t="s">
        <v>1762</v>
      </c>
    </row>
    <row r="1483" spans="1:3" x14ac:dyDescent="0.35">
      <c r="A1483" t="s">
        <v>209</v>
      </c>
      <c r="B1483" t="s">
        <v>252</v>
      </c>
      <c r="C1483" t="s">
        <v>1763</v>
      </c>
    </row>
    <row r="1484" spans="1:3" x14ac:dyDescent="0.35">
      <c r="A1484" t="s">
        <v>209</v>
      </c>
      <c r="B1484" t="s">
        <v>252</v>
      </c>
      <c r="C1484" t="s">
        <v>1764</v>
      </c>
    </row>
    <row r="1485" spans="1:3" x14ac:dyDescent="0.35">
      <c r="A1485" t="s">
        <v>209</v>
      </c>
      <c r="B1485" t="s">
        <v>252</v>
      </c>
      <c r="C1485" t="s">
        <v>1765</v>
      </c>
    </row>
    <row r="1486" spans="1:3" x14ac:dyDescent="0.35">
      <c r="A1486" t="s">
        <v>209</v>
      </c>
      <c r="B1486" t="s">
        <v>252</v>
      </c>
      <c r="C1486" t="s">
        <v>1766</v>
      </c>
    </row>
    <row r="1487" spans="1:3" x14ac:dyDescent="0.35">
      <c r="A1487" t="s">
        <v>209</v>
      </c>
      <c r="B1487" t="s">
        <v>252</v>
      </c>
      <c r="C1487" t="s">
        <v>1767</v>
      </c>
    </row>
    <row r="1488" spans="1:3" x14ac:dyDescent="0.35">
      <c r="A1488" t="s">
        <v>209</v>
      </c>
      <c r="B1488" t="s">
        <v>252</v>
      </c>
      <c r="C1488" t="s">
        <v>1768</v>
      </c>
    </row>
    <row r="1489" spans="1:3" x14ac:dyDescent="0.35">
      <c r="A1489" t="s">
        <v>209</v>
      </c>
      <c r="B1489" t="s">
        <v>252</v>
      </c>
      <c r="C1489" t="s">
        <v>1769</v>
      </c>
    </row>
    <row r="1490" spans="1:3" x14ac:dyDescent="0.35">
      <c r="A1490" t="s">
        <v>209</v>
      </c>
      <c r="B1490" t="s">
        <v>252</v>
      </c>
      <c r="C1490" t="s">
        <v>1770</v>
      </c>
    </row>
    <row r="1491" spans="1:3" x14ac:dyDescent="0.35">
      <c r="A1491" t="s">
        <v>209</v>
      </c>
      <c r="B1491" t="s">
        <v>252</v>
      </c>
      <c r="C1491" t="s">
        <v>1771</v>
      </c>
    </row>
    <row r="1492" spans="1:3" x14ac:dyDescent="0.35">
      <c r="A1492" t="s">
        <v>209</v>
      </c>
      <c r="B1492" t="s">
        <v>252</v>
      </c>
      <c r="C1492" t="s">
        <v>1772</v>
      </c>
    </row>
    <row r="1493" spans="1:3" x14ac:dyDescent="0.35">
      <c r="A1493" t="s">
        <v>209</v>
      </c>
      <c r="B1493" t="s">
        <v>252</v>
      </c>
      <c r="C1493" t="s">
        <v>1773</v>
      </c>
    </row>
    <row r="1494" spans="1:3" x14ac:dyDescent="0.35">
      <c r="A1494" t="s">
        <v>209</v>
      </c>
      <c r="B1494" t="s">
        <v>252</v>
      </c>
      <c r="C1494" t="s">
        <v>1774</v>
      </c>
    </row>
    <row r="1495" spans="1:3" x14ac:dyDescent="0.35">
      <c r="A1495" t="s">
        <v>209</v>
      </c>
      <c r="B1495" t="s">
        <v>252</v>
      </c>
      <c r="C1495" t="s">
        <v>1775</v>
      </c>
    </row>
    <row r="1496" spans="1:3" x14ac:dyDescent="0.35">
      <c r="A1496" t="s">
        <v>209</v>
      </c>
      <c r="B1496" t="s">
        <v>252</v>
      </c>
      <c r="C1496" t="s">
        <v>1776</v>
      </c>
    </row>
    <row r="1497" spans="1:3" x14ac:dyDescent="0.35">
      <c r="A1497" t="s">
        <v>209</v>
      </c>
      <c r="B1497" t="s">
        <v>252</v>
      </c>
      <c r="C1497" t="s">
        <v>1777</v>
      </c>
    </row>
    <row r="1498" spans="1:3" x14ac:dyDescent="0.35">
      <c r="A1498" t="s">
        <v>209</v>
      </c>
      <c r="B1498" t="s">
        <v>265</v>
      </c>
      <c r="C1498" t="s">
        <v>1778</v>
      </c>
    </row>
    <row r="1499" spans="1:3" x14ac:dyDescent="0.35">
      <c r="A1499" t="s">
        <v>209</v>
      </c>
      <c r="B1499" t="s">
        <v>265</v>
      </c>
      <c r="C1499" t="s">
        <v>1779</v>
      </c>
    </row>
    <row r="1500" spans="1:3" x14ac:dyDescent="0.35">
      <c r="A1500" t="s">
        <v>209</v>
      </c>
      <c r="B1500" t="s">
        <v>265</v>
      </c>
      <c r="C1500" t="s">
        <v>1780</v>
      </c>
    </row>
    <row r="1501" spans="1:3" x14ac:dyDescent="0.35">
      <c r="A1501" t="s">
        <v>209</v>
      </c>
      <c r="B1501" t="s">
        <v>265</v>
      </c>
      <c r="C1501" t="s">
        <v>1781</v>
      </c>
    </row>
    <row r="1502" spans="1:3" x14ac:dyDescent="0.35">
      <c r="A1502" t="s">
        <v>209</v>
      </c>
      <c r="B1502" t="s">
        <v>265</v>
      </c>
      <c r="C1502" t="s">
        <v>1782</v>
      </c>
    </row>
    <row r="1503" spans="1:3" x14ac:dyDescent="0.35">
      <c r="A1503" t="s">
        <v>209</v>
      </c>
      <c r="B1503" t="s">
        <v>265</v>
      </c>
      <c r="C1503" t="s">
        <v>1783</v>
      </c>
    </row>
    <row r="1504" spans="1:3" x14ac:dyDescent="0.35">
      <c r="A1504" t="s">
        <v>209</v>
      </c>
      <c r="B1504" t="s">
        <v>265</v>
      </c>
      <c r="C1504" t="s">
        <v>1784</v>
      </c>
    </row>
    <row r="1505" spans="1:3" x14ac:dyDescent="0.35">
      <c r="A1505" t="s">
        <v>209</v>
      </c>
      <c r="B1505" t="s">
        <v>265</v>
      </c>
      <c r="C1505" t="s">
        <v>1785</v>
      </c>
    </row>
    <row r="1506" spans="1:3" x14ac:dyDescent="0.35">
      <c r="A1506" t="s">
        <v>209</v>
      </c>
      <c r="B1506" t="s">
        <v>265</v>
      </c>
      <c r="C1506" t="s">
        <v>1786</v>
      </c>
    </row>
    <row r="1507" spans="1:3" x14ac:dyDescent="0.35">
      <c r="A1507" t="s">
        <v>209</v>
      </c>
      <c r="B1507" t="s">
        <v>265</v>
      </c>
      <c r="C1507" t="s">
        <v>1787</v>
      </c>
    </row>
    <row r="1508" spans="1:3" x14ac:dyDescent="0.35">
      <c r="A1508" t="s">
        <v>209</v>
      </c>
      <c r="B1508" t="s">
        <v>265</v>
      </c>
      <c r="C1508" t="s">
        <v>1788</v>
      </c>
    </row>
    <row r="1509" spans="1:3" x14ac:dyDescent="0.35">
      <c r="A1509" t="s">
        <v>209</v>
      </c>
      <c r="B1509" t="s">
        <v>265</v>
      </c>
      <c r="C1509" t="s">
        <v>1789</v>
      </c>
    </row>
    <row r="1510" spans="1:3" x14ac:dyDescent="0.35">
      <c r="A1510" t="s">
        <v>209</v>
      </c>
      <c r="B1510" t="s">
        <v>265</v>
      </c>
      <c r="C1510" t="s">
        <v>1790</v>
      </c>
    </row>
    <row r="1511" spans="1:3" x14ac:dyDescent="0.35">
      <c r="A1511" t="s">
        <v>209</v>
      </c>
      <c r="B1511" t="s">
        <v>265</v>
      </c>
      <c r="C1511" t="s">
        <v>1791</v>
      </c>
    </row>
    <row r="1512" spans="1:3" x14ac:dyDescent="0.35">
      <c r="A1512" t="s">
        <v>209</v>
      </c>
      <c r="B1512" t="s">
        <v>265</v>
      </c>
      <c r="C1512" t="s">
        <v>1792</v>
      </c>
    </row>
    <row r="1513" spans="1:3" x14ac:dyDescent="0.35">
      <c r="A1513" t="s">
        <v>209</v>
      </c>
      <c r="B1513" t="s">
        <v>265</v>
      </c>
      <c r="C1513" t="s">
        <v>1793</v>
      </c>
    </row>
    <row r="1514" spans="1:3" x14ac:dyDescent="0.35">
      <c r="A1514" t="s">
        <v>209</v>
      </c>
      <c r="B1514" t="s">
        <v>265</v>
      </c>
      <c r="C1514" t="s">
        <v>1794</v>
      </c>
    </row>
    <row r="1515" spans="1:3" x14ac:dyDescent="0.35">
      <c r="A1515" t="s">
        <v>209</v>
      </c>
      <c r="B1515" t="s">
        <v>265</v>
      </c>
      <c r="C1515" t="s">
        <v>1795</v>
      </c>
    </row>
    <row r="1516" spans="1:3" x14ac:dyDescent="0.35">
      <c r="A1516" t="s">
        <v>209</v>
      </c>
      <c r="B1516" t="s">
        <v>265</v>
      </c>
      <c r="C1516" t="s">
        <v>1796</v>
      </c>
    </row>
    <row r="1517" spans="1:3" x14ac:dyDescent="0.35">
      <c r="A1517" t="s">
        <v>209</v>
      </c>
      <c r="B1517" t="s">
        <v>265</v>
      </c>
      <c r="C1517" t="s">
        <v>1797</v>
      </c>
    </row>
    <row r="1518" spans="1:3" x14ac:dyDescent="0.35">
      <c r="A1518" t="s">
        <v>209</v>
      </c>
      <c r="B1518" t="s">
        <v>265</v>
      </c>
      <c r="C1518" t="s">
        <v>1798</v>
      </c>
    </row>
    <row r="1519" spans="1:3" x14ac:dyDescent="0.35">
      <c r="A1519" t="s">
        <v>209</v>
      </c>
      <c r="B1519" t="s">
        <v>265</v>
      </c>
      <c r="C1519" t="s">
        <v>1799</v>
      </c>
    </row>
    <row r="1520" spans="1:3" x14ac:dyDescent="0.35">
      <c r="A1520" t="s">
        <v>209</v>
      </c>
      <c r="B1520" t="s">
        <v>265</v>
      </c>
      <c r="C1520" t="s">
        <v>265</v>
      </c>
    </row>
    <row r="1521" spans="1:3" x14ac:dyDescent="0.35">
      <c r="A1521" t="s">
        <v>209</v>
      </c>
      <c r="B1521" t="s">
        <v>265</v>
      </c>
      <c r="C1521" t="s">
        <v>1800</v>
      </c>
    </row>
    <row r="1522" spans="1:3" x14ac:dyDescent="0.35">
      <c r="A1522" t="s">
        <v>209</v>
      </c>
      <c r="B1522" t="s">
        <v>265</v>
      </c>
      <c r="C1522" t="s">
        <v>1801</v>
      </c>
    </row>
    <row r="1523" spans="1:3" x14ac:dyDescent="0.35">
      <c r="A1523" t="s">
        <v>209</v>
      </c>
      <c r="B1523" t="s">
        <v>265</v>
      </c>
      <c r="C1523" t="s">
        <v>1802</v>
      </c>
    </row>
    <row r="1524" spans="1:3" x14ac:dyDescent="0.35">
      <c r="A1524" t="s">
        <v>209</v>
      </c>
      <c r="B1524" t="s">
        <v>265</v>
      </c>
      <c r="C1524" t="s">
        <v>1803</v>
      </c>
    </row>
    <row r="1525" spans="1:3" x14ac:dyDescent="0.35">
      <c r="A1525" t="s">
        <v>209</v>
      </c>
      <c r="B1525" t="s">
        <v>265</v>
      </c>
      <c r="C1525" t="s">
        <v>1804</v>
      </c>
    </row>
    <row r="1526" spans="1:3" x14ac:dyDescent="0.35">
      <c r="A1526" t="s">
        <v>209</v>
      </c>
      <c r="B1526" t="s">
        <v>265</v>
      </c>
      <c r="C1526" t="s">
        <v>1805</v>
      </c>
    </row>
    <row r="1527" spans="1:3" x14ac:dyDescent="0.35">
      <c r="A1527" t="s">
        <v>209</v>
      </c>
      <c r="B1527" t="s">
        <v>265</v>
      </c>
      <c r="C1527" t="s">
        <v>1806</v>
      </c>
    </row>
    <row r="1528" spans="1:3" x14ac:dyDescent="0.35">
      <c r="A1528" t="s">
        <v>209</v>
      </c>
      <c r="B1528" t="s">
        <v>265</v>
      </c>
      <c r="C1528" t="s">
        <v>1807</v>
      </c>
    </row>
    <row r="1529" spans="1:3" x14ac:dyDescent="0.35">
      <c r="A1529" t="s">
        <v>209</v>
      </c>
      <c r="B1529" t="s">
        <v>265</v>
      </c>
      <c r="C1529" t="s">
        <v>1808</v>
      </c>
    </row>
    <row r="1530" spans="1:3" x14ac:dyDescent="0.35">
      <c r="A1530" t="s">
        <v>209</v>
      </c>
      <c r="B1530" t="s">
        <v>265</v>
      </c>
      <c r="C1530" t="s">
        <v>1809</v>
      </c>
    </row>
    <row r="1531" spans="1:3" x14ac:dyDescent="0.35">
      <c r="A1531" t="s">
        <v>209</v>
      </c>
      <c r="B1531" t="s">
        <v>265</v>
      </c>
      <c r="C1531" t="s">
        <v>1810</v>
      </c>
    </row>
    <row r="1532" spans="1:3" x14ac:dyDescent="0.35">
      <c r="A1532" t="s">
        <v>209</v>
      </c>
      <c r="B1532" t="s">
        <v>265</v>
      </c>
      <c r="C1532" t="s">
        <v>1811</v>
      </c>
    </row>
    <row r="1533" spans="1:3" x14ac:dyDescent="0.35">
      <c r="A1533" t="s">
        <v>209</v>
      </c>
      <c r="B1533" t="s">
        <v>265</v>
      </c>
      <c r="C1533" t="s">
        <v>1812</v>
      </c>
    </row>
    <row r="1534" spans="1:3" x14ac:dyDescent="0.35">
      <c r="A1534" t="s">
        <v>209</v>
      </c>
      <c r="B1534" t="s">
        <v>265</v>
      </c>
      <c r="C1534" t="s">
        <v>1813</v>
      </c>
    </row>
    <row r="1535" spans="1:3" x14ac:dyDescent="0.35">
      <c r="A1535" t="s">
        <v>209</v>
      </c>
      <c r="B1535" t="s">
        <v>265</v>
      </c>
      <c r="C1535" t="s">
        <v>1814</v>
      </c>
    </row>
    <row r="1536" spans="1:3" x14ac:dyDescent="0.35">
      <c r="A1536" t="s">
        <v>209</v>
      </c>
      <c r="B1536" t="s">
        <v>265</v>
      </c>
      <c r="C1536" t="s">
        <v>1815</v>
      </c>
    </row>
    <row r="1537" spans="1:3" x14ac:dyDescent="0.35">
      <c r="A1537" t="s">
        <v>209</v>
      </c>
      <c r="B1537" t="s">
        <v>265</v>
      </c>
      <c r="C1537" t="s">
        <v>73</v>
      </c>
    </row>
    <row r="1538" spans="1:3" x14ac:dyDescent="0.35">
      <c r="A1538" t="s">
        <v>209</v>
      </c>
      <c r="B1538" t="s">
        <v>265</v>
      </c>
      <c r="C1538" t="s">
        <v>1816</v>
      </c>
    </row>
    <row r="1539" spans="1:3" x14ac:dyDescent="0.35">
      <c r="A1539" t="s">
        <v>209</v>
      </c>
      <c r="B1539" t="s">
        <v>265</v>
      </c>
      <c r="C1539" t="s">
        <v>1817</v>
      </c>
    </row>
    <row r="1540" spans="1:3" x14ac:dyDescent="0.35">
      <c r="A1540" t="s">
        <v>209</v>
      </c>
      <c r="B1540" t="s">
        <v>265</v>
      </c>
      <c r="C1540" t="s">
        <v>1818</v>
      </c>
    </row>
    <row r="1541" spans="1:3" x14ac:dyDescent="0.35">
      <c r="A1541" t="s">
        <v>209</v>
      </c>
      <c r="B1541" t="s">
        <v>265</v>
      </c>
      <c r="C1541" t="s">
        <v>1819</v>
      </c>
    </row>
    <row r="1542" spans="1:3" x14ac:dyDescent="0.35">
      <c r="A1542" t="s">
        <v>209</v>
      </c>
      <c r="B1542" t="s">
        <v>265</v>
      </c>
      <c r="C1542" t="s">
        <v>1820</v>
      </c>
    </row>
    <row r="1543" spans="1:3" x14ac:dyDescent="0.35">
      <c r="A1543" t="s">
        <v>209</v>
      </c>
      <c r="B1543" t="s">
        <v>265</v>
      </c>
      <c r="C1543" t="s">
        <v>1821</v>
      </c>
    </row>
    <row r="1544" spans="1:3" x14ac:dyDescent="0.35">
      <c r="A1544" t="s">
        <v>209</v>
      </c>
      <c r="B1544" t="s">
        <v>265</v>
      </c>
      <c r="C1544" t="s">
        <v>1822</v>
      </c>
    </row>
    <row r="1545" spans="1:3" x14ac:dyDescent="0.35">
      <c r="A1545" t="s">
        <v>209</v>
      </c>
      <c r="B1545" t="s">
        <v>66</v>
      </c>
      <c r="C1545" t="s">
        <v>1823</v>
      </c>
    </row>
    <row r="1546" spans="1:3" x14ac:dyDescent="0.35">
      <c r="A1546" t="s">
        <v>209</v>
      </c>
      <c r="B1546" t="s">
        <v>66</v>
      </c>
      <c r="C1546" t="s">
        <v>1824</v>
      </c>
    </row>
    <row r="1547" spans="1:3" x14ac:dyDescent="0.35">
      <c r="A1547" t="s">
        <v>209</v>
      </c>
      <c r="B1547" t="s">
        <v>66</v>
      </c>
      <c r="C1547" t="s">
        <v>1825</v>
      </c>
    </row>
    <row r="1548" spans="1:3" x14ac:dyDescent="0.35">
      <c r="A1548" t="s">
        <v>209</v>
      </c>
      <c r="B1548" t="s">
        <v>66</v>
      </c>
      <c r="C1548" t="s">
        <v>1826</v>
      </c>
    </row>
    <row r="1549" spans="1:3" x14ac:dyDescent="0.35">
      <c r="A1549" t="s">
        <v>209</v>
      </c>
      <c r="B1549" t="s">
        <v>66</v>
      </c>
      <c r="C1549" t="s">
        <v>1827</v>
      </c>
    </row>
    <row r="1550" spans="1:3" x14ac:dyDescent="0.35">
      <c r="A1550" t="s">
        <v>209</v>
      </c>
      <c r="B1550" t="s">
        <v>66</v>
      </c>
      <c r="C1550" t="s">
        <v>1828</v>
      </c>
    </row>
    <row r="1551" spans="1:3" x14ac:dyDescent="0.35">
      <c r="A1551" t="s">
        <v>209</v>
      </c>
      <c r="B1551" t="s">
        <v>66</v>
      </c>
      <c r="C1551" t="s">
        <v>1829</v>
      </c>
    </row>
    <row r="1552" spans="1:3" x14ac:dyDescent="0.35">
      <c r="A1552" t="s">
        <v>209</v>
      </c>
      <c r="B1552" t="s">
        <v>66</v>
      </c>
      <c r="C1552" t="s">
        <v>1830</v>
      </c>
    </row>
    <row r="1553" spans="1:3" x14ac:dyDescent="0.35">
      <c r="A1553" t="s">
        <v>209</v>
      </c>
      <c r="B1553" t="s">
        <v>66</v>
      </c>
      <c r="C1553" t="s">
        <v>1831</v>
      </c>
    </row>
    <row r="1554" spans="1:3" x14ac:dyDescent="0.35">
      <c r="A1554" t="s">
        <v>209</v>
      </c>
      <c r="B1554" t="s">
        <v>66</v>
      </c>
      <c r="C1554" t="s">
        <v>1832</v>
      </c>
    </row>
    <row r="1555" spans="1:3" x14ac:dyDescent="0.35">
      <c r="A1555" t="s">
        <v>209</v>
      </c>
      <c r="B1555" t="s">
        <v>66</v>
      </c>
      <c r="C1555" t="s">
        <v>1833</v>
      </c>
    </row>
    <row r="1556" spans="1:3" x14ac:dyDescent="0.35">
      <c r="A1556" t="s">
        <v>209</v>
      </c>
      <c r="B1556" t="s">
        <v>66</v>
      </c>
      <c r="C1556" t="s">
        <v>1834</v>
      </c>
    </row>
    <row r="1557" spans="1:3" x14ac:dyDescent="0.35">
      <c r="A1557" t="s">
        <v>209</v>
      </c>
      <c r="B1557" t="s">
        <v>66</v>
      </c>
      <c r="C1557" t="s">
        <v>1835</v>
      </c>
    </row>
    <row r="1558" spans="1:3" x14ac:dyDescent="0.35">
      <c r="A1558" t="s">
        <v>209</v>
      </c>
      <c r="B1558" t="s">
        <v>66</v>
      </c>
      <c r="C1558" t="s">
        <v>1836</v>
      </c>
    </row>
    <row r="1559" spans="1:3" x14ac:dyDescent="0.35">
      <c r="A1559" t="s">
        <v>209</v>
      </c>
      <c r="B1559" t="s">
        <v>66</v>
      </c>
      <c r="C1559" t="s">
        <v>1837</v>
      </c>
    </row>
    <row r="1560" spans="1:3" x14ac:dyDescent="0.35">
      <c r="A1560" t="s">
        <v>209</v>
      </c>
      <c r="B1560" t="s">
        <v>66</v>
      </c>
      <c r="C1560" t="s">
        <v>1838</v>
      </c>
    </row>
    <row r="1561" spans="1:3" x14ac:dyDescent="0.35">
      <c r="A1561" t="s">
        <v>209</v>
      </c>
      <c r="B1561" t="s">
        <v>66</v>
      </c>
      <c r="C1561" t="s">
        <v>1839</v>
      </c>
    </row>
    <row r="1562" spans="1:3" x14ac:dyDescent="0.35">
      <c r="A1562" t="s">
        <v>209</v>
      </c>
      <c r="B1562" t="s">
        <v>66</v>
      </c>
      <c r="C1562" t="s">
        <v>1840</v>
      </c>
    </row>
    <row r="1563" spans="1:3" x14ac:dyDescent="0.35">
      <c r="A1563" t="s">
        <v>209</v>
      </c>
      <c r="B1563" t="s">
        <v>66</v>
      </c>
      <c r="C1563" t="s">
        <v>1841</v>
      </c>
    </row>
    <row r="1564" spans="1:3" x14ac:dyDescent="0.35">
      <c r="A1564" t="s">
        <v>209</v>
      </c>
      <c r="B1564" t="s">
        <v>66</v>
      </c>
      <c r="C1564" t="s">
        <v>1842</v>
      </c>
    </row>
    <row r="1565" spans="1:3" x14ac:dyDescent="0.35">
      <c r="A1565" t="s">
        <v>209</v>
      </c>
      <c r="B1565" t="s">
        <v>66</v>
      </c>
      <c r="C1565" t="s">
        <v>1843</v>
      </c>
    </row>
    <row r="1566" spans="1:3" x14ac:dyDescent="0.35">
      <c r="A1566" t="s">
        <v>209</v>
      </c>
      <c r="B1566" t="s">
        <v>66</v>
      </c>
      <c r="C1566" t="s">
        <v>1844</v>
      </c>
    </row>
    <row r="1567" spans="1:3" x14ac:dyDescent="0.35">
      <c r="A1567" t="s">
        <v>209</v>
      </c>
      <c r="B1567" t="s">
        <v>66</v>
      </c>
      <c r="C1567" t="s">
        <v>1845</v>
      </c>
    </row>
    <row r="1568" spans="1:3" x14ac:dyDescent="0.35">
      <c r="A1568" t="s">
        <v>209</v>
      </c>
      <c r="B1568" t="s">
        <v>66</v>
      </c>
      <c r="C1568" t="s">
        <v>1846</v>
      </c>
    </row>
    <row r="1569" spans="1:3" x14ac:dyDescent="0.35">
      <c r="A1569" t="s">
        <v>209</v>
      </c>
      <c r="B1569" t="s">
        <v>66</v>
      </c>
      <c r="C1569" t="s">
        <v>1847</v>
      </c>
    </row>
    <row r="1570" spans="1:3" x14ac:dyDescent="0.35">
      <c r="A1570" t="s">
        <v>209</v>
      </c>
      <c r="B1570" t="s">
        <v>66</v>
      </c>
      <c r="C1570" t="s">
        <v>66</v>
      </c>
    </row>
    <row r="1571" spans="1:3" x14ac:dyDescent="0.35">
      <c r="A1571" t="s">
        <v>209</v>
      </c>
      <c r="B1571" t="s">
        <v>66</v>
      </c>
      <c r="C1571" t="s">
        <v>1848</v>
      </c>
    </row>
    <row r="1572" spans="1:3" x14ac:dyDescent="0.35">
      <c r="A1572" t="s">
        <v>209</v>
      </c>
      <c r="B1572" t="s">
        <v>66</v>
      </c>
      <c r="C1572" t="s">
        <v>1849</v>
      </c>
    </row>
    <row r="1573" spans="1:3" x14ac:dyDescent="0.35">
      <c r="A1573" t="s">
        <v>209</v>
      </c>
      <c r="B1573" t="s">
        <v>66</v>
      </c>
      <c r="C1573" t="s">
        <v>1850</v>
      </c>
    </row>
    <row r="1574" spans="1:3" x14ac:dyDescent="0.35">
      <c r="A1574" t="s">
        <v>209</v>
      </c>
      <c r="B1574" t="s">
        <v>66</v>
      </c>
      <c r="C1574" t="s">
        <v>1851</v>
      </c>
    </row>
    <row r="1575" spans="1:3" x14ac:dyDescent="0.35">
      <c r="A1575" t="s">
        <v>209</v>
      </c>
      <c r="B1575" t="s">
        <v>66</v>
      </c>
      <c r="C1575" t="s">
        <v>1852</v>
      </c>
    </row>
    <row r="1576" spans="1:3" x14ac:dyDescent="0.35">
      <c r="A1576" t="s">
        <v>209</v>
      </c>
      <c r="B1576" t="s">
        <v>66</v>
      </c>
      <c r="C1576" t="s">
        <v>1853</v>
      </c>
    </row>
    <row r="1577" spans="1:3" x14ac:dyDescent="0.35">
      <c r="A1577" t="s">
        <v>209</v>
      </c>
      <c r="B1577" t="s">
        <v>66</v>
      </c>
      <c r="C1577" t="s">
        <v>1854</v>
      </c>
    </row>
    <row r="1578" spans="1:3" x14ac:dyDescent="0.35">
      <c r="A1578" t="s">
        <v>209</v>
      </c>
      <c r="B1578" t="s">
        <v>66</v>
      </c>
      <c r="C1578" t="s">
        <v>1855</v>
      </c>
    </row>
    <row r="1579" spans="1:3" x14ac:dyDescent="0.35">
      <c r="A1579" t="s">
        <v>209</v>
      </c>
      <c r="B1579" t="s">
        <v>66</v>
      </c>
      <c r="C1579" t="s">
        <v>1856</v>
      </c>
    </row>
    <row r="1580" spans="1:3" x14ac:dyDescent="0.35">
      <c r="A1580" t="s">
        <v>209</v>
      </c>
      <c r="B1580" t="s">
        <v>66</v>
      </c>
      <c r="C1580" t="s">
        <v>1857</v>
      </c>
    </row>
    <row r="1581" spans="1:3" x14ac:dyDescent="0.35">
      <c r="A1581" t="s">
        <v>209</v>
      </c>
      <c r="B1581" t="s">
        <v>66</v>
      </c>
      <c r="C1581" t="s">
        <v>1858</v>
      </c>
    </row>
    <row r="1582" spans="1:3" x14ac:dyDescent="0.35">
      <c r="A1582" t="s">
        <v>209</v>
      </c>
      <c r="B1582" t="s">
        <v>66</v>
      </c>
      <c r="C1582" t="s">
        <v>1859</v>
      </c>
    </row>
    <row r="1583" spans="1:3" x14ac:dyDescent="0.35">
      <c r="A1583" t="s">
        <v>209</v>
      </c>
      <c r="B1583" t="s">
        <v>66</v>
      </c>
      <c r="C1583" t="s">
        <v>1860</v>
      </c>
    </row>
    <row r="1584" spans="1:3" x14ac:dyDescent="0.35">
      <c r="A1584" t="s">
        <v>209</v>
      </c>
      <c r="B1584" t="s">
        <v>66</v>
      </c>
      <c r="C1584" t="s">
        <v>1861</v>
      </c>
    </row>
    <row r="1585" spans="1:3" x14ac:dyDescent="0.35">
      <c r="A1585" t="s">
        <v>209</v>
      </c>
      <c r="B1585" t="s">
        <v>66</v>
      </c>
      <c r="C1585" t="s">
        <v>1862</v>
      </c>
    </row>
    <row r="1586" spans="1:3" x14ac:dyDescent="0.35">
      <c r="A1586" t="s">
        <v>209</v>
      </c>
      <c r="B1586" t="s">
        <v>66</v>
      </c>
      <c r="C1586" t="s">
        <v>1863</v>
      </c>
    </row>
    <row r="1587" spans="1:3" x14ac:dyDescent="0.35">
      <c r="A1587" t="s">
        <v>209</v>
      </c>
      <c r="B1587" t="s">
        <v>66</v>
      </c>
      <c r="C1587" t="s">
        <v>1864</v>
      </c>
    </row>
    <row r="1588" spans="1:3" x14ac:dyDescent="0.35">
      <c r="A1588" t="s">
        <v>209</v>
      </c>
      <c r="B1588" t="s">
        <v>66</v>
      </c>
      <c r="C1588" t="s">
        <v>1865</v>
      </c>
    </row>
    <row r="1589" spans="1:3" x14ac:dyDescent="0.35">
      <c r="A1589" t="s">
        <v>209</v>
      </c>
      <c r="B1589" t="s">
        <v>278</v>
      </c>
      <c r="C1589" t="s">
        <v>1866</v>
      </c>
    </row>
    <row r="1590" spans="1:3" x14ac:dyDescent="0.35">
      <c r="A1590" t="s">
        <v>209</v>
      </c>
      <c r="B1590" t="s">
        <v>278</v>
      </c>
      <c r="C1590" t="s">
        <v>1867</v>
      </c>
    </row>
    <row r="1591" spans="1:3" x14ac:dyDescent="0.35">
      <c r="A1591" t="s">
        <v>209</v>
      </c>
      <c r="B1591" t="s">
        <v>278</v>
      </c>
      <c r="C1591" t="s">
        <v>1868</v>
      </c>
    </row>
    <row r="1592" spans="1:3" x14ac:dyDescent="0.35">
      <c r="A1592" t="s">
        <v>209</v>
      </c>
      <c r="B1592" t="s">
        <v>278</v>
      </c>
      <c r="C1592" t="s">
        <v>1869</v>
      </c>
    </row>
    <row r="1593" spans="1:3" x14ac:dyDescent="0.35">
      <c r="A1593" t="s">
        <v>209</v>
      </c>
      <c r="B1593" t="s">
        <v>278</v>
      </c>
      <c r="C1593" t="s">
        <v>1870</v>
      </c>
    </row>
    <row r="1594" spans="1:3" x14ac:dyDescent="0.35">
      <c r="A1594" t="s">
        <v>209</v>
      </c>
      <c r="B1594" t="s">
        <v>278</v>
      </c>
      <c r="C1594" t="s">
        <v>1871</v>
      </c>
    </row>
    <row r="1595" spans="1:3" x14ac:dyDescent="0.35">
      <c r="A1595" t="s">
        <v>209</v>
      </c>
      <c r="B1595" t="s">
        <v>278</v>
      </c>
      <c r="C1595" t="s">
        <v>1872</v>
      </c>
    </row>
    <row r="1596" spans="1:3" x14ac:dyDescent="0.35">
      <c r="A1596" t="s">
        <v>209</v>
      </c>
      <c r="B1596" t="s">
        <v>278</v>
      </c>
      <c r="C1596" t="s">
        <v>1873</v>
      </c>
    </row>
    <row r="1597" spans="1:3" x14ac:dyDescent="0.35">
      <c r="A1597" t="s">
        <v>209</v>
      </c>
      <c r="B1597" t="s">
        <v>278</v>
      </c>
      <c r="C1597" t="s">
        <v>1874</v>
      </c>
    </row>
    <row r="1598" spans="1:3" x14ac:dyDescent="0.35">
      <c r="A1598" t="s">
        <v>209</v>
      </c>
      <c r="B1598" t="s">
        <v>278</v>
      </c>
      <c r="C1598" t="s">
        <v>1875</v>
      </c>
    </row>
    <row r="1599" spans="1:3" x14ac:dyDescent="0.35">
      <c r="A1599" t="s">
        <v>209</v>
      </c>
      <c r="B1599" t="s">
        <v>278</v>
      </c>
      <c r="C1599" t="s">
        <v>1876</v>
      </c>
    </row>
    <row r="1600" spans="1:3" x14ac:dyDescent="0.35">
      <c r="A1600" t="s">
        <v>209</v>
      </c>
      <c r="B1600" t="s">
        <v>278</v>
      </c>
      <c r="C1600" t="s">
        <v>1877</v>
      </c>
    </row>
    <row r="1601" spans="1:3" x14ac:dyDescent="0.35">
      <c r="A1601" t="s">
        <v>209</v>
      </c>
      <c r="B1601" t="s">
        <v>278</v>
      </c>
      <c r="C1601" t="s">
        <v>1878</v>
      </c>
    </row>
    <row r="1602" spans="1:3" x14ac:dyDescent="0.35">
      <c r="A1602" t="s">
        <v>209</v>
      </c>
      <c r="B1602" t="s">
        <v>278</v>
      </c>
      <c r="C1602" t="s">
        <v>1879</v>
      </c>
    </row>
    <row r="1603" spans="1:3" x14ac:dyDescent="0.35">
      <c r="A1603" t="s">
        <v>209</v>
      </c>
      <c r="B1603" t="s">
        <v>278</v>
      </c>
      <c r="C1603" t="s">
        <v>1880</v>
      </c>
    </row>
    <row r="1604" spans="1:3" x14ac:dyDescent="0.35">
      <c r="A1604" t="s">
        <v>209</v>
      </c>
      <c r="B1604" t="s">
        <v>278</v>
      </c>
      <c r="C1604" t="s">
        <v>1881</v>
      </c>
    </row>
    <row r="1605" spans="1:3" x14ac:dyDescent="0.35">
      <c r="A1605" t="s">
        <v>209</v>
      </c>
      <c r="B1605" t="s">
        <v>278</v>
      </c>
      <c r="C1605" t="s">
        <v>1882</v>
      </c>
    </row>
    <row r="1606" spans="1:3" x14ac:dyDescent="0.35">
      <c r="A1606" t="s">
        <v>209</v>
      </c>
      <c r="B1606" t="s">
        <v>278</v>
      </c>
      <c r="C1606" t="s">
        <v>1883</v>
      </c>
    </row>
    <row r="1607" spans="1:3" x14ac:dyDescent="0.35">
      <c r="A1607" t="s">
        <v>209</v>
      </c>
      <c r="B1607" t="s">
        <v>278</v>
      </c>
      <c r="C1607" t="s">
        <v>1884</v>
      </c>
    </row>
    <row r="1608" spans="1:3" x14ac:dyDescent="0.35">
      <c r="A1608" t="s">
        <v>209</v>
      </c>
      <c r="B1608" t="s">
        <v>278</v>
      </c>
      <c r="C1608" t="s">
        <v>1885</v>
      </c>
    </row>
    <row r="1609" spans="1:3" x14ac:dyDescent="0.35">
      <c r="A1609" t="s">
        <v>209</v>
      </c>
      <c r="B1609" t="s">
        <v>278</v>
      </c>
      <c r="C1609" t="s">
        <v>1886</v>
      </c>
    </row>
    <row r="1610" spans="1:3" x14ac:dyDescent="0.35">
      <c r="A1610" t="s">
        <v>209</v>
      </c>
      <c r="B1610" t="s">
        <v>278</v>
      </c>
      <c r="C1610" t="s">
        <v>1887</v>
      </c>
    </row>
    <row r="1611" spans="1:3" x14ac:dyDescent="0.35">
      <c r="A1611" t="s">
        <v>209</v>
      </c>
      <c r="B1611" t="s">
        <v>278</v>
      </c>
      <c r="C1611" t="s">
        <v>1888</v>
      </c>
    </row>
    <row r="1612" spans="1:3" x14ac:dyDescent="0.35">
      <c r="A1612" t="s">
        <v>209</v>
      </c>
      <c r="B1612" t="s">
        <v>278</v>
      </c>
      <c r="C1612" t="s">
        <v>1889</v>
      </c>
    </row>
    <row r="1613" spans="1:3" x14ac:dyDescent="0.35">
      <c r="A1613" t="s">
        <v>209</v>
      </c>
      <c r="B1613" t="s">
        <v>278</v>
      </c>
      <c r="C1613" t="s">
        <v>1890</v>
      </c>
    </row>
    <row r="1614" spans="1:3" x14ac:dyDescent="0.35">
      <c r="A1614" t="s">
        <v>209</v>
      </c>
      <c r="B1614" t="s">
        <v>278</v>
      </c>
      <c r="C1614" t="s">
        <v>1891</v>
      </c>
    </row>
    <row r="1615" spans="1:3" x14ac:dyDescent="0.35">
      <c r="A1615" t="s">
        <v>209</v>
      </c>
      <c r="B1615" t="s">
        <v>278</v>
      </c>
      <c r="C1615" t="s">
        <v>1892</v>
      </c>
    </row>
    <row r="1616" spans="1:3" x14ac:dyDescent="0.35">
      <c r="A1616" t="s">
        <v>209</v>
      </c>
      <c r="B1616" t="s">
        <v>278</v>
      </c>
      <c r="C1616" t="s">
        <v>1893</v>
      </c>
    </row>
    <row r="1617" spans="1:3" x14ac:dyDescent="0.35">
      <c r="A1617" t="s">
        <v>209</v>
      </c>
      <c r="B1617" t="s">
        <v>278</v>
      </c>
      <c r="C1617" t="s">
        <v>1894</v>
      </c>
    </row>
    <row r="1618" spans="1:3" x14ac:dyDescent="0.35">
      <c r="A1618" t="s">
        <v>209</v>
      </c>
      <c r="B1618" t="s">
        <v>278</v>
      </c>
      <c r="C1618" t="s">
        <v>278</v>
      </c>
    </row>
    <row r="1619" spans="1:3" x14ac:dyDescent="0.35">
      <c r="A1619" t="s">
        <v>209</v>
      </c>
      <c r="B1619" t="s">
        <v>278</v>
      </c>
      <c r="C1619" t="s">
        <v>1895</v>
      </c>
    </row>
    <row r="1620" spans="1:3" x14ac:dyDescent="0.35">
      <c r="A1620" t="s">
        <v>209</v>
      </c>
      <c r="B1620" t="s">
        <v>278</v>
      </c>
      <c r="C1620" t="s">
        <v>1896</v>
      </c>
    </row>
    <row r="1621" spans="1:3" x14ac:dyDescent="0.35">
      <c r="A1621" t="s">
        <v>209</v>
      </c>
      <c r="B1621" t="s">
        <v>278</v>
      </c>
      <c r="C1621" t="s">
        <v>1897</v>
      </c>
    </row>
    <row r="1622" spans="1:3" x14ac:dyDescent="0.35">
      <c r="A1622" t="s">
        <v>209</v>
      </c>
      <c r="B1622" t="s">
        <v>278</v>
      </c>
      <c r="C1622" t="s">
        <v>1898</v>
      </c>
    </row>
    <row r="1623" spans="1:3" x14ac:dyDescent="0.35">
      <c r="A1623" t="s">
        <v>209</v>
      </c>
      <c r="B1623" t="s">
        <v>278</v>
      </c>
      <c r="C1623" t="s">
        <v>1899</v>
      </c>
    </row>
    <row r="1624" spans="1:3" x14ac:dyDescent="0.35">
      <c r="A1624" t="s">
        <v>209</v>
      </c>
      <c r="B1624" t="s">
        <v>278</v>
      </c>
      <c r="C1624" t="s">
        <v>1900</v>
      </c>
    </row>
    <row r="1625" spans="1:3" x14ac:dyDescent="0.35">
      <c r="A1625" t="s">
        <v>209</v>
      </c>
      <c r="B1625" t="s">
        <v>278</v>
      </c>
      <c r="C1625" t="s">
        <v>1901</v>
      </c>
    </row>
    <row r="1626" spans="1:3" x14ac:dyDescent="0.35">
      <c r="A1626" t="s">
        <v>209</v>
      </c>
      <c r="B1626" t="s">
        <v>278</v>
      </c>
      <c r="C1626" t="s">
        <v>1902</v>
      </c>
    </row>
    <row r="1627" spans="1:3" x14ac:dyDescent="0.35">
      <c r="A1627" t="s">
        <v>209</v>
      </c>
      <c r="B1627" t="s">
        <v>278</v>
      </c>
      <c r="C1627" t="s">
        <v>1903</v>
      </c>
    </row>
    <row r="1628" spans="1:3" x14ac:dyDescent="0.35">
      <c r="A1628" t="s">
        <v>209</v>
      </c>
      <c r="B1628" t="s">
        <v>278</v>
      </c>
      <c r="C1628" t="s">
        <v>1904</v>
      </c>
    </row>
    <row r="1629" spans="1:3" x14ac:dyDescent="0.35">
      <c r="A1629" t="s">
        <v>209</v>
      </c>
      <c r="B1629" t="s">
        <v>278</v>
      </c>
      <c r="C1629" t="s">
        <v>1905</v>
      </c>
    </row>
    <row r="1630" spans="1:3" x14ac:dyDescent="0.35">
      <c r="A1630" t="s">
        <v>209</v>
      </c>
      <c r="B1630" t="s">
        <v>278</v>
      </c>
      <c r="C1630" t="s">
        <v>1906</v>
      </c>
    </row>
    <row r="1631" spans="1:3" x14ac:dyDescent="0.35">
      <c r="A1631" t="s">
        <v>209</v>
      </c>
      <c r="B1631" t="s">
        <v>278</v>
      </c>
      <c r="C1631" t="s">
        <v>1907</v>
      </c>
    </row>
    <row r="1632" spans="1:3" x14ac:dyDescent="0.35">
      <c r="A1632" t="s">
        <v>209</v>
      </c>
      <c r="B1632" t="s">
        <v>278</v>
      </c>
      <c r="C1632" t="s">
        <v>1908</v>
      </c>
    </row>
    <row r="1633" spans="1:3" x14ac:dyDescent="0.35">
      <c r="A1633" t="s">
        <v>209</v>
      </c>
      <c r="B1633" t="s">
        <v>278</v>
      </c>
      <c r="C1633" t="s">
        <v>1909</v>
      </c>
    </row>
    <row r="1634" spans="1:3" x14ac:dyDescent="0.35">
      <c r="A1634" t="s">
        <v>209</v>
      </c>
      <c r="B1634" t="s">
        <v>278</v>
      </c>
      <c r="C1634" t="s">
        <v>1910</v>
      </c>
    </row>
    <row r="1635" spans="1:3" x14ac:dyDescent="0.35">
      <c r="A1635" t="s">
        <v>209</v>
      </c>
      <c r="B1635" t="s">
        <v>282</v>
      </c>
      <c r="C1635" t="s">
        <v>1911</v>
      </c>
    </row>
    <row r="1636" spans="1:3" x14ac:dyDescent="0.35">
      <c r="A1636" t="s">
        <v>209</v>
      </c>
      <c r="B1636" t="s">
        <v>282</v>
      </c>
      <c r="C1636" t="s">
        <v>1912</v>
      </c>
    </row>
    <row r="1637" spans="1:3" x14ac:dyDescent="0.35">
      <c r="A1637" t="s">
        <v>209</v>
      </c>
      <c r="B1637" t="s">
        <v>282</v>
      </c>
      <c r="C1637" t="s">
        <v>1913</v>
      </c>
    </row>
    <row r="1638" spans="1:3" x14ac:dyDescent="0.35">
      <c r="A1638" t="s">
        <v>209</v>
      </c>
      <c r="B1638" t="s">
        <v>282</v>
      </c>
      <c r="C1638" t="s">
        <v>1914</v>
      </c>
    </row>
    <row r="1639" spans="1:3" x14ac:dyDescent="0.35">
      <c r="A1639" t="s">
        <v>209</v>
      </c>
      <c r="B1639" t="s">
        <v>282</v>
      </c>
      <c r="C1639" t="s">
        <v>1915</v>
      </c>
    </row>
    <row r="1640" spans="1:3" x14ac:dyDescent="0.35">
      <c r="A1640" t="s">
        <v>209</v>
      </c>
      <c r="B1640" t="s">
        <v>282</v>
      </c>
      <c r="C1640" t="s">
        <v>1916</v>
      </c>
    </row>
    <row r="1641" spans="1:3" x14ac:dyDescent="0.35">
      <c r="A1641" t="s">
        <v>209</v>
      </c>
      <c r="B1641" t="s">
        <v>282</v>
      </c>
      <c r="C1641" t="s">
        <v>1917</v>
      </c>
    </row>
    <row r="1642" spans="1:3" x14ac:dyDescent="0.35">
      <c r="A1642" t="s">
        <v>209</v>
      </c>
      <c r="B1642" t="s">
        <v>282</v>
      </c>
      <c r="C1642" t="s">
        <v>1918</v>
      </c>
    </row>
    <row r="1643" spans="1:3" x14ac:dyDescent="0.35">
      <c r="A1643" t="s">
        <v>209</v>
      </c>
      <c r="B1643" t="s">
        <v>282</v>
      </c>
      <c r="C1643" t="s">
        <v>1919</v>
      </c>
    </row>
    <row r="1644" spans="1:3" x14ac:dyDescent="0.35">
      <c r="A1644" t="s">
        <v>209</v>
      </c>
      <c r="B1644" t="s">
        <v>282</v>
      </c>
      <c r="C1644" t="s">
        <v>1920</v>
      </c>
    </row>
    <row r="1645" spans="1:3" x14ac:dyDescent="0.35">
      <c r="A1645" t="s">
        <v>209</v>
      </c>
      <c r="B1645" t="s">
        <v>282</v>
      </c>
      <c r="C1645" t="s">
        <v>1921</v>
      </c>
    </row>
    <row r="1646" spans="1:3" x14ac:dyDescent="0.35">
      <c r="A1646" t="s">
        <v>209</v>
      </c>
      <c r="B1646" t="s">
        <v>282</v>
      </c>
      <c r="C1646" t="s">
        <v>1922</v>
      </c>
    </row>
    <row r="1647" spans="1:3" x14ac:dyDescent="0.35">
      <c r="A1647" t="s">
        <v>209</v>
      </c>
      <c r="B1647" t="s">
        <v>282</v>
      </c>
      <c r="C1647" t="s">
        <v>1923</v>
      </c>
    </row>
    <row r="1648" spans="1:3" x14ac:dyDescent="0.35">
      <c r="A1648" t="s">
        <v>209</v>
      </c>
      <c r="B1648" t="s">
        <v>282</v>
      </c>
      <c r="C1648" t="s">
        <v>282</v>
      </c>
    </row>
    <row r="1649" spans="1:3" x14ac:dyDescent="0.35">
      <c r="A1649" t="s">
        <v>209</v>
      </c>
      <c r="B1649" t="s">
        <v>282</v>
      </c>
      <c r="C1649" t="s">
        <v>1924</v>
      </c>
    </row>
    <row r="1650" spans="1:3" x14ac:dyDescent="0.35">
      <c r="A1650" t="s">
        <v>209</v>
      </c>
      <c r="B1650" t="s">
        <v>282</v>
      </c>
      <c r="C1650" t="s">
        <v>1925</v>
      </c>
    </row>
    <row r="1651" spans="1:3" x14ac:dyDescent="0.35">
      <c r="A1651" t="s">
        <v>209</v>
      </c>
      <c r="B1651" t="s">
        <v>282</v>
      </c>
      <c r="C1651" t="s">
        <v>1926</v>
      </c>
    </row>
    <row r="1652" spans="1:3" x14ac:dyDescent="0.35">
      <c r="A1652" t="s">
        <v>209</v>
      </c>
      <c r="B1652" t="s">
        <v>282</v>
      </c>
      <c r="C1652" t="s">
        <v>1927</v>
      </c>
    </row>
    <row r="1653" spans="1:3" x14ac:dyDescent="0.35">
      <c r="A1653" t="s">
        <v>209</v>
      </c>
      <c r="B1653" t="s">
        <v>287</v>
      </c>
      <c r="C1653" t="s">
        <v>1928</v>
      </c>
    </row>
    <row r="1654" spans="1:3" x14ac:dyDescent="0.35">
      <c r="A1654" t="s">
        <v>209</v>
      </c>
      <c r="B1654" t="s">
        <v>287</v>
      </c>
      <c r="C1654" t="s">
        <v>1929</v>
      </c>
    </row>
    <row r="1655" spans="1:3" x14ac:dyDescent="0.35">
      <c r="A1655" t="s">
        <v>209</v>
      </c>
      <c r="B1655" t="s">
        <v>287</v>
      </c>
      <c r="C1655" t="s">
        <v>1930</v>
      </c>
    </row>
    <row r="1656" spans="1:3" x14ac:dyDescent="0.35">
      <c r="A1656" t="s">
        <v>209</v>
      </c>
      <c r="B1656" t="s">
        <v>287</v>
      </c>
      <c r="C1656" t="s">
        <v>1931</v>
      </c>
    </row>
    <row r="1657" spans="1:3" x14ac:dyDescent="0.35">
      <c r="A1657" t="s">
        <v>209</v>
      </c>
      <c r="B1657" t="s">
        <v>287</v>
      </c>
      <c r="C1657" t="s">
        <v>1932</v>
      </c>
    </row>
    <row r="1658" spans="1:3" x14ac:dyDescent="0.35">
      <c r="A1658" t="s">
        <v>209</v>
      </c>
      <c r="B1658" t="s">
        <v>287</v>
      </c>
      <c r="C1658" t="s">
        <v>1933</v>
      </c>
    </row>
    <row r="1659" spans="1:3" x14ac:dyDescent="0.35">
      <c r="A1659" t="s">
        <v>209</v>
      </c>
      <c r="B1659" t="s">
        <v>287</v>
      </c>
      <c r="C1659" t="s">
        <v>1934</v>
      </c>
    </row>
    <row r="1660" spans="1:3" x14ac:dyDescent="0.35">
      <c r="A1660" t="s">
        <v>209</v>
      </c>
      <c r="B1660" t="s">
        <v>287</v>
      </c>
      <c r="C1660" t="s">
        <v>1935</v>
      </c>
    </row>
    <row r="1661" spans="1:3" x14ac:dyDescent="0.35">
      <c r="A1661" t="s">
        <v>209</v>
      </c>
      <c r="B1661" t="s">
        <v>287</v>
      </c>
      <c r="C1661" t="s">
        <v>1936</v>
      </c>
    </row>
    <row r="1662" spans="1:3" x14ac:dyDescent="0.35">
      <c r="A1662" t="s">
        <v>209</v>
      </c>
      <c r="B1662" t="s">
        <v>287</v>
      </c>
      <c r="C1662" t="s">
        <v>1937</v>
      </c>
    </row>
    <row r="1663" spans="1:3" x14ac:dyDescent="0.35">
      <c r="A1663" t="s">
        <v>209</v>
      </c>
      <c r="B1663" t="s">
        <v>287</v>
      </c>
      <c r="C1663" t="s">
        <v>1938</v>
      </c>
    </row>
    <row r="1664" spans="1:3" x14ac:dyDescent="0.35">
      <c r="A1664" t="s">
        <v>209</v>
      </c>
      <c r="B1664" t="s">
        <v>287</v>
      </c>
      <c r="C1664" t="s">
        <v>1939</v>
      </c>
    </row>
    <row r="1665" spans="1:3" x14ac:dyDescent="0.35">
      <c r="A1665" t="s">
        <v>209</v>
      </c>
      <c r="B1665" t="s">
        <v>287</v>
      </c>
      <c r="C1665" t="s">
        <v>1940</v>
      </c>
    </row>
    <row r="1666" spans="1:3" x14ac:dyDescent="0.35">
      <c r="A1666" t="s">
        <v>209</v>
      </c>
      <c r="B1666" t="s">
        <v>287</v>
      </c>
      <c r="C1666" t="s">
        <v>1941</v>
      </c>
    </row>
    <row r="1667" spans="1:3" x14ac:dyDescent="0.35">
      <c r="A1667" t="s">
        <v>209</v>
      </c>
      <c r="B1667" t="s">
        <v>287</v>
      </c>
      <c r="C1667" t="s">
        <v>1942</v>
      </c>
    </row>
    <row r="1668" spans="1:3" x14ac:dyDescent="0.35">
      <c r="A1668" t="s">
        <v>209</v>
      </c>
      <c r="B1668" t="s">
        <v>287</v>
      </c>
      <c r="C1668" t="s">
        <v>1943</v>
      </c>
    </row>
    <row r="1669" spans="1:3" x14ac:dyDescent="0.35">
      <c r="A1669" t="s">
        <v>209</v>
      </c>
      <c r="B1669" t="s">
        <v>287</v>
      </c>
      <c r="C1669" t="s">
        <v>1944</v>
      </c>
    </row>
    <row r="1670" spans="1:3" x14ac:dyDescent="0.35">
      <c r="A1670" t="s">
        <v>209</v>
      </c>
      <c r="B1670" t="s">
        <v>287</v>
      </c>
      <c r="C1670" t="s">
        <v>1945</v>
      </c>
    </row>
    <row r="1671" spans="1:3" x14ac:dyDescent="0.35">
      <c r="A1671" t="s">
        <v>209</v>
      </c>
      <c r="B1671" t="s">
        <v>287</v>
      </c>
      <c r="C1671" t="s">
        <v>1946</v>
      </c>
    </row>
    <row r="1672" spans="1:3" x14ac:dyDescent="0.35">
      <c r="A1672" t="s">
        <v>209</v>
      </c>
      <c r="B1672" t="s">
        <v>287</v>
      </c>
      <c r="C1672" t="s">
        <v>1947</v>
      </c>
    </row>
    <row r="1673" spans="1:3" x14ac:dyDescent="0.35">
      <c r="A1673" t="s">
        <v>209</v>
      </c>
      <c r="B1673" t="s">
        <v>287</v>
      </c>
      <c r="C1673" t="s">
        <v>1948</v>
      </c>
    </row>
    <row r="1674" spans="1:3" x14ac:dyDescent="0.35">
      <c r="A1674" t="s">
        <v>209</v>
      </c>
      <c r="B1674" t="s">
        <v>287</v>
      </c>
      <c r="C1674" t="s">
        <v>1949</v>
      </c>
    </row>
    <row r="1675" spans="1:3" x14ac:dyDescent="0.35">
      <c r="A1675" t="s">
        <v>209</v>
      </c>
      <c r="B1675" t="s">
        <v>287</v>
      </c>
      <c r="C1675" t="s">
        <v>1950</v>
      </c>
    </row>
    <row r="1676" spans="1:3" x14ac:dyDescent="0.35">
      <c r="A1676" t="s">
        <v>209</v>
      </c>
      <c r="B1676" t="s">
        <v>287</v>
      </c>
      <c r="C1676" t="s">
        <v>1951</v>
      </c>
    </row>
    <row r="1677" spans="1:3" x14ac:dyDescent="0.35">
      <c r="A1677" t="s">
        <v>209</v>
      </c>
      <c r="B1677" t="s">
        <v>287</v>
      </c>
      <c r="C1677" t="s">
        <v>1952</v>
      </c>
    </row>
    <row r="1678" spans="1:3" x14ac:dyDescent="0.35">
      <c r="A1678" t="s">
        <v>209</v>
      </c>
      <c r="B1678" t="s">
        <v>287</v>
      </c>
      <c r="C1678" t="s">
        <v>1953</v>
      </c>
    </row>
    <row r="1679" spans="1:3" x14ac:dyDescent="0.35">
      <c r="A1679" t="s">
        <v>209</v>
      </c>
      <c r="B1679" t="s">
        <v>287</v>
      </c>
      <c r="C1679" t="s">
        <v>1954</v>
      </c>
    </row>
    <row r="1680" spans="1:3" x14ac:dyDescent="0.35">
      <c r="A1680" t="s">
        <v>209</v>
      </c>
      <c r="B1680" t="s">
        <v>287</v>
      </c>
      <c r="C1680" t="s">
        <v>287</v>
      </c>
    </row>
    <row r="1681" spans="1:3" x14ac:dyDescent="0.35">
      <c r="A1681" t="s">
        <v>209</v>
      </c>
      <c r="B1681" t="s">
        <v>287</v>
      </c>
      <c r="C1681" t="s">
        <v>1955</v>
      </c>
    </row>
    <row r="1682" spans="1:3" x14ac:dyDescent="0.35">
      <c r="A1682" t="s">
        <v>209</v>
      </c>
      <c r="B1682" t="s">
        <v>287</v>
      </c>
      <c r="C1682" t="s">
        <v>1956</v>
      </c>
    </row>
    <row r="1683" spans="1:3" x14ac:dyDescent="0.35">
      <c r="A1683" t="s">
        <v>209</v>
      </c>
      <c r="B1683" t="s">
        <v>287</v>
      </c>
      <c r="C1683" t="s">
        <v>1957</v>
      </c>
    </row>
    <row r="1684" spans="1:3" x14ac:dyDescent="0.35">
      <c r="A1684" t="s">
        <v>209</v>
      </c>
      <c r="B1684" t="s">
        <v>287</v>
      </c>
      <c r="C1684" t="s">
        <v>1958</v>
      </c>
    </row>
    <row r="1685" spans="1:3" x14ac:dyDescent="0.35">
      <c r="A1685" t="s">
        <v>209</v>
      </c>
      <c r="B1685" t="s">
        <v>287</v>
      </c>
      <c r="C1685" t="s">
        <v>1959</v>
      </c>
    </row>
    <row r="1686" spans="1:3" x14ac:dyDescent="0.35">
      <c r="A1686" t="s">
        <v>209</v>
      </c>
      <c r="B1686" t="s">
        <v>287</v>
      </c>
      <c r="C1686" t="s">
        <v>1960</v>
      </c>
    </row>
    <row r="1687" spans="1:3" x14ac:dyDescent="0.35">
      <c r="A1687" t="s">
        <v>209</v>
      </c>
      <c r="B1687" t="s">
        <v>287</v>
      </c>
      <c r="C1687" t="s">
        <v>1961</v>
      </c>
    </row>
    <row r="1688" spans="1:3" x14ac:dyDescent="0.35">
      <c r="A1688" t="s">
        <v>209</v>
      </c>
      <c r="B1688" t="s">
        <v>287</v>
      </c>
      <c r="C1688" t="s">
        <v>1962</v>
      </c>
    </row>
    <row r="1689" spans="1:3" x14ac:dyDescent="0.35">
      <c r="A1689" t="s">
        <v>209</v>
      </c>
      <c r="B1689" t="s">
        <v>287</v>
      </c>
      <c r="C1689" t="s">
        <v>1963</v>
      </c>
    </row>
    <row r="1690" spans="1:3" x14ac:dyDescent="0.35">
      <c r="A1690" t="s">
        <v>209</v>
      </c>
      <c r="B1690" t="s">
        <v>287</v>
      </c>
      <c r="C1690" t="s">
        <v>1964</v>
      </c>
    </row>
    <row r="1691" spans="1:3" x14ac:dyDescent="0.35">
      <c r="A1691" t="s">
        <v>209</v>
      </c>
      <c r="B1691" t="s">
        <v>287</v>
      </c>
      <c r="C1691" t="s">
        <v>1965</v>
      </c>
    </row>
    <row r="1692" spans="1:3" x14ac:dyDescent="0.35">
      <c r="A1692" t="s">
        <v>209</v>
      </c>
      <c r="B1692" t="s">
        <v>287</v>
      </c>
      <c r="C1692" t="s">
        <v>1966</v>
      </c>
    </row>
    <row r="1693" spans="1:3" x14ac:dyDescent="0.35">
      <c r="A1693" t="s">
        <v>209</v>
      </c>
      <c r="B1693" t="s">
        <v>287</v>
      </c>
      <c r="C1693" t="s">
        <v>1967</v>
      </c>
    </row>
    <row r="1694" spans="1:3" x14ac:dyDescent="0.35">
      <c r="A1694" t="s">
        <v>209</v>
      </c>
      <c r="B1694" t="s">
        <v>287</v>
      </c>
      <c r="C1694" t="s">
        <v>1968</v>
      </c>
    </row>
    <row r="1695" spans="1:3" x14ac:dyDescent="0.35">
      <c r="A1695" t="s">
        <v>209</v>
      </c>
      <c r="B1695" t="s">
        <v>68</v>
      </c>
      <c r="C1695" t="s">
        <v>1969</v>
      </c>
    </row>
    <row r="1696" spans="1:3" x14ac:dyDescent="0.35">
      <c r="A1696" t="s">
        <v>209</v>
      </c>
      <c r="B1696" t="s">
        <v>68</v>
      </c>
      <c r="C1696" t="s">
        <v>1970</v>
      </c>
    </row>
    <row r="1697" spans="1:3" x14ac:dyDescent="0.35">
      <c r="A1697" t="s">
        <v>209</v>
      </c>
      <c r="B1697" t="s">
        <v>68</v>
      </c>
      <c r="C1697" t="s">
        <v>1971</v>
      </c>
    </row>
    <row r="1698" spans="1:3" x14ac:dyDescent="0.35">
      <c r="A1698" t="s">
        <v>209</v>
      </c>
      <c r="B1698" t="s">
        <v>68</v>
      </c>
      <c r="C1698" t="s">
        <v>1972</v>
      </c>
    </row>
    <row r="1699" spans="1:3" x14ac:dyDescent="0.35">
      <c r="A1699" t="s">
        <v>209</v>
      </c>
      <c r="B1699" t="s">
        <v>68</v>
      </c>
      <c r="C1699" t="s">
        <v>1973</v>
      </c>
    </row>
    <row r="1700" spans="1:3" x14ac:dyDescent="0.35">
      <c r="A1700" t="s">
        <v>209</v>
      </c>
      <c r="B1700" t="s">
        <v>68</v>
      </c>
      <c r="C1700" t="s">
        <v>1974</v>
      </c>
    </row>
    <row r="1701" spans="1:3" x14ac:dyDescent="0.35">
      <c r="A1701" t="s">
        <v>209</v>
      </c>
      <c r="B1701" t="s">
        <v>68</v>
      </c>
      <c r="C1701" t="s">
        <v>1975</v>
      </c>
    </row>
    <row r="1702" spans="1:3" x14ac:dyDescent="0.35">
      <c r="A1702" t="s">
        <v>209</v>
      </c>
      <c r="B1702" t="s">
        <v>68</v>
      </c>
      <c r="C1702" t="s">
        <v>1976</v>
      </c>
    </row>
    <row r="1703" spans="1:3" x14ac:dyDescent="0.35">
      <c r="A1703" t="s">
        <v>209</v>
      </c>
      <c r="B1703" t="s">
        <v>68</v>
      </c>
      <c r="C1703" t="s">
        <v>1977</v>
      </c>
    </row>
    <row r="1704" spans="1:3" x14ac:dyDescent="0.35">
      <c r="A1704" t="s">
        <v>209</v>
      </c>
      <c r="B1704" t="s">
        <v>68</v>
      </c>
      <c r="C1704" t="s">
        <v>1978</v>
      </c>
    </row>
    <row r="1705" spans="1:3" x14ac:dyDescent="0.35">
      <c r="A1705" t="s">
        <v>209</v>
      </c>
      <c r="B1705" t="s">
        <v>68</v>
      </c>
      <c r="C1705" t="s">
        <v>1979</v>
      </c>
    </row>
    <row r="1706" spans="1:3" x14ac:dyDescent="0.35">
      <c r="A1706" t="s">
        <v>209</v>
      </c>
      <c r="B1706" t="s">
        <v>68</v>
      </c>
      <c r="C1706" t="s">
        <v>1980</v>
      </c>
    </row>
    <row r="1707" spans="1:3" x14ac:dyDescent="0.35">
      <c r="A1707" t="s">
        <v>209</v>
      </c>
      <c r="B1707" t="s">
        <v>68</v>
      </c>
      <c r="C1707" t="s">
        <v>1981</v>
      </c>
    </row>
    <row r="1708" spans="1:3" x14ac:dyDescent="0.35">
      <c r="A1708" t="s">
        <v>209</v>
      </c>
      <c r="B1708" t="s">
        <v>68</v>
      </c>
      <c r="C1708" t="s">
        <v>1982</v>
      </c>
    </row>
    <row r="1709" spans="1:3" x14ac:dyDescent="0.35">
      <c r="A1709" t="s">
        <v>209</v>
      </c>
      <c r="B1709" t="s">
        <v>68</v>
      </c>
      <c r="C1709" t="s">
        <v>1983</v>
      </c>
    </row>
    <row r="1710" spans="1:3" x14ac:dyDescent="0.35">
      <c r="A1710" t="s">
        <v>209</v>
      </c>
      <c r="B1710" t="s">
        <v>68</v>
      </c>
      <c r="C1710" t="s">
        <v>1984</v>
      </c>
    </row>
    <row r="1711" spans="1:3" x14ac:dyDescent="0.35">
      <c r="A1711" t="s">
        <v>209</v>
      </c>
      <c r="B1711" t="s">
        <v>68</v>
      </c>
      <c r="C1711" t="s">
        <v>1985</v>
      </c>
    </row>
    <row r="1712" spans="1:3" x14ac:dyDescent="0.35">
      <c r="A1712" t="s">
        <v>209</v>
      </c>
      <c r="B1712" t="s">
        <v>68</v>
      </c>
      <c r="C1712" t="s">
        <v>68</v>
      </c>
    </row>
    <row r="1713" spans="1:3" x14ac:dyDescent="0.35">
      <c r="A1713" t="s">
        <v>209</v>
      </c>
      <c r="B1713" t="s">
        <v>68</v>
      </c>
      <c r="C1713" t="s">
        <v>1986</v>
      </c>
    </row>
    <row r="1714" spans="1:3" x14ac:dyDescent="0.35">
      <c r="A1714" t="s">
        <v>209</v>
      </c>
      <c r="B1714" t="s">
        <v>68</v>
      </c>
      <c r="C1714" t="s">
        <v>1987</v>
      </c>
    </row>
    <row r="1715" spans="1:3" x14ac:dyDescent="0.35">
      <c r="A1715" t="s">
        <v>209</v>
      </c>
      <c r="B1715" t="s">
        <v>68</v>
      </c>
      <c r="C1715" t="s">
        <v>1988</v>
      </c>
    </row>
    <row r="1716" spans="1:3" x14ac:dyDescent="0.35">
      <c r="A1716" t="s">
        <v>209</v>
      </c>
      <c r="B1716" t="s">
        <v>68</v>
      </c>
      <c r="C1716" t="s">
        <v>1989</v>
      </c>
    </row>
    <row r="1717" spans="1:3" x14ac:dyDescent="0.35">
      <c r="A1717" t="s">
        <v>209</v>
      </c>
      <c r="B1717" t="s">
        <v>68</v>
      </c>
      <c r="C1717" t="s">
        <v>1990</v>
      </c>
    </row>
    <row r="1718" spans="1:3" x14ac:dyDescent="0.35">
      <c r="A1718" t="s">
        <v>209</v>
      </c>
      <c r="B1718" t="s">
        <v>68</v>
      </c>
      <c r="C1718" t="s">
        <v>1991</v>
      </c>
    </row>
    <row r="1719" spans="1:3" x14ac:dyDescent="0.35">
      <c r="A1719" t="s">
        <v>209</v>
      </c>
      <c r="B1719" t="s">
        <v>68</v>
      </c>
      <c r="C1719" t="s">
        <v>1992</v>
      </c>
    </row>
    <row r="1720" spans="1:3" x14ac:dyDescent="0.35">
      <c r="A1720" t="s">
        <v>209</v>
      </c>
      <c r="B1720" t="s">
        <v>68</v>
      </c>
      <c r="C1720" t="s">
        <v>1993</v>
      </c>
    </row>
    <row r="1721" spans="1:3" x14ac:dyDescent="0.35">
      <c r="A1721" t="s">
        <v>209</v>
      </c>
      <c r="B1721" t="s">
        <v>68</v>
      </c>
      <c r="C1721" t="s">
        <v>1994</v>
      </c>
    </row>
    <row r="1722" spans="1:3" x14ac:dyDescent="0.35">
      <c r="A1722" t="s">
        <v>210</v>
      </c>
      <c r="B1722" t="s">
        <v>228</v>
      </c>
      <c r="C1722" t="s">
        <v>1995</v>
      </c>
    </row>
    <row r="1723" spans="1:3" x14ac:dyDescent="0.35">
      <c r="A1723" t="s">
        <v>210</v>
      </c>
      <c r="B1723" t="s">
        <v>228</v>
      </c>
      <c r="C1723" t="s">
        <v>1996</v>
      </c>
    </row>
    <row r="1724" spans="1:3" x14ac:dyDescent="0.35">
      <c r="A1724" t="s">
        <v>210</v>
      </c>
      <c r="B1724" t="s">
        <v>228</v>
      </c>
      <c r="C1724" t="s">
        <v>1997</v>
      </c>
    </row>
    <row r="1725" spans="1:3" x14ac:dyDescent="0.35">
      <c r="A1725" t="s">
        <v>210</v>
      </c>
      <c r="B1725" t="s">
        <v>228</v>
      </c>
      <c r="C1725" t="s">
        <v>1998</v>
      </c>
    </row>
    <row r="1726" spans="1:3" x14ac:dyDescent="0.35">
      <c r="A1726" t="s">
        <v>210</v>
      </c>
      <c r="B1726" t="s">
        <v>228</v>
      </c>
      <c r="C1726" t="s">
        <v>1999</v>
      </c>
    </row>
    <row r="1727" spans="1:3" x14ac:dyDescent="0.35">
      <c r="A1727" t="s">
        <v>210</v>
      </c>
      <c r="B1727" t="s">
        <v>228</v>
      </c>
      <c r="C1727" t="s">
        <v>2000</v>
      </c>
    </row>
    <row r="1728" spans="1:3" x14ac:dyDescent="0.35">
      <c r="A1728" t="s">
        <v>210</v>
      </c>
      <c r="B1728" t="s">
        <v>228</v>
      </c>
      <c r="C1728" t="s">
        <v>228</v>
      </c>
    </row>
    <row r="1729" spans="1:3" x14ac:dyDescent="0.35">
      <c r="A1729" t="s">
        <v>210</v>
      </c>
      <c r="B1729" t="s">
        <v>228</v>
      </c>
      <c r="C1729" t="s">
        <v>2001</v>
      </c>
    </row>
    <row r="1730" spans="1:3" x14ac:dyDescent="0.35">
      <c r="A1730" t="s">
        <v>210</v>
      </c>
      <c r="B1730" t="s">
        <v>228</v>
      </c>
      <c r="C1730" t="s">
        <v>2002</v>
      </c>
    </row>
    <row r="1731" spans="1:3" x14ac:dyDescent="0.35">
      <c r="A1731" t="s">
        <v>210</v>
      </c>
      <c r="B1731" t="s">
        <v>228</v>
      </c>
      <c r="C1731" t="s">
        <v>2003</v>
      </c>
    </row>
    <row r="1732" spans="1:3" x14ac:dyDescent="0.35">
      <c r="A1732" t="s">
        <v>210</v>
      </c>
      <c r="B1732" t="s">
        <v>228</v>
      </c>
      <c r="C1732" t="s">
        <v>2004</v>
      </c>
    </row>
    <row r="1733" spans="1:3" x14ac:dyDescent="0.35">
      <c r="A1733" t="s">
        <v>210</v>
      </c>
      <c r="B1733" t="s">
        <v>228</v>
      </c>
      <c r="C1733" t="s">
        <v>2005</v>
      </c>
    </row>
    <row r="1734" spans="1:3" x14ac:dyDescent="0.35">
      <c r="A1734" t="s">
        <v>210</v>
      </c>
      <c r="B1734" t="s">
        <v>228</v>
      </c>
      <c r="C1734" t="s">
        <v>2006</v>
      </c>
    </row>
    <row r="1735" spans="1:3" x14ac:dyDescent="0.35">
      <c r="A1735" t="s">
        <v>210</v>
      </c>
      <c r="B1735" t="s">
        <v>228</v>
      </c>
      <c r="C1735" t="s">
        <v>2007</v>
      </c>
    </row>
    <row r="1736" spans="1:3" x14ac:dyDescent="0.35">
      <c r="A1736" t="s">
        <v>210</v>
      </c>
      <c r="B1736" t="s">
        <v>228</v>
      </c>
      <c r="C1736" t="s">
        <v>2008</v>
      </c>
    </row>
    <row r="1737" spans="1:3" x14ac:dyDescent="0.35">
      <c r="A1737" t="s">
        <v>210</v>
      </c>
      <c r="B1737" t="s">
        <v>228</v>
      </c>
      <c r="C1737" t="s">
        <v>2009</v>
      </c>
    </row>
    <row r="1738" spans="1:3" x14ac:dyDescent="0.35">
      <c r="A1738" t="s">
        <v>210</v>
      </c>
      <c r="B1738" t="s">
        <v>228</v>
      </c>
      <c r="C1738" t="s">
        <v>2010</v>
      </c>
    </row>
    <row r="1739" spans="1:3" x14ac:dyDescent="0.35">
      <c r="A1739" t="s">
        <v>210</v>
      </c>
      <c r="B1739" t="s">
        <v>228</v>
      </c>
      <c r="C1739" t="s">
        <v>2011</v>
      </c>
    </row>
    <row r="1740" spans="1:3" x14ac:dyDescent="0.35">
      <c r="A1740" t="s">
        <v>210</v>
      </c>
      <c r="B1740" t="s">
        <v>228</v>
      </c>
      <c r="C1740" t="s">
        <v>2012</v>
      </c>
    </row>
    <row r="1741" spans="1:3" x14ac:dyDescent="0.35">
      <c r="A1741" t="s">
        <v>210</v>
      </c>
      <c r="B1741" t="s">
        <v>228</v>
      </c>
      <c r="C1741" t="s">
        <v>2013</v>
      </c>
    </row>
    <row r="1742" spans="1:3" x14ac:dyDescent="0.35">
      <c r="A1742" t="s">
        <v>210</v>
      </c>
      <c r="B1742" t="s">
        <v>228</v>
      </c>
      <c r="C1742" t="s">
        <v>2014</v>
      </c>
    </row>
    <row r="1743" spans="1:3" x14ac:dyDescent="0.35">
      <c r="A1743" t="s">
        <v>210</v>
      </c>
      <c r="B1743" t="s">
        <v>228</v>
      </c>
      <c r="C1743" t="s">
        <v>2015</v>
      </c>
    </row>
    <row r="1744" spans="1:3" x14ac:dyDescent="0.35">
      <c r="A1744" t="s">
        <v>210</v>
      </c>
      <c r="B1744" t="s">
        <v>228</v>
      </c>
      <c r="C1744" t="s">
        <v>2016</v>
      </c>
    </row>
    <row r="1745" spans="1:3" x14ac:dyDescent="0.35">
      <c r="A1745" t="s">
        <v>210</v>
      </c>
      <c r="B1745" t="s">
        <v>228</v>
      </c>
      <c r="C1745" t="s">
        <v>2017</v>
      </c>
    </row>
    <row r="1746" spans="1:3" x14ac:dyDescent="0.35">
      <c r="A1746" t="s">
        <v>210</v>
      </c>
      <c r="B1746" t="s">
        <v>228</v>
      </c>
      <c r="C1746" t="s">
        <v>2018</v>
      </c>
    </row>
    <row r="1747" spans="1:3" x14ac:dyDescent="0.35">
      <c r="A1747" t="s">
        <v>210</v>
      </c>
      <c r="B1747" t="s">
        <v>239</v>
      </c>
      <c r="C1747" t="s">
        <v>2019</v>
      </c>
    </row>
    <row r="1748" spans="1:3" x14ac:dyDescent="0.35">
      <c r="A1748" t="s">
        <v>210</v>
      </c>
      <c r="B1748" t="s">
        <v>239</v>
      </c>
      <c r="C1748" t="s">
        <v>2020</v>
      </c>
    </row>
    <row r="1749" spans="1:3" x14ac:dyDescent="0.35">
      <c r="A1749" t="s">
        <v>210</v>
      </c>
      <c r="B1749" t="s">
        <v>239</v>
      </c>
      <c r="C1749" t="s">
        <v>2021</v>
      </c>
    </row>
    <row r="1750" spans="1:3" x14ac:dyDescent="0.35">
      <c r="A1750" t="s">
        <v>210</v>
      </c>
      <c r="B1750" t="s">
        <v>239</v>
      </c>
      <c r="C1750" t="s">
        <v>2022</v>
      </c>
    </row>
    <row r="1751" spans="1:3" x14ac:dyDescent="0.35">
      <c r="A1751" t="s">
        <v>210</v>
      </c>
      <c r="B1751" t="s">
        <v>239</v>
      </c>
      <c r="C1751" t="s">
        <v>2023</v>
      </c>
    </row>
    <row r="1752" spans="1:3" x14ac:dyDescent="0.35">
      <c r="A1752" t="s">
        <v>210</v>
      </c>
      <c r="B1752" t="s">
        <v>239</v>
      </c>
      <c r="C1752" t="s">
        <v>2024</v>
      </c>
    </row>
    <row r="1753" spans="1:3" x14ac:dyDescent="0.35">
      <c r="A1753" t="s">
        <v>210</v>
      </c>
      <c r="B1753" t="s">
        <v>239</v>
      </c>
      <c r="C1753" t="s">
        <v>2025</v>
      </c>
    </row>
    <row r="1754" spans="1:3" x14ac:dyDescent="0.35">
      <c r="A1754" t="s">
        <v>210</v>
      </c>
      <c r="B1754" t="s">
        <v>239</v>
      </c>
      <c r="C1754" t="s">
        <v>2026</v>
      </c>
    </row>
    <row r="1755" spans="1:3" x14ac:dyDescent="0.35">
      <c r="A1755" t="s">
        <v>210</v>
      </c>
      <c r="B1755" t="s">
        <v>239</v>
      </c>
      <c r="C1755" t="s">
        <v>2027</v>
      </c>
    </row>
    <row r="1756" spans="1:3" x14ac:dyDescent="0.35">
      <c r="A1756" t="s">
        <v>210</v>
      </c>
      <c r="B1756" t="s">
        <v>239</v>
      </c>
      <c r="C1756" t="s">
        <v>2028</v>
      </c>
    </row>
    <row r="1757" spans="1:3" x14ac:dyDescent="0.35">
      <c r="A1757" t="s">
        <v>210</v>
      </c>
      <c r="B1757" t="s">
        <v>239</v>
      </c>
      <c r="C1757" t="s">
        <v>2029</v>
      </c>
    </row>
    <row r="1758" spans="1:3" x14ac:dyDescent="0.35">
      <c r="A1758" t="s">
        <v>210</v>
      </c>
      <c r="B1758" t="s">
        <v>239</v>
      </c>
      <c r="C1758" t="s">
        <v>2030</v>
      </c>
    </row>
    <row r="1759" spans="1:3" x14ac:dyDescent="0.35">
      <c r="A1759" t="s">
        <v>210</v>
      </c>
      <c r="B1759" t="s">
        <v>239</v>
      </c>
      <c r="C1759" t="s">
        <v>2031</v>
      </c>
    </row>
    <row r="1760" spans="1:3" x14ac:dyDescent="0.35">
      <c r="A1760" t="s">
        <v>210</v>
      </c>
      <c r="B1760" t="s">
        <v>239</v>
      </c>
      <c r="C1760" t="s">
        <v>2032</v>
      </c>
    </row>
    <row r="1761" spans="1:3" x14ac:dyDescent="0.35">
      <c r="A1761" t="s">
        <v>210</v>
      </c>
      <c r="B1761" t="s">
        <v>239</v>
      </c>
      <c r="C1761" t="s">
        <v>2033</v>
      </c>
    </row>
    <row r="1762" spans="1:3" x14ac:dyDescent="0.35">
      <c r="A1762" t="s">
        <v>210</v>
      </c>
      <c r="B1762" t="s">
        <v>239</v>
      </c>
      <c r="C1762" t="s">
        <v>2034</v>
      </c>
    </row>
    <row r="1763" spans="1:3" x14ac:dyDescent="0.35">
      <c r="A1763" t="s">
        <v>210</v>
      </c>
      <c r="B1763" t="s">
        <v>239</v>
      </c>
      <c r="C1763" t="s">
        <v>2035</v>
      </c>
    </row>
    <row r="1764" spans="1:3" x14ac:dyDescent="0.35">
      <c r="A1764" t="s">
        <v>210</v>
      </c>
      <c r="B1764" t="s">
        <v>239</v>
      </c>
      <c r="C1764" t="s">
        <v>2036</v>
      </c>
    </row>
    <row r="1765" spans="1:3" x14ac:dyDescent="0.35">
      <c r="A1765" t="s">
        <v>210</v>
      </c>
      <c r="B1765" t="s">
        <v>239</v>
      </c>
      <c r="C1765" t="s">
        <v>2037</v>
      </c>
    </row>
    <row r="1766" spans="1:3" x14ac:dyDescent="0.35">
      <c r="A1766" t="s">
        <v>210</v>
      </c>
      <c r="B1766" t="s">
        <v>239</v>
      </c>
      <c r="C1766" t="s">
        <v>2038</v>
      </c>
    </row>
    <row r="1767" spans="1:3" x14ac:dyDescent="0.35">
      <c r="A1767" t="s">
        <v>210</v>
      </c>
      <c r="B1767" t="s">
        <v>239</v>
      </c>
      <c r="C1767" t="s">
        <v>2039</v>
      </c>
    </row>
    <row r="1768" spans="1:3" x14ac:dyDescent="0.35">
      <c r="A1768" t="s">
        <v>210</v>
      </c>
      <c r="B1768" t="s">
        <v>239</v>
      </c>
      <c r="C1768" t="s">
        <v>2040</v>
      </c>
    </row>
    <row r="1769" spans="1:3" x14ac:dyDescent="0.35">
      <c r="A1769" t="s">
        <v>210</v>
      </c>
      <c r="B1769" t="s">
        <v>239</v>
      </c>
      <c r="C1769" t="s">
        <v>2041</v>
      </c>
    </row>
    <row r="1770" spans="1:3" x14ac:dyDescent="0.35">
      <c r="A1770" t="s">
        <v>210</v>
      </c>
      <c r="B1770" t="s">
        <v>239</v>
      </c>
      <c r="C1770" t="s">
        <v>2042</v>
      </c>
    </row>
    <row r="1771" spans="1:3" x14ac:dyDescent="0.35">
      <c r="A1771" t="s">
        <v>210</v>
      </c>
      <c r="B1771" t="s">
        <v>239</v>
      </c>
      <c r="C1771" t="s">
        <v>2043</v>
      </c>
    </row>
    <row r="1772" spans="1:3" x14ac:dyDescent="0.35">
      <c r="A1772" t="s">
        <v>210</v>
      </c>
      <c r="B1772" t="s">
        <v>239</v>
      </c>
      <c r="C1772" t="s">
        <v>2044</v>
      </c>
    </row>
    <row r="1773" spans="1:3" x14ac:dyDescent="0.35">
      <c r="A1773" t="s">
        <v>210</v>
      </c>
      <c r="B1773" t="s">
        <v>239</v>
      </c>
      <c r="C1773" t="s">
        <v>2045</v>
      </c>
    </row>
    <row r="1774" spans="1:3" x14ac:dyDescent="0.35">
      <c r="A1774" t="s">
        <v>210</v>
      </c>
      <c r="B1774" t="s">
        <v>239</v>
      </c>
      <c r="C1774" t="s">
        <v>2046</v>
      </c>
    </row>
    <row r="1775" spans="1:3" x14ac:dyDescent="0.35">
      <c r="A1775" t="s">
        <v>210</v>
      </c>
      <c r="B1775" t="s">
        <v>239</v>
      </c>
      <c r="C1775" t="s">
        <v>2047</v>
      </c>
    </row>
    <row r="1776" spans="1:3" x14ac:dyDescent="0.35">
      <c r="A1776" t="s">
        <v>210</v>
      </c>
      <c r="B1776" t="s">
        <v>239</v>
      </c>
      <c r="C1776" t="s">
        <v>2048</v>
      </c>
    </row>
    <row r="1777" spans="1:3" x14ac:dyDescent="0.35">
      <c r="A1777" t="s">
        <v>210</v>
      </c>
      <c r="B1777" t="s">
        <v>239</v>
      </c>
      <c r="C1777" t="s">
        <v>239</v>
      </c>
    </row>
    <row r="1778" spans="1:3" x14ac:dyDescent="0.35">
      <c r="A1778" t="s">
        <v>210</v>
      </c>
      <c r="B1778" t="s">
        <v>239</v>
      </c>
      <c r="C1778" t="s">
        <v>2049</v>
      </c>
    </row>
    <row r="1779" spans="1:3" x14ac:dyDescent="0.35">
      <c r="A1779" t="s">
        <v>210</v>
      </c>
      <c r="B1779" t="s">
        <v>239</v>
      </c>
      <c r="C1779" t="s">
        <v>2050</v>
      </c>
    </row>
    <row r="1780" spans="1:3" x14ac:dyDescent="0.35">
      <c r="A1780" t="s">
        <v>210</v>
      </c>
      <c r="B1780" t="s">
        <v>239</v>
      </c>
      <c r="C1780" t="s">
        <v>2051</v>
      </c>
    </row>
    <row r="1781" spans="1:3" x14ac:dyDescent="0.35">
      <c r="A1781" t="s">
        <v>210</v>
      </c>
      <c r="B1781" t="s">
        <v>239</v>
      </c>
      <c r="C1781" t="s">
        <v>2052</v>
      </c>
    </row>
    <row r="1782" spans="1:3" x14ac:dyDescent="0.35">
      <c r="A1782" t="s">
        <v>210</v>
      </c>
      <c r="B1782" t="s">
        <v>239</v>
      </c>
      <c r="C1782" t="s">
        <v>2053</v>
      </c>
    </row>
    <row r="1783" spans="1:3" x14ac:dyDescent="0.35">
      <c r="A1783" t="s">
        <v>210</v>
      </c>
      <c r="B1783" t="s">
        <v>239</v>
      </c>
      <c r="C1783" t="s">
        <v>2054</v>
      </c>
    </row>
    <row r="1784" spans="1:3" x14ac:dyDescent="0.35">
      <c r="A1784" t="s">
        <v>210</v>
      </c>
      <c r="B1784" t="s">
        <v>239</v>
      </c>
      <c r="C1784" t="s">
        <v>2055</v>
      </c>
    </row>
    <row r="1785" spans="1:3" x14ac:dyDescent="0.35">
      <c r="A1785" t="s">
        <v>210</v>
      </c>
      <c r="B1785" t="s">
        <v>239</v>
      </c>
      <c r="C1785" t="s">
        <v>2056</v>
      </c>
    </row>
    <row r="1786" spans="1:3" x14ac:dyDescent="0.35">
      <c r="A1786" t="s">
        <v>210</v>
      </c>
      <c r="B1786" t="s">
        <v>239</v>
      </c>
      <c r="C1786" t="s">
        <v>2057</v>
      </c>
    </row>
    <row r="1787" spans="1:3" x14ac:dyDescent="0.35">
      <c r="A1787" t="s">
        <v>210</v>
      </c>
      <c r="B1787" t="s">
        <v>239</v>
      </c>
      <c r="C1787" t="s">
        <v>2058</v>
      </c>
    </row>
    <row r="1788" spans="1:3" x14ac:dyDescent="0.35">
      <c r="A1788" t="s">
        <v>210</v>
      </c>
      <c r="B1788" t="s">
        <v>239</v>
      </c>
      <c r="C1788" t="s">
        <v>2059</v>
      </c>
    </row>
    <row r="1789" spans="1:3" x14ac:dyDescent="0.35">
      <c r="A1789" t="s">
        <v>210</v>
      </c>
      <c r="B1789" t="s">
        <v>239</v>
      </c>
      <c r="C1789" t="s">
        <v>2060</v>
      </c>
    </row>
    <row r="1790" spans="1:3" x14ac:dyDescent="0.35">
      <c r="A1790" t="s">
        <v>210</v>
      </c>
      <c r="B1790" t="s">
        <v>239</v>
      </c>
      <c r="C1790" t="s">
        <v>2061</v>
      </c>
    </row>
    <row r="1791" spans="1:3" x14ac:dyDescent="0.35">
      <c r="A1791" t="s">
        <v>210</v>
      </c>
      <c r="B1791" t="s">
        <v>239</v>
      </c>
      <c r="C1791" t="s">
        <v>2062</v>
      </c>
    </row>
    <row r="1792" spans="1:3" x14ac:dyDescent="0.35">
      <c r="A1792" t="s">
        <v>210</v>
      </c>
      <c r="B1792" t="s">
        <v>239</v>
      </c>
      <c r="C1792" t="s">
        <v>2063</v>
      </c>
    </row>
    <row r="1793" spans="1:3" x14ac:dyDescent="0.35">
      <c r="A1793" t="s">
        <v>210</v>
      </c>
      <c r="B1793" t="s">
        <v>239</v>
      </c>
      <c r="C1793" t="s">
        <v>2064</v>
      </c>
    </row>
    <row r="1794" spans="1:3" x14ac:dyDescent="0.35">
      <c r="A1794" t="s">
        <v>210</v>
      </c>
      <c r="B1794" t="s">
        <v>239</v>
      </c>
      <c r="C1794" t="s">
        <v>2065</v>
      </c>
    </row>
    <row r="1795" spans="1:3" x14ac:dyDescent="0.35">
      <c r="A1795" t="s">
        <v>210</v>
      </c>
      <c r="B1795" t="s">
        <v>239</v>
      </c>
      <c r="C1795" t="s">
        <v>2066</v>
      </c>
    </row>
    <row r="1796" spans="1:3" x14ac:dyDescent="0.35">
      <c r="A1796" t="s">
        <v>210</v>
      </c>
      <c r="B1796" t="s">
        <v>239</v>
      </c>
      <c r="C1796" t="s">
        <v>2067</v>
      </c>
    </row>
    <row r="1797" spans="1:3" x14ac:dyDescent="0.35">
      <c r="A1797" t="s">
        <v>210</v>
      </c>
      <c r="B1797" t="s">
        <v>253</v>
      </c>
      <c r="C1797" t="s">
        <v>2068</v>
      </c>
    </row>
    <row r="1798" spans="1:3" x14ac:dyDescent="0.35">
      <c r="A1798" t="s">
        <v>210</v>
      </c>
      <c r="B1798" t="s">
        <v>253</v>
      </c>
      <c r="C1798" t="s">
        <v>2069</v>
      </c>
    </row>
    <row r="1799" spans="1:3" x14ac:dyDescent="0.35">
      <c r="A1799" t="s">
        <v>210</v>
      </c>
      <c r="B1799" t="s">
        <v>253</v>
      </c>
      <c r="C1799" t="s">
        <v>2070</v>
      </c>
    </row>
    <row r="1800" spans="1:3" x14ac:dyDescent="0.35">
      <c r="A1800" t="s">
        <v>210</v>
      </c>
      <c r="B1800" t="s">
        <v>253</v>
      </c>
      <c r="C1800" t="s">
        <v>2071</v>
      </c>
    </row>
    <row r="1801" spans="1:3" x14ac:dyDescent="0.35">
      <c r="A1801" t="s">
        <v>210</v>
      </c>
      <c r="B1801" t="s">
        <v>253</v>
      </c>
      <c r="C1801" t="s">
        <v>2072</v>
      </c>
    </row>
    <row r="1802" spans="1:3" x14ac:dyDescent="0.35">
      <c r="A1802" t="s">
        <v>210</v>
      </c>
      <c r="B1802" t="s">
        <v>253</v>
      </c>
      <c r="C1802" t="s">
        <v>253</v>
      </c>
    </row>
    <row r="1803" spans="1:3" x14ac:dyDescent="0.35">
      <c r="A1803" t="s">
        <v>210</v>
      </c>
      <c r="B1803" t="s">
        <v>78</v>
      </c>
      <c r="C1803" t="s">
        <v>2073</v>
      </c>
    </row>
    <row r="1804" spans="1:3" x14ac:dyDescent="0.35">
      <c r="A1804" t="s">
        <v>210</v>
      </c>
      <c r="B1804" t="s">
        <v>78</v>
      </c>
      <c r="C1804" t="s">
        <v>2074</v>
      </c>
    </row>
    <row r="1805" spans="1:3" x14ac:dyDescent="0.35">
      <c r="A1805" t="s">
        <v>210</v>
      </c>
      <c r="B1805" t="s">
        <v>78</v>
      </c>
      <c r="C1805" t="s">
        <v>2075</v>
      </c>
    </row>
    <row r="1806" spans="1:3" x14ac:dyDescent="0.35">
      <c r="A1806" t="s">
        <v>210</v>
      </c>
      <c r="B1806" t="s">
        <v>78</v>
      </c>
      <c r="C1806" t="s">
        <v>2076</v>
      </c>
    </row>
    <row r="1807" spans="1:3" x14ac:dyDescent="0.35">
      <c r="A1807" t="s">
        <v>210</v>
      </c>
      <c r="B1807" t="s">
        <v>78</v>
      </c>
      <c r="C1807" t="s">
        <v>2077</v>
      </c>
    </row>
    <row r="1808" spans="1:3" x14ac:dyDescent="0.35">
      <c r="A1808" t="s">
        <v>210</v>
      </c>
      <c r="B1808" t="s">
        <v>78</v>
      </c>
      <c r="C1808" t="s">
        <v>2078</v>
      </c>
    </row>
    <row r="1809" spans="1:3" x14ac:dyDescent="0.35">
      <c r="A1809" t="s">
        <v>210</v>
      </c>
      <c r="B1809" t="s">
        <v>78</v>
      </c>
      <c r="C1809" t="s">
        <v>2079</v>
      </c>
    </row>
    <row r="1810" spans="1:3" x14ac:dyDescent="0.35">
      <c r="A1810" t="s">
        <v>210</v>
      </c>
      <c r="B1810" t="s">
        <v>78</v>
      </c>
      <c r="C1810" t="s">
        <v>2080</v>
      </c>
    </row>
    <row r="1811" spans="1:3" x14ac:dyDescent="0.35">
      <c r="A1811" t="s">
        <v>210</v>
      </c>
      <c r="B1811" t="s">
        <v>78</v>
      </c>
      <c r="C1811" t="s">
        <v>2081</v>
      </c>
    </row>
    <row r="1812" spans="1:3" x14ac:dyDescent="0.35">
      <c r="A1812" t="s">
        <v>210</v>
      </c>
      <c r="B1812" t="s">
        <v>78</v>
      </c>
      <c r="C1812" t="s">
        <v>2082</v>
      </c>
    </row>
    <row r="1813" spans="1:3" x14ac:dyDescent="0.35">
      <c r="A1813" t="s">
        <v>210</v>
      </c>
      <c r="B1813" t="s">
        <v>78</v>
      </c>
      <c r="C1813" t="s">
        <v>2083</v>
      </c>
    </row>
    <row r="1814" spans="1:3" x14ac:dyDescent="0.35">
      <c r="A1814" t="s">
        <v>210</v>
      </c>
      <c r="B1814" t="s">
        <v>78</v>
      </c>
      <c r="C1814" t="s">
        <v>2084</v>
      </c>
    </row>
    <row r="1815" spans="1:3" x14ac:dyDescent="0.35">
      <c r="A1815" t="s">
        <v>210</v>
      </c>
      <c r="B1815" t="s">
        <v>78</v>
      </c>
      <c r="C1815" t="s">
        <v>2085</v>
      </c>
    </row>
    <row r="1816" spans="1:3" x14ac:dyDescent="0.35">
      <c r="A1816" t="s">
        <v>210</v>
      </c>
      <c r="B1816" t="s">
        <v>78</v>
      </c>
      <c r="C1816" t="s">
        <v>2086</v>
      </c>
    </row>
    <row r="1817" spans="1:3" x14ac:dyDescent="0.35">
      <c r="A1817" t="s">
        <v>210</v>
      </c>
      <c r="B1817" t="s">
        <v>78</v>
      </c>
      <c r="C1817" t="s">
        <v>2087</v>
      </c>
    </row>
    <row r="1818" spans="1:3" x14ac:dyDescent="0.35">
      <c r="A1818" t="s">
        <v>210</v>
      </c>
      <c r="B1818" t="s">
        <v>78</v>
      </c>
      <c r="C1818" t="s">
        <v>2088</v>
      </c>
    </row>
    <row r="1819" spans="1:3" x14ac:dyDescent="0.35">
      <c r="A1819" t="s">
        <v>210</v>
      </c>
      <c r="B1819" t="s">
        <v>78</v>
      </c>
      <c r="C1819" t="s">
        <v>2089</v>
      </c>
    </row>
    <row r="1820" spans="1:3" x14ac:dyDescent="0.35">
      <c r="A1820" t="s">
        <v>210</v>
      </c>
      <c r="B1820" t="s">
        <v>78</v>
      </c>
      <c r="C1820" t="s">
        <v>2090</v>
      </c>
    </row>
    <row r="1821" spans="1:3" x14ac:dyDescent="0.35">
      <c r="A1821" t="s">
        <v>210</v>
      </c>
      <c r="B1821" t="s">
        <v>78</v>
      </c>
      <c r="C1821" t="s">
        <v>2091</v>
      </c>
    </row>
    <row r="1822" spans="1:3" x14ac:dyDescent="0.35">
      <c r="A1822" t="s">
        <v>210</v>
      </c>
      <c r="B1822" t="s">
        <v>78</v>
      </c>
      <c r="C1822" t="s">
        <v>2092</v>
      </c>
    </row>
    <row r="1823" spans="1:3" x14ac:dyDescent="0.35">
      <c r="A1823" t="s">
        <v>210</v>
      </c>
      <c r="B1823" t="s">
        <v>78</v>
      </c>
      <c r="C1823" t="s">
        <v>2093</v>
      </c>
    </row>
    <row r="1824" spans="1:3" x14ac:dyDescent="0.35">
      <c r="A1824" t="s">
        <v>210</v>
      </c>
      <c r="B1824" t="s">
        <v>78</v>
      </c>
      <c r="C1824" t="s">
        <v>2094</v>
      </c>
    </row>
    <row r="1825" spans="1:3" x14ac:dyDescent="0.35">
      <c r="A1825" t="s">
        <v>210</v>
      </c>
      <c r="B1825" t="s">
        <v>78</v>
      </c>
      <c r="C1825" t="s">
        <v>2095</v>
      </c>
    </row>
    <row r="1826" spans="1:3" x14ac:dyDescent="0.35">
      <c r="A1826" t="s">
        <v>210</v>
      </c>
      <c r="B1826" t="s">
        <v>78</v>
      </c>
      <c r="C1826" t="s">
        <v>2096</v>
      </c>
    </row>
    <row r="1827" spans="1:3" x14ac:dyDescent="0.35">
      <c r="A1827" t="s">
        <v>210</v>
      </c>
      <c r="B1827" t="s">
        <v>78</v>
      </c>
      <c r="C1827" t="s">
        <v>2097</v>
      </c>
    </row>
    <row r="1828" spans="1:3" x14ac:dyDescent="0.35">
      <c r="A1828" t="s">
        <v>210</v>
      </c>
      <c r="B1828" t="s">
        <v>78</v>
      </c>
      <c r="C1828" t="s">
        <v>2098</v>
      </c>
    </row>
    <row r="1829" spans="1:3" x14ac:dyDescent="0.35">
      <c r="A1829" t="s">
        <v>210</v>
      </c>
      <c r="B1829" t="s">
        <v>78</v>
      </c>
      <c r="C1829" t="s">
        <v>2099</v>
      </c>
    </row>
    <row r="1830" spans="1:3" x14ac:dyDescent="0.35">
      <c r="A1830" t="s">
        <v>210</v>
      </c>
      <c r="B1830" t="s">
        <v>78</v>
      </c>
      <c r="C1830" t="s">
        <v>2100</v>
      </c>
    </row>
    <row r="1831" spans="1:3" x14ac:dyDescent="0.35">
      <c r="A1831" t="s">
        <v>210</v>
      </c>
      <c r="B1831" t="s">
        <v>78</v>
      </c>
      <c r="C1831" t="s">
        <v>2101</v>
      </c>
    </row>
    <row r="1832" spans="1:3" x14ac:dyDescent="0.35">
      <c r="A1832" t="s">
        <v>210</v>
      </c>
      <c r="B1832" t="s">
        <v>78</v>
      </c>
      <c r="C1832" t="s">
        <v>2102</v>
      </c>
    </row>
    <row r="1833" spans="1:3" x14ac:dyDescent="0.35">
      <c r="A1833" t="s">
        <v>210</v>
      </c>
      <c r="B1833" t="s">
        <v>78</v>
      </c>
      <c r="C1833" t="s">
        <v>2103</v>
      </c>
    </row>
    <row r="1834" spans="1:3" x14ac:dyDescent="0.35">
      <c r="A1834" t="s">
        <v>210</v>
      </c>
      <c r="B1834" t="s">
        <v>78</v>
      </c>
      <c r="C1834" t="s">
        <v>2104</v>
      </c>
    </row>
    <row r="1835" spans="1:3" x14ac:dyDescent="0.35">
      <c r="A1835" t="s">
        <v>210</v>
      </c>
      <c r="B1835" t="s">
        <v>78</v>
      </c>
      <c r="C1835" t="s">
        <v>2105</v>
      </c>
    </row>
    <row r="1836" spans="1:3" x14ac:dyDescent="0.35">
      <c r="A1836" t="s">
        <v>210</v>
      </c>
      <c r="B1836" t="s">
        <v>78</v>
      </c>
      <c r="C1836" t="s">
        <v>2106</v>
      </c>
    </row>
    <row r="1837" spans="1:3" x14ac:dyDescent="0.35">
      <c r="A1837" t="s">
        <v>210</v>
      </c>
      <c r="B1837" t="s">
        <v>78</v>
      </c>
      <c r="C1837" t="s">
        <v>2107</v>
      </c>
    </row>
    <row r="1838" spans="1:3" x14ac:dyDescent="0.35">
      <c r="A1838" t="s">
        <v>210</v>
      </c>
      <c r="B1838" t="s">
        <v>78</v>
      </c>
      <c r="C1838" t="s">
        <v>2108</v>
      </c>
    </row>
    <row r="1839" spans="1:3" x14ac:dyDescent="0.35">
      <c r="A1839" t="s">
        <v>210</v>
      </c>
      <c r="B1839" t="s">
        <v>78</v>
      </c>
      <c r="C1839" t="s">
        <v>2109</v>
      </c>
    </row>
    <row r="1840" spans="1:3" x14ac:dyDescent="0.35">
      <c r="A1840" t="s">
        <v>210</v>
      </c>
      <c r="B1840" t="s">
        <v>78</v>
      </c>
      <c r="C1840" t="s">
        <v>2110</v>
      </c>
    </row>
    <row r="1841" spans="1:3" x14ac:dyDescent="0.35">
      <c r="A1841" t="s">
        <v>210</v>
      </c>
      <c r="B1841" t="s">
        <v>78</v>
      </c>
      <c r="C1841" t="s">
        <v>2111</v>
      </c>
    </row>
    <row r="1842" spans="1:3" x14ac:dyDescent="0.35">
      <c r="A1842" t="s">
        <v>210</v>
      </c>
      <c r="B1842" t="s">
        <v>78</v>
      </c>
      <c r="C1842" t="s">
        <v>2112</v>
      </c>
    </row>
    <row r="1843" spans="1:3" x14ac:dyDescent="0.35">
      <c r="A1843" t="s">
        <v>210</v>
      </c>
      <c r="B1843" t="s">
        <v>78</v>
      </c>
      <c r="C1843" t="s">
        <v>2113</v>
      </c>
    </row>
    <row r="1844" spans="1:3" x14ac:dyDescent="0.35">
      <c r="A1844" t="s">
        <v>210</v>
      </c>
      <c r="B1844" t="s">
        <v>78</v>
      </c>
      <c r="C1844" t="s">
        <v>2114</v>
      </c>
    </row>
    <row r="1845" spans="1:3" x14ac:dyDescent="0.35">
      <c r="A1845" t="s">
        <v>210</v>
      </c>
      <c r="B1845" t="s">
        <v>78</v>
      </c>
      <c r="C1845" t="s">
        <v>2115</v>
      </c>
    </row>
    <row r="1846" spans="1:3" x14ac:dyDescent="0.35">
      <c r="A1846" t="s">
        <v>210</v>
      </c>
      <c r="B1846" t="s">
        <v>78</v>
      </c>
      <c r="C1846" t="s">
        <v>2116</v>
      </c>
    </row>
    <row r="1847" spans="1:3" x14ac:dyDescent="0.35">
      <c r="A1847" t="s">
        <v>210</v>
      </c>
      <c r="B1847" t="s">
        <v>78</v>
      </c>
      <c r="C1847" t="s">
        <v>2117</v>
      </c>
    </row>
    <row r="1848" spans="1:3" x14ac:dyDescent="0.35">
      <c r="A1848" t="s">
        <v>210</v>
      </c>
      <c r="B1848" t="s">
        <v>78</v>
      </c>
      <c r="C1848" t="s">
        <v>2118</v>
      </c>
    </row>
    <row r="1849" spans="1:3" x14ac:dyDescent="0.35">
      <c r="A1849" t="s">
        <v>210</v>
      </c>
      <c r="B1849" t="s">
        <v>78</v>
      </c>
      <c r="C1849" t="s">
        <v>2119</v>
      </c>
    </row>
    <row r="1850" spans="1:3" x14ac:dyDescent="0.35">
      <c r="A1850" t="s">
        <v>210</v>
      </c>
      <c r="B1850" t="s">
        <v>78</v>
      </c>
      <c r="C1850" t="s">
        <v>2120</v>
      </c>
    </row>
    <row r="1851" spans="1:3" x14ac:dyDescent="0.35">
      <c r="A1851" t="s">
        <v>210</v>
      </c>
      <c r="B1851" t="s">
        <v>78</v>
      </c>
      <c r="C1851" t="s">
        <v>2121</v>
      </c>
    </row>
    <row r="1852" spans="1:3" x14ac:dyDescent="0.35">
      <c r="A1852" t="s">
        <v>210</v>
      </c>
      <c r="B1852" t="s">
        <v>78</v>
      </c>
      <c r="C1852" t="s">
        <v>2122</v>
      </c>
    </row>
    <row r="1853" spans="1:3" x14ac:dyDescent="0.35">
      <c r="A1853" t="s">
        <v>210</v>
      </c>
      <c r="B1853" t="s">
        <v>78</v>
      </c>
      <c r="C1853" t="s">
        <v>2123</v>
      </c>
    </row>
    <row r="1854" spans="1:3" x14ac:dyDescent="0.35">
      <c r="A1854" t="s">
        <v>210</v>
      </c>
      <c r="B1854" t="s">
        <v>78</v>
      </c>
      <c r="C1854" t="s">
        <v>2124</v>
      </c>
    </row>
    <row r="1855" spans="1:3" x14ac:dyDescent="0.35">
      <c r="A1855" t="s">
        <v>210</v>
      </c>
      <c r="B1855" t="s">
        <v>78</v>
      </c>
      <c r="C1855" t="s">
        <v>2125</v>
      </c>
    </row>
    <row r="1856" spans="1:3" x14ac:dyDescent="0.35">
      <c r="A1856" t="s">
        <v>210</v>
      </c>
      <c r="B1856" t="s">
        <v>78</v>
      </c>
      <c r="C1856" t="s">
        <v>2126</v>
      </c>
    </row>
    <row r="1857" spans="1:3" x14ac:dyDescent="0.35">
      <c r="A1857" t="s">
        <v>210</v>
      </c>
      <c r="B1857" t="s">
        <v>78</v>
      </c>
      <c r="C1857" t="s">
        <v>2127</v>
      </c>
    </row>
    <row r="1858" spans="1:3" x14ac:dyDescent="0.35">
      <c r="A1858" t="s">
        <v>210</v>
      </c>
      <c r="B1858" t="s">
        <v>78</v>
      </c>
      <c r="C1858" t="s">
        <v>2128</v>
      </c>
    </row>
    <row r="1859" spans="1:3" x14ac:dyDescent="0.35">
      <c r="A1859" t="s">
        <v>210</v>
      </c>
      <c r="B1859" t="s">
        <v>78</v>
      </c>
      <c r="C1859" t="s">
        <v>2129</v>
      </c>
    </row>
    <row r="1860" spans="1:3" x14ac:dyDescent="0.35">
      <c r="A1860" t="s">
        <v>210</v>
      </c>
      <c r="B1860" t="s">
        <v>78</v>
      </c>
      <c r="C1860" t="s">
        <v>2130</v>
      </c>
    </row>
    <row r="1861" spans="1:3" x14ac:dyDescent="0.35">
      <c r="A1861" t="s">
        <v>210</v>
      </c>
      <c r="B1861" t="s">
        <v>78</v>
      </c>
      <c r="C1861" t="s">
        <v>2131</v>
      </c>
    </row>
    <row r="1862" spans="1:3" x14ac:dyDescent="0.35">
      <c r="A1862" t="s">
        <v>210</v>
      </c>
      <c r="B1862" t="s">
        <v>78</v>
      </c>
      <c r="C1862" t="s">
        <v>2132</v>
      </c>
    </row>
    <row r="1863" spans="1:3" x14ac:dyDescent="0.35">
      <c r="A1863" t="s">
        <v>210</v>
      </c>
      <c r="B1863" t="s">
        <v>78</v>
      </c>
      <c r="C1863" t="s">
        <v>2133</v>
      </c>
    </row>
    <row r="1864" spans="1:3" x14ac:dyDescent="0.35">
      <c r="A1864" t="s">
        <v>210</v>
      </c>
      <c r="B1864" t="s">
        <v>78</v>
      </c>
      <c r="C1864" t="s">
        <v>2134</v>
      </c>
    </row>
    <row r="1865" spans="1:3" x14ac:dyDescent="0.35">
      <c r="A1865" t="s">
        <v>210</v>
      </c>
      <c r="B1865" t="s">
        <v>78</v>
      </c>
      <c r="C1865" t="s">
        <v>2135</v>
      </c>
    </row>
    <row r="1866" spans="1:3" x14ac:dyDescent="0.35">
      <c r="A1866" t="s">
        <v>210</v>
      </c>
      <c r="B1866" t="s">
        <v>78</v>
      </c>
      <c r="C1866" t="s">
        <v>2136</v>
      </c>
    </row>
    <row r="1867" spans="1:3" x14ac:dyDescent="0.35">
      <c r="A1867" t="s">
        <v>210</v>
      </c>
      <c r="B1867" t="s">
        <v>78</v>
      </c>
      <c r="C1867" t="s">
        <v>2137</v>
      </c>
    </row>
    <row r="1868" spans="1:3" x14ac:dyDescent="0.35">
      <c r="A1868" t="s">
        <v>210</v>
      </c>
      <c r="B1868" t="s">
        <v>78</v>
      </c>
      <c r="C1868" t="s">
        <v>2138</v>
      </c>
    </row>
    <row r="1869" spans="1:3" x14ac:dyDescent="0.35">
      <c r="A1869" t="s">
        <v>210</v>
      </c>
      <c r="B1869" t="s">
        <v>78</v>
      </c>
      <c r="C1869" t="s">
        <v>2139</v>
      </c>
    </row>
    <row r="1870" spans="1:3" x14ac:dyDescent="0.35">
      <c r="A1870" t="s">
        <v>210</v>
      </c>
      <c r="B1870" t="s">
        <v>78</v>
      </c>
      <c r="C1870" t="s">
        <v>2140</v>
      </c>
    </row>
    <row r="1871" spans="1:3" x14ac:dyDescent="0.35">
      <c r="A1871" t="s">
        <v>210</v>
      </c>
      <c r="B1871" t="s">
        <v>78</v>
      </c>
      <c r="C1871" t="s">
        <v>2141</v>
      </c>
    </row>
    <row r="1872" spans="1:3" x14ac:dyDescent="0.35">
      <c r="A1872" t="s">
        <v>210</v>
      </c>
      <c r="B1872" t="s">
        <v>78</v>
      </c>
      <c r="C1872" t="s">
        <v>2142</v>
      </c>
    </row>
    <row r="1873" spans="1:3" x14ac:dyDescent="0.35">
      <c r="A1873" t="s">
        <v>210</v>
      </c>
      <c r="B1873" t="s">
        <v>78</v>
      </c>
      <c r="C1873" t="s">
        <v>2143</v>
      </c>
    </row>
    <row r="1874" spans="1:3" x14ac:dyDescent="0.35">
      <c r="A1874" t="s">
        <v>210</v>
      </c>
      <c r="B1874" t="s">
        <v>78</v>
      </c>
      <c r="C1874" t="s">
        <v>2144</v>
      </c>
    </row>
    <row r="1875" spans="1:3" x14ac:dyDescent="0.35">
      <c r="A1875" t="s">
        <v>210</v>
      </c>
      <c r="B1875" t="s">
        <v>78</v>
      </c>
      <c r="C1875" t="s">
        <v>2145</v>
      </c>
    </row>
    <row r="1876" spans="1:3" x14ac:dyDescent="0.35">
      <c r="A1876" t="s">
        <v>210</v>
      </c>
      <c r="B1876" t="s">
        <v>78</v>
      </c>
      <c r="C1876" t="s">
        <v>2146</v>
      </c>
    </row>
    <row r="1877" spans="1:3" x14ac:dyDescent="0.35">
      <c r="A1877" t="s">
        <v>210</v>
      </c>
      <c r="B1877" t="s">
        <v>78</v>
      </c>
      <c r="C1877" t="s">
        <v>2147</v>
      </c>
    </row>
    <row r="1878" spans="1:3" x14ac:dyDescent="0.35">
      <c r="A1878" t="s">
        <v>210</v>
      </c>
      <c r="B1878" t="s">
        <v>78</v>
      </c>
      <c r="C1878" t="s">
        <v>2148</v>
      </c>
    </row>
    <row r="1879" spans="1:3" x14ac:dyDescent="0.35">
      <c r="A1879" t="s">
        <v>210</v>
      </c>
      <c r="B1879" t="s">
        <v>78</v>
      </c>
      <c r="C1879" t="s">
        <v>2149</v>
      </c>
    </row>
    <row r="1880" spans="1:3" x14ac:dyDescent="0.35">
      <c r="A1880" t="s">
        <v>210</v>
      </c>
      <c r="B1880" t="s">
        <v>78</v>
      </c>
      <c r="C1880" t="s">
        <v>2150</v>
      </c>
    </row>
    <row r="1881" spans="1:3" x14ac:dyDescent="0.35">
      <c r="A1881" t="s">
        <v>210</v>
      </c>
      <c r="B1881" t="s">
        <v>78</v>
      </c>
      <c r="C1881" t="s">
        <v>2151</v>
      </c>
    </row>
    <row r="1882" spans="1:3" x14ac:dyDescent="0.35">
      <c r="A1882" t="s">
        <v>210</v>
      </c>
      <c r="B1882" t="s">
        <v>78</v>
      </c>
      <c r="C1882" t="s">
        <v>2152</v>
      </c>
    </row>
    <row r="1883" spans="1:3" x14ac:dyDescent="0.35">
      <c r="A1883" t="s">
        <v>210</v>
      </c>
      <c r="B1883" t="s">
        <v>78</v>
      </c>
      <c r="C1883" t="s">
        <v>2153</v>
      </c>
    </row>
    <row r="1884" spans="1:3" x14ac:dyDescent="0.35">
      <c r="A1884" t="s">
        <v>210</v>
      </c>
      <c r="B1884" t="s">
        <v>78</v>
      </c>
      <c r="C1884" t="s">
        <v>2154</v>
      </c>
    </row>
    <row r="1885" spans="1:3" x14ac:dyDescent="0.35">
      <c r="A1885" t="s">
        <v>210</v>
      </c>
      <c r="B1885" t="s">
        <v>78</v>
      </c>
      <c r="C1885" t="s">
        <v>2155</v>
      </c>
    </row>
    <row r="1886" spans="1:3" x14ac:dyDescent="0.35">
      <c r="A1886" t="s">
        <v>210</v>
      </c>
      <c r="B1886" t="s">
        <v>78</v>
      </c>
      <c r="C1886" t="s">
        <v>2156</v>
      </c>
    </row>
    <row r="1887" spans="1:3" x14ac:dyDescent="0.35">
      <c r="A1887" t="s">
        <v>210</v>
      </c>
      <c r="B1887" t="s">
        <v>78</v>
      </c>
      <c r="C1887" t="s">
        <v>2157</v>
      </c>
    </row>
    <row r="1888" spans="1:3" x14ac:dyDescent="0.35">
      <c r="A1888" t="s">
        <v>210</v>
      </c>
      <c r="B1888" t="s">
        <v>78</v>
      </c>
      <c r="C1888" t="s">
        <v>2158</v>
      </c>
    </row>
    <row r="1889" spans="1:3" x14ac:dyDescent="0.35">
      <c r="A1889" t="s">
        <v>210</v>
      </c>
      <c r="B1889" t="s">
        <v>78</v>
      </c>
      <c r="C1889" t="s">
        <v>2159</v>
      </c>
    </row>
    <row r="1890" spans="1:3" x14ac:dyDescent="0.35">
      <c r="A1890" t="s">
        <v>210</v>
      </c>
      <c r="B1890" t="s">
        <v>78</v>
      </c>
      <c r="C1890" t="s">
        <v>2160</v>
      </c>
    </row>
    <row r="1891" spans="1:3" x14ac:dyDescent="0.35">
      <c r="A1891" t="s">
        <v>210</v>
      </c>
      <c r="B1891" t="s">
        <v>78</v>
      </c>
      <c r="C1891" t="s">
        <v>2161</v>
      </c>
    </row>
    <row r="1892" spans="1:3" x14ac:dyDescent="0.35">
      <c r="A1892" t="s">
        <v>210</v>
      </c>
      <c r="B1892" t="s">
        <v>78</v>
      </c>
      <c r="C1892" t="s">
        <v>2162</v>
      </c>
    </row>
    <row r="1893" spans="1:3" x14ac:dyDescent="0.35">
      <c r="A1893" t="s">
        <v>210</v>
      </c>
      <c r="B1893" t="s">
        <v>78</v>
      </c>
      <c r="C1893" t="s">
        <v>2163</v>
      </c>
    </row>
    <row r="1894" spans="1:3" x14ac:dyDescent="0.35">
      <c r="A1894" t="s">
        <v>210</v>
      </c>
      <c r="B1894" t="s">
        <v>78</v>
      </c>
      <c r="C1894" t="s">
        <v>2164</v>
      </c>
    </row>
    <row r="1895" spans="1:3" x14ac:dyDescent="0.35">
      <c r="A1895" t="s">
        <v>210</v>
      </c>
      <c r="B1895" t="s">
        <v>78</v>
      </c>
      <c r="C1895" t="s">
        <v>2165</v>
      </c>
    </row>
    <row r="1896" spans="1:3" x14ac:dyDescent="0.35">
      <c r="A1896" t="s">
        <v>210</v>
      </c>
      <c r="B1896" t="s">
        <v>78</v>
      </c>
      <c r="C1896" t="s">
        <v>2166</v>
      </c>
    </row>
    <row r="1897" spans="1:3" x14ac:dyDescent="0.35">
      <c r="A1897" t="s">
        <v>210</v>
      </c>
      <c r="B1897" t="s">
        <v>78</v>
      </c>
      <c r="C1897" t="s">
        <v>2167</v>
      </c>
    </row>
    <row r="1898" spans="1:3" x14ac:dyDescent="0.35">
      <c r="A1898" t="s">
        <v>210</v>
      </c>
      <c r="B1898" t="s">
        <v>78</v>
      </c>
      <c r="C1898" t="s">
        <v>2168</v>
      </c>
    </row>
    <row r="1899" spans="1:3" x14ac:dyDescent="0.35">
      <c r="A1899" t="s">
        <v>210</v>
      </c>
      <c r="B1899" t="s">
        <v>78</v>
      </c>
      <c r="C1899" t="s">
        <v>2169</v>
      </c>
    </row>
    <row r="1900" spans="1:3" x14ac:dyDescent="0.35">
      <c r="A1900" t="s">
        <v>210</v>
      </c>
      <c r="B1900" t="s">
        <v>78</v>
      </c>
      <c r="C1900" t="s">
        <v>2170</v>
      </c>
    </row>
    <row r="1901" spans="1:3" x14ac:dyDescent="0.35">
      <c r="A1901" t="s">
        <v>210</v>
      </c>
      <c r="B1901" t="s">
        <v>78</v>
      </c>
      <c r="C1901" t="s">
        <v>2171</v>
      </c>
    </row>
    <row r="1902" spans="1:3" x14ac:dyDescent="0.35">
      <c r="A1902" t="s">
        <v>210</v>
      </c>
      <c r="B1902" t="s">
        <v>78</v>
      </c>
      <c r="C1902" t="s">
        <v>2172</v>
      </c>
    </row>
    <row r="1903" spans="1:3" x14ac:dyDescent="0.35">
      <c r="A1903" t="s">
        <v>210</v>
      </c>
      <c r="B1903" t="s">
        <v>78</v>
      </c>
      <c r="C1903" t="s">
        <v>2173</v>
      </c>
    </row>
    <row r="1904" spans="1:3" x14ac:dyDescent="0.35">
      <c r="A1904" t="s">
        <v>210</v>
      </c>
      <c r="B1904" t="s">
        <v>78</v>
      </c>
      <c r="C1904" t="s">
        <v>2174</v>
      </c>
    </row>
    <row r="1905" spans="1:3" x14ac:dyDescent="0.35">
      <c r="A1905" t="s">
        <v>210</v>
      </c>
      <c r="B1905" t="s">
        <v>78</v>
      </c>
      <c r="C1905" t="s">
        <v>2175</v>
      </c>
    </row>
    <row r="1906" spans="1:3" x14ac:dyDescent="0.35">
      <c r="A1906" t="s">
        <v>210</v>
      </c>
      <c r="B1906" t="s">
        <v>78</v>
      </c>
      <c r="C1906" t="s">
        <v>2176</v>
      </c>
    </row>
    <row r="1907" spans="1:3" x14ac:dyDescent="0.35">
      <c r="A1907" t="s">
        <v>210</v>
      </c>
      <c r="B1907" t="s">
        <v>78</v>
      </c>
      <c r="C1907" t="s">
        <v>2177</v>
      </c>
    </row>
    <row r="1908" spans="1:3" x14ac:dyDescent="0.35">
      <c r="A1908" t="s">
        <v>210</v>
      </c>
      <c r="B1908" t="s">
        <v>78</v>
      </c>
      <c r="C1908" t="s">
        <v>2178</v>
      </c>
    </row>
    <row r="1909" spans="1:3" x14ac:dyDescent="0.35">
      <c r="A1909" t="s">
        <v>210</v>
      </c>
      <c r="B1909" t="s">
        <v>78</v>
      </c>
      <c r="C1909" t="s">
        <v>2179</v>
      </c>
    </row>
    <row r="1910" spans="1:3" x14ac:dyDescent="0.35">
      <c r="A1910" t="s">
        <v>210</v>
      </c>
      <c r="B1910" t="s">
        <v>78</v>
      </c>
      <c r="C1910" t="s">
        <v>2180</v>
      </c>
    </row>
    <row r="1911" spans="1:3" x14ac:dyDescent="0.35">
      <c r="A1911" t="s">
        <v>210</v>
      </c>
      <c r="B1911" t="s">
        <v>78</v>
      </c>
      <c r="C1911" t="s">
        <v>2181</v>
      </c>
    </row>
    <row r="1912" spans="1:3" x14ac:dyDescent="0.35">
      <c r="A1912" t="s">
        <v>210</v>
      </c>
      <c r="B1912" t="s">
        <v>78</v>
      </c>
      <c r="C1912" t="s">
        <v>2182</v>
      </c>
    </row>
    <row r="1913" spans="1:3" x14ac:dyDescent="0.35">
      <c r="A1913" t="s">
        <v>210</v>
      </c>
      <c r="B1913" t="s">
        <v>78</v>
      </c>
      <c r="C1913" t="s">
        <v>2183</v>
      </c>
    </row>
    <row r="1914" spans="1:3" x14ac:dyDescent="0.35">
      <c r="A1914" t="s">
        <v>210</v>
      </c>
      <c r="B1914" t="s">
        <v>78</v>
      </c>
      <c r="C1914" t="s">
        <v>2184</v>
      </c>
    </row>
    <row r="1915" spans="1:3" x14ac:dyDescent="0.35">
      <c r="A1915" t="s">
        <v>210</v>
      </c>
      <c r="B1915" t="s">
        <v>78</v>
      </c>
      <c r="C1915" t="s">
        <v>2185</v>
      </c>
    </row>
    <row r="1916" spans="1:3" x14ac:dyDescent="0.35">
      <c r="A1916" t="s">
        <v>210</v>
      </c>
      <c r="B1916" t="s">
        <v>78</v>
      </c>
      <c r="C1916" t="s">
        <v>2186</v>
      </c>
    </row>
    <row r="1917" spans="1:3" x14ac:dyDescent="0.35">
      <c r="A1917" t="s">
        <v>210</v>
      </c>
      <c r="B1917" t="s">
        <v>78</v>
      </c>
      <c r="C1917" t="s">
        <v>2187</v>
      </c>
    </row>
    <row r="1918" spans="1:3" x14ac:dyDescent="0.35">
      <c r="A1918" t="s">
        <v>210</v>
      </c>
      <c r="B1918" t="s">
        <v>78</v>
      </c>
      <c r="C1918" t="s">
        <v>2188</v>
      </c>
    </row>
    <row r="1919" spans="1:3" x14ac:dyDescent="0.35">
      <c r="A1919" t="s">
        <v>210</v>
      </c>
      <c r="B1919" t="s">
        <v>78</v>
      </c>
      <c r="C1919" t="s">
        <v>2189</v>
      </c>
    </row>
    <row r="1920" spans="1:3" x14ac:dyDescent="0.35">
      <c r="A1920" t="s">
        <v>210</v>
      </c>
      <c r="B1920" t="s">
        <v>78</v>
      </c>
      <c r="C1920" t="s">
        <v>2190</v>
      </c>
    </row>
    <row r="1921" spans="1:3" x14ac:dyDescent="0.35">
      <c r="A1921" t="s">
        <v>210</v>
      </c>
      <c r="B1921" t="s">
        <v>78</v>
      </c>
      <c r="C1921" t="s">
        <v>2191</v>
      </c>
    </row>
    <row r="1922" spans="1:3" x14ac:dyDescent="0.35">
      <c r="A1922" t="s">
        <v>210</v>
      </c>
      <c r="B1922" t="s">
        <v>78</v>
      </c>
      <c r="C1922" t="s">
        <v>2192</v>
      </c>
    </row>
    <row r="1923" spans="1:3" x14ac:dyDescent="0.35">
      <c r="A1923" t="s">
        <v>210</v>
      </c>
      <c r="B1923" t="s">
        <v>78</v>
      </c>
      <c r="C1923" t="s">
        <v>2193</v>
      </c>
    </row>
    <row r="1924" spans="1:3" x14ac:dyDescent="0.35">
      <c r="A1924" t="s">
        <v>210</v>
      </c>
      <c r="B1924" t="s">
        <v>78</v>
      </c>
      <c r="C1924" t="s">
        <v>2194</v>
      </c>
    </row>
    <row r="1925" spans="1:3" x14ac:dyDescent="0.35">
      <c r="A1925" t="s">
        <v>210</v>
      </c>
      <c r="B1925" t="s">
        <v>78</v>
      </c>
      <c r="C1925" t="s">
        <v>2195</v>
      </c>
    </row>
    <row r="1926" spans="1:3" x14ac:dyDescent="0.35">
      <c r="A1926" t="s">
        <v>210</v>
      </c>
      <c r="B1926" t="s">
        <v>78</v>
      </c>
      <c r="C1926" t="s">
        <v>2196</v>
      </c>
    </row>
    <row r="1927" spans="1:3" x14ac:dyDescent="0.35">
      <c r="A1927" t="s">
        <v>210</v>
      </c>
      <c r="B1927" t="s">
        <v>78</v>
      </c>
      <c r="C1927" t="s">
        <v>2197</v>
      </c>
    </row>
    <row r="1928" spans="1:3" x14ac:dyDescent="0.35">
      <c r="A1928" t="s">
        <v>210</v>
      </c>
      <c r="B1928" t="s">
        <v>78</v>
      </c>
      <c r="C1928" t="s">
        <v>2198</v>
      </c>
    </row>
    <row r="1929" spans="1:3" x14ac:dyDescent="0.35">
      <c r="A1929" t="s">
        <v>210</v>
      </c>
      <c r="B1929" t="s">
        <v>78</v>
      </c>
      <c r="C1929" t="s">
        <v>2199</v>
      </c>
    </row>
    <row r="1930" spans="1:3" x14ac:dyDescent="0.35">
      <c r="A1930" t="s">
        <v>210</v>
      </c>
      <c r="B1930" t="s">
        <v>78</v>
      </c>
      <c r="C1930" t="s">
        <v>78</v>
      </c>
    </row>
    <row r="1931" spans="1:3" x14ac:dyDescent="0.35">
      <c r="A1931" t="s">
        <v>210</v>
      </c>
      <c r="B1931" t="s">
        <v>78</v>
      </c>
      <c r="C1931" t="s">
        <v>2200</v>
      </c>
    </row>
    <row r="1932" spans="1:3" x14ac:dyDescent="0.35">
      <c r="A1932" t="s">
        <v>210</v>
      </c>
      <c r="B1932" t="s">
        <v>78</v>
      </c>
      <c r="C1932" t="s">
        <v>2201</v>
      </c>
    </row>
    <row r="1933" spans="1:3" x14ac:dyDescent="0.35">
      <c r="A1933" t="s">
        <v>210</v>
      </c>
      <c r="B1933" t="s">
        <v>78</v>
      </c>
      <c r="C1933" t="s">
        <v>2202</v>
      </c>
    </row>
    <row r="1934" spans="1:3" x14ac:dyDescent="0.35">
      <c r="A1934" t="s">
        <v>210</v>
      </c>
      <c r="B1934" t="s">
        <v>78</v>
      </c>
      <c r="C1934" t="s">
        <v>2203</v>
      </c>
    </row>
    <row r="1935" spans="1:3" x14ac:dyDescent="0.35">
      <c r="A1935" t="s">
        <v>210</v>
      </c>
      <c r="B1935" t="s">
        <v>78</v>
      </c>
      <c r="C1935" t="s">
        <v>2204</v>
      </c>
    </row>
    <row r="1936" spans="1:3" x14ac:dyDescent="0.35">
      <c r="A1936" t="s">
        <v>210</v>
      </c>
      <c r="B1936" t="s">
        <v>78</v>
      </c>
      <c r="C1936" t="s">
        <v>2205</v>
      </c>
    </row>
    <row r="1937" spans="1:3" x14ac:dyDescent="0.35">
      <c r="A1937" t="s">
        <v>211</v>
      </c>
      <c r="B1937" t="s">
        <v>55</v>
      </c>
      <c r="C1937" t="s">
        <v>2206</v>
      </c>
    </row>
    <row r="1938" spans="1:3" x14ac:dyDescent="0.35">
      <c r="A1938" t="s">
        <v>211</v>
      </c>
      <c r="B1938" t="s">
        <v>55</v>
      </c>
      <c r="C1938" t="s">
        <v>2207</v>
      </c>
    </row>
    <row r="1939" spans="1:3" x14ac:dyDescent="0.35">
      <c r="A1939" t="s">
        <v>211</v>
      </c>
      <c r="B1939" t="s">
        <v>55</v>
      </c>
      <c r="C1939" t="s">
        <v>2208</v>
      </c>
    </row>
    <row r="1940" spans="1:3" x14ac:dyDescent="0.35">
      <c r="A1940" t="s">
        <v>211</v>
      </c>
      <c r="B1940" t="s">
        <v>55</v>
      </c>
      <c r="C1940" t="s">
        <v>2209</v>
      </c>
    </row>
    <row r="1941" spans="1:3" x14ac:dyDescent="0.35">
      <c r="A1941" t="s">
        <v>211</v>
      </c>
      <c r="B1941" t="s">
        <v>55</v>
      </c>
      <c r="C1941" t="s">
        <v>2210</v>
      </c>
    </row>
    <row r="1942" spans="1:3" x14ac:dyDescent="0.35">
      <c r="A1942" t="s">
        <v>211</v>
      </c>
      <c r="B1942" t="s">
        <v>55</v>
      </c>
      <c r="C1942" t="s">
        <v>2211</v>
      </c>
    </row>
    <row r="1943" spans="1:3" x14ac:dyDescent="0.35">
      <c r="A1943" t="s">
        <v>211</v>
      </c>
      <c r="B1943" t="s">
        <v>55</v>
      </c>
      <c r="C1943" t="s">
        <v>2212</v>
      </c>
    </row>
    <row r="1944" spans="1:3" x14ac:dyDescent="0.35">
      <c r="A1944" t="s">
        <v>211</v>
      </c>
      <c r="B1944" t="s">
        <v>55</v>
      </c>
      <c r="C1944" t="s">
        <v>2213</v>
      </c>
    </row>
    <row r="1945" spans="1:3" x14ac:dyDescent="0.35">
      <c r="A1945" t="s">
        <v>211</v>
      </c>
      <c r="B1945" t="s">
        <v>55</v>
      </c>
      <c r="C1945" t="s">
        <v>2214</v>
      </c>
    </row>
    <row r="1946" spans="1:3" x14ac:dyDescent="0.35">
      <c r="A1946" t="s">
        <v>211</v>
      </c>
      <c r="B1946" t="s">
        <v>55</v>
      </c>
      <c r="C1946" t="s">
        <v>2215</v>
      </c>
    </row>
    <row r="1947" spans="1:3" x14ac:dyDescent="0.35">
      <c r="A1947" t="s">
        <v>211</v>
      </c>
      <c r="B1947" t="s">
        <v>55</v>
      </c>
      <c r="C1947" t="s">
        <v>2216</v>
      </c>
    </row>
    <row r="1948" spans="1:3" x14ac:dyDescent="0.35">
      <c r="A1948" t="s">
        <v>211</v>
      </c>
      <c r="B1948" t="s">
        <v>55</v>
      </c>
      <c r="C1948" t="s">
        <v>2217</v>
      </c>
    </row>
    <row r="1949" spans="1:3" x14ac:dyDescent="0.35">
      <c r="A1949" t="s">
        <v>211</v>
      </c>
      <c r="B1949" t="s">
        <v>55</v>
      </c>
      <c r="C1949" t="s">
        <v>2218</v>
      </c>
    </row>
    <row r="1950" spans="1:3" x14ac:dyDescent="0.35">
      <c r="A1950" t="s">
        <v>211</v>
      </c>
      <c r="B1950" t="s">
        <v>55</v>
      </c>
      <c r="C1950" t="s">
        <v>2219</v>
      </c>
    </row>
    <row r="1951" spans="1:3" x14ac:dyDescent="0.35">
      <c r="A1951" t="s">
        <v>211</v>
      </c>
      <c r="B1951" t="s">
        <v>55</v>
      </c>
      <c r="C1951" t="s">
        <v>2220</v>
      </c>
    </row>
    <row r="1952" spans="1:3" x14ac:dyDescent="0.35">
      <c r="A1952" t="s">
        <v>211</v>
      </c>
      <c r="B1952" t="s">
        <v>55</v>
      </c>
      <c r="C1952" t="s">
        <v>2221</v>
      </c>
    </row>
    <row r="1953" spans="1:3" x14ac:dyDescent="0.35">
      <c r="A1953" t="s">
        <v>211</v>
      </c>
      <c r="B1953" t="s">
        <v>55</v>
      </c>
      <c r="C1953" t="s">
        <v>2222</v>
      </c>
    </row>
    <row r="1954" spans="1:3" x14ac:dyDescent="0.35">
      <c r="A1954" t="s">
        <v>211</v>
      </c>
      <c r="B1954" t="s">
        <v>55</v>
      </c>
      <c r="C1954" t="s">
        <v>2223</v>
      </c>
    </row>
    <row r="1955" spans="1:3" x14ac:dyDescent="0.35">
      <c r="A1955" t="s">
        <v>211</v>
      </c>
      <c r="B1955" t="s">
        <v>55</v>
      </c>
      <c r="C1955" t="s">
        <v>2224</v>
      </c>
    </row>
    <row r="1956" spans="1:3" x14ac:dyDescent="0.35">
      <c r="A1956" t="s">
        <v>211</v>
      </c>
      <c r="B1956" t="s">
        <v>55</v>
      </c>
      <c r="C1956" t="s">
        <v>2225</v>
      </c>
    </row>
    <row r="1957" spans="1:3" x14ac:dyDescent="0.35">
      <c r="A1957" t="s">
        <v>211</v>
      </c>
      <c r="B1957" t="s">
        <v>55</v>
      </c>
      <c r="C1957" t="s">
        <v>2226</v>
      </c>
    </row>
    <row r="1958" spans="1:3" x14ac:dyDescent="0.35">
      <c r="A1958" t="s">
        <v>211</v>
      </c>
      <c r="B1958" t="s">
        <v>55</v>
      </c>
      <c r="C1958" t="s">
        <v>2227</v>
      </c>
    </row>
    <row r="1959" spans="1:3" x14ac:dyDescent="0.35">
      <c r="A1959" t="s">
        <v>211</v>
      </c>
      <c r="B1959" t="s">
        <v>55</v>
      </c>
      <c r="C1959" t="s">
        <v>2228</v>
      </c>
    </row>
    <row r="1960" spans="1:3" x14ac:dyDescent="0.35">
      <c r="A1960" t="s">
        <v>211</v>
      </c>
      <c r="B1960" t="s">
        <v>55</v>
      </c>
      <c r="C1960" t="s">
        <v>2229</v>
      </c>
    </row>
    <row r="1961" spans="1:3" x14ac:dyDescent="0.35">
      <c r="A1961" t="s">
        <v>211</v>
      </c>
      <c r="B1961" t="s">
        <v>55</v>
      </c>
      <c r="C1961" t="s">
        <v>2230</v>
      </c>
    </row>
    <row r="1962" spans="1:3" x14ac:dyDescent="0.35">
      <c r="A1962" t="s">
        <v>211</v>
      </c>
      <c r="B1962" t="s">
        <v>55</v>
      </c>
      <c r="C1962" t="s">
        <v>2231</v>
      </c>
    </row>
    <row r="1963" spans="1:3" x14ac:dyDescent="0.35">
      <c r="A1963" t="s">
        <v>211</v>
      </c>
      <c r="B1963" t="s">
        <v>55</v>
      </c>
      <c r="C1963" t="s">
        <v>2232</v>
      </c>
    </row>
    <row r="1964" spans="1:3" x14ac:dyDescent="0.35">
      <c r="A1964" t="s">
        <v>211</v>
      </c>
      <c r="B1964" t="s">
        <v>55</v>
      </c>
      <c r="C1964" t="s">
        <v>2233</v>
      </c>
    </row>
    <row r="1965" spans="1:3" x14ac:dyDescent="0.35">
      <c r="A1965" t="s">
        <v>211</v>
      </c>
      <c r="B1965" t="s">
        <v>55</v>
      </c>
      <c r="C1965" t="s">
        <v>2234</v>
      </c>
    </row>
    <row r="1966" spans="1:3" x14ac:dyDescent="0.35">
      <c r="A1966" t="s">
        <v>211</v>
      </c>
      <c r="B1966" t="s">
        <v>55</v>
      </c>
      <c r="C1966" t="s">
        <v>2235</v>
      </c>
    </row>
    <row r="1967" spans="1:3" x14ac:dyDescent="0.35">
      <c r="A1967" t="s">
        <v>211</v>
      </c>
      <c r="B1967" t="s">
        <v>55</v>
      </c>
      <c r="C1967" t="s">
        <v>2236</v>
      </c>
    </row>
    <row r="1968" spans="1:3" x14ac:dyDescent="0.35">
      <c r="A1968" t="s">
        <v>211</v>
      </c>
      <c r="B1968" t="s">
        <v>55</v>
      </c>
      <c r="C1968" t="s">
        <v>2237</v>
      </c>
    </row>
    <row r="1969" spans="1:3" x14ac:dyDescent="0.35">
      <c r="A1969" t="s">
        <v>211</v>
      </c>
      <c r="B1969" t="s">
        <v>55</v>
      </c>
      <c r="C1969" t="s">
        <v>2238</v>
      </c>
    </row>
    <row r="1970" spans="1:3" x14ac:dyDescent="0.35">
      <c r="A1970" t="s">
        <v>211</v>
      </c>
      <c r="B1970" t="s">
        <v>55</v>
      </c>
      <c r="C1970" t="s">
        <v>2239</v>
      </c>
    </row>
    <row r="1971" spans="1:3" x14ac:dyDescent="0.35">
      <c r="A1971" t="s">
        <v>211</v>
      </c>
      <c r="B1971" t="s">
        <v>55</v>
      </c>
      <c r="C1971" t="s">
        <v>2240</v>
      </c>
    </row>
    <row r="1972" spans="1:3" x14ac:dyDescent="0.35">
      <c r="A1972" t="s">
        <v>211</v>
      </c>
      <c r="B1972" t="s">
        <v>55</v>
      </c>
      <c r="C1972" t="s">
        <v>2241</v>
      </c>
    </row>
    <row r="1973" spans="1:3" x14ac:dyDescent="0.35">
      <c r="A1973" t="s">
        <v>211</v>
      </c>
      <c r="B1973" t="s">
        <v>55</v>
      </c>
      <c r="C1973" t="s">
        <v>2242</v>
      </c>
    </row>
    <row r="1974" spans="1:3" x14ac:dyDescent="0.35">
      <c r="A1974" t="s">
        <v>211</v>
      </c>
      <c r="B1974" t="s">
        <v>55</v>
      </c>
      <c r="C1974" t="s">
        <v>55</v>
      </c>
    </row>
    <row r="1975" spans="1:3" x14ac:dyDescent="0.35">
      <c r="A1975" t="s">
        <v>211</v>
      </c>
      <c r="B1975" t="s">
        <v>55</v>
      </c>
      <c r="C1975" t="s">
        <v>2243</v>
      </c>
    </row>
    <row r="1976" spans="1:3" x14ac:dyDescent="0.35">
      <c r="A1976" t="s">
        <v>211</v>
      </c>
      <c r="B1976" t="s">
        <v>55</v>
      </c>
      <c r="C1976" t="s">
        <v>2244</v>
      </c>
    </row>
    <row r="1977" spans="1:3" x14ac:dyDescent="0.35">
      <c r="A1977" t="s">
        <v>211</v>
      </c>
      <c r="B1977" t="s">
        <v>55</v>
      </c>
      <c r="C1977" t="s">
        <v>2245</v>
      </c>
    </row>
    <row r="1978" spans="1:3" x14ac:dyDescent="0.35">
      <c r="A1978" t="s">
        <v>211</v>
      </c>
      <c r="B1978" t="s">
        <v>55</v>
      </c>
      <c r="C1978" t="s">
        <v>2246</v>
      </c>
    </row>
    <row r="1979" spans="1:3" x14ac:dyDescent="0.35">
      <c r="A1979" t="s">
        <v>211</v>
      </c>
      <c r="B1979" t="s">
        <v>55</v>
      </c>
      <c r="C1979" t="s">
        <v>2247</v>
      </c>
    </row>
    <row r="1980" spans="1:3" x14ac:dyDescent="0.35">
      <c r="A1980" t="s">
        <v>211</v>
      </c>
      <c r="B1980" t="s">
        <v>55</v>
      </c>
      <c r="C1980" t="s">
        <v>2248</v>
      </c>
    </row>
    <row r="1981" spans="1:3" x14ac:dyDescent="0.35">
      <c r="A1981" t="s">
        <v>211</v>
      </c>
      <c r="B1981" t="s">
        <v>55</v>
      </c>
      <c r="C1981" t="s">
        <v>2249</v>
      </c>
    </row>
    <row r="1982" spans="1:3" x14ac:dyDescent="0.35">
      <c r="A1982" t="s">
        <v>211</v>
      </c>
      <c r="B1982" t="s">
        <v>55</v>
      </c>
      <c r="C1982" t="s">
        <v>2250</v>
      </c>
    </row>
    <row r="1983" spans="1:3" x14ac:dyDescent="0.35">
      <c r="A1983" t="s">
        <v>211</v>
      </c>
      <c r="B1983" t="s">
        <v>55</v>
      </c>
      <c r="C1983" t="s">
        <v>2251</v>
      </c>
    </row>
    <row r="1984" spans="1:3" x14ac:dyDescent="0.35">
      <c r="A1984" t="s">
        <v>211</v>
      </c>
      <c r="B1984" t="s">
        <v>55</v>
      </c>
      <c r="C1984" t="s">
        <v>2252</v>
      </c>
    </row>
    <row r="1985" spans="1:3" x14ac:dyDescent="0.35">
      <c r="A1985" t="s">
        <v>211</v>
      </c>
      <c r="B1985" t="s">
        <v>55</v>
      </c>
      <c r="C1985" t="s">
        <v>2253</v>
      </c>
    </row>
    <row r="1986" spans="1:3" x14ac:dyDescent="0.35">
      <c r="A1986" t="s">
        <v>211</v>
      </c>
      <c r="B1986" t="s">
        <v>55</v>
      </c>
      <c r="C1986" t="s">
        <v>2254</v>
      </c>
    </row>
    <row r="1987" spans="1:3" x14ac:dyDescent="0.35">
      <c r="A1987" t="s">
        <v>211</v>
      </c>
      <c r="B1987" t="s">
        <v>55</v>
      </c>
      <c r="C1987" t="s">
        <v>2255</v>
      </c>
    </row>
    <row r="1988" spans="1:3" x14ac:dyDescent="0.35">
      <c r="A1988" t="s">
        <v>211</v>
      </c>
      <c r="B1988" t="s">
        <v>55</v>
      </c>
      <c r="C1988" t="s">
        <v>2256</v>
      </c>
    </row>
    <row r="1989" spans="1:3" x14ac:dyDescent="0.35">
      <c r="A1989" t="s">
        <v>211</v>
      </c>
      <c r="B1989" t="s">
        <v>55</v>
      </c>
      <c r="C1989" t="s">
        <v>2257</v>
      </c>
    </row>
    <row r="1990" spans="1:3" x14ac:dyDescent="0.35">
      <c r="A1990" t="s">
        <v>211</v>
      </c>
      <c r="B1990" t="s">
        <v>55</v>
      </c>
      <c r="C1990" t="s">
        <v>2258</v>
      </c>
    </row>
    <row r="1991" spans="1:3" x14ac:dyDescent="0.35">
      <c r="A1991" t="s">
        <v>211</v>
      </c>
      <c r="B1991" t="s">
        <v>55</v>
      </c>
      <c r="C1991" t="s">
        <v>2259</v>
      </c>
    </row>
    <row r="1992" spans="1:3" x14ac:dyDescent="0.35">
      <c r="A1992" t="s">
        <v>211</v>
      </c>
      <c r="B1992" t="s">
        <v>55</v>
      </c>
      <c r="C1992" t="s">
        <v>2260</v>
      </c>
    </row>
    <row r="1993" spans="1:3" x14ac:dyDescent="0.35">
      <c r="A1993" t="s">
        <v>211</v>
      </c>
      <c r="B1993" t="s">
        <v>55</v>
      </c>
      <c r="C1993" t="s">
        <v>2261</v>
      </c>
    </row>
    <row r="1994" spans="1:3" x14ac:dyDescent="0.35">
      <c r="A1994" t="s">
        <v>211</v>
      </c>
      <c r="B1994" t="s">
        <v>55</v>
      </c>
      <c r="C1994" t="s">
        <v>2262</v>
      </c>
    </row>
    <row r="1995" spans="1:3" x14ac:dyDescent="0.35">
      <c r="A1995" t="s">
        <v>211</v>
      </c>
      <c r="B1995" t="s">
        <v>55</v>
      </c>
      <c r="C1995" t="s">
        <v>2263</v>
      </c>
    </row>
    <row r="1996" spans="1:3" x14ac:dyDescent="0.35">
      <c r="A1996" t="s">
        <v>211</v>
      </c>
      <c r="B1996" t="s">
        <v>55</v>
      </c>
      <c r="C1996" t="s">
        <v>2264</v>
      </c>
    </row>
    <row r="1997" spans="1:3" x14ac:dyDescent="0.35">
      <c r="A1997" t="s">
        <v>211</v>
      </c>
      <c r="B1997" t="s">
        <v>55</v>
      </c>
      <c r="C1997" t="s">
        <v>2265</v>
      </c>
    </row>
    <row r="1998" spans="1:3" x14ac:dyDescent="0.35">
      <c r="A1998" t="s">
        <v>211</v>
      </c>
      <c r="B1998" t="s">
        <v>55</v>
      </c>
      <c r="C1998" t="s">
        <v>2266</v>
      </c>
    </row>
    <row r="1999" spans="1:3" x14ac:dyDescent="0.35">
      <c r="A1999" t="s">
        <v>211</v>
      </c>
      <c r="B1999" t="s">
        <v>55</v>
      </c>
      <c r="C1999" t="s">
        <v>2267</v>
      </c>
    </row>
    <row r="2000" spans="1:3" x14ac:dyDescent="0.35">
      <c r="A2000" t="s">
        <v>211</v>
      </c>
      <c r="B2000" t="s">
        <v>55</v>
      </c>
      <c r="C2000" t="s">
        <v>2268</v>
      </c>
    </row>
    <row r="2001" spans="1:3" x14ac:dyDescent="0.35">
      <c r="A2001" t="s">
        <v>211</v>
      </c>
      <c r="B2001" t="s">
        <v>55</v>
      </c>
      <c r="C2001" t="s">
        <v>2269</v>
      </c>
    </row>
    <row r="2002" spans="1:3" x14ac:dyDescent="0.35">
      <c r="A2002" t="s">
        <v>211</v>
      </c>
      <c r="B2002" t="s">
        <v>55</v>
      </c>
      <c r="C2002" t="s">
        <v>2270</v>
      </c>
    </row>
    <row r="2003" spans="1:3" x14ac:dyDescent="0.35">
      <c r="A2003" t="s">
        <v>211</v>
      </c>
      <c r="B2003" t="s">
        <v>55</v>
      </c>
      <c r="C2003" t="s">
        <v>2271</v>
      </c>
    </row>
    <row r="2004" spans="1:3" x14ac:dyDescent="0.35">
      <c r="A2004" t="s">
        <v>211</v>
      </c>
      <c r="B2004" t="s">
        <v>55</v>
      </c>
      <c r="C2004" t="s">
        <v>2272</v>
      </c>
    </row>
    <row r="2005" spans="1:3" x14ac:dyDescent="0.35">
      <c r="A2005" t="s">
        <v>211</v>
      </c>
      <c r="B2005" t="s">
        <v>55</v>
      </c>
      <c r="C2005" t="s">
        <v>2273</v>
      </c>
    </row>
    <row r="2006" spans="1:3" x14ac:dyDescent="0.35">
      <c r="A2006" t="s">
        <v>211</v>
      </c>
      <c r="B2006" t="s">
        <v>55</v>
      </c>
      <c r="C2006" t="s">
        <v>2274</v>
      </c>
    </row>
    <row r="2007" spans="1:3" x14ac:dyDescent="0.35">
      <c r="A2007" t="s">
        <v>211</v>
      </c>
      <c r="B2007" t="s">
        <v>55</v>
      </c>
      <c r="C2007" t="s">
        <v>2275</v>
      </c>
    </row>
    <row r="2008" spans="1:3" x14ac:dyDescent="0.35">
      <c r="A2008" t="s">
        <v>211</v>
      </c>
      <c r="B2008" t="s">
        <v>55</v>
      </c>
      <c r="C2008" t="s">
        <v>2276</v>
      </c>
    </row>
    <row r="2009" spans="1:3" x14ac:dyDescent="0.35">
      <c r="A2009" t="s">
        <v>211</v>
      </c>
      <c r="B2009" t="s">
        <v>55</v>
      </c>
      <c r="C2009" t="s">
        <v>2277</v>
      </c>
    </row>
    <row r="2010" spans="1:3" x14ac:dyDescent="0.35">
      <c r="A2010" t="s">
        <v>211</v>
      </c>
      <c r="B2010" t="s">
        <v>55</v>
      </c>
      <c r="C2010" t="s">
        <v>2278</v>
      </c>
    </row>
    <row r="2011" spans="1:3" x14ac:dyDescent="0.35">
      <c r="A2011" t="s">
        <v>211</v>
      </c>
      <c r="B2011" t="s">
        <v>55</v>
      </c>
      <c r="C2011" t="s">
        <v>2279</v>
      </c>
    </row>
    <row r="2012" spans="1:3" x14ac:dyDescent="0.35">
      <c r="A2012" t="s">
        <v>211</v>
      </c>
      <c r="B2012" t="s">
        <v>55</v>
      </c>
      <c r="C2012" t="s">
        <v>2280</v>
      </c>
    </row>
    <row r="2013" spans="1:3" x14ac:dyDescent="0.35">
      <c r="A2013" t="s">
        <v>211</v>
      </c>
      <c r="B2013" t="s">
        <v>55</v>
      </c>
      <c r="C2013" t="s">
        <v>2281</v>
      </c>
    </row>
    <row r="2014" spans="1:3" x14ac:dyDescent="0.35">
      <c r="A2014" t="s">
        <v>211</v>
      </c>
      <c r="B2014" t="s">
        <v>55</v>
      </c>
      <c r="C2014" t="s">
        <v>2282</v>
      </c>
    </row>
    <row r="2015" spans="1:3" x14ac:dyDescent="0.35">
      <c r="A2015" t="s">
        <v>211</v>
      </c>
      <c r="B2015" t="s">
        <v>55</v>
      </c>
      <c r="C2015" t="s">
        <v>2283</v>
      </c>
    </row>
    <row r="2016" spans="1:3" x14ac:dyDescent="0.35">
      <c r="A2016" t="s">
        <v>211</v>
      </c>
      <c r="B2016" t="s">
        <v>55</v>
      </c>
      <c r="C2016" t="s">
        <v>2284</v>
      </c>
    </row>
    <row r="2017" spans="1:3" x14ac:dyDescent="0.35">
      <c r="A2017" t="s">
        <v>211</v>
      </c>
      <c r="B2017" t="s">
        <v>55</v>
      </c>
      <c r="C2017" t="s">
        <v>2285</v>
      </c>
    </row>
    <row r="2018" spans="1:3" x14ac:dyDescent="0.35">
      <c r="A2018" t="s">
        <v>211</v>
      </c>
      <c r="B2018" t="s">
        <v>55</v>
      </c>
      <c r="C2018" t="s">
        <v>2286</v>
      </c>
    </row>
    <row r="2019" spans="1:3" x14ac:dyDescent="0.35">
      <c r="A2019" t="s">
        <v>211</v>
      </c>
      <c r="B2019" t="s">
        <v>55</v>
      </c>
      <c r="C2019" t="s">
        <v>2287</v>
      </c>
    </row>
    <row r="2020" spans="1:3" x14ac:dyDescent="0.35">
      <c r="A2020" t="s">
        <v>211</v>
      </c>
      <c r="B2020" t="s">
        <v>55</v>
      </c>
      <c r="C2020" t="s">
        <v>2288</v>
      </c>
    </row>
    <row r="2021" spans="1:3" x14ac:dyDescent="0.35">
      <c r="A2021" t="s">
        <v>211</v>
      </c>
      <c r="B2021" t="s">
        <v>55</v>
      </c>
      <c r="C2021" t="s">
        <v>2289</v>
      </c>
    </row>
    <row r="2022" spans="1:3" x14ac:dyDescent="0.35">
      <c r="A2022" t="s">
        <v>211</v>
      </c>
      <c r="B2022" t="s">
        <v>55</v>
      </c>
      <c r="C2022" t="s">
        <v>2290</v>
      </c>
    </row>
    <row r="2023" spans="1:3" x14ac:dyDescent="0.35">
      <c r="A2023" t="s">
        <v>211</v>
      </c>
      <c r="B2023" t="s">
        <v>55</v>
      </c>
      <c r="C2023" t="s">
        <v>2291</v>
      </c>
    </row>
    <row r="2024" spans="1:3" x14ac:dyDescent="0.35">
      <c r="A2024" t="s">
        <v>211</v>
      </c>
      <c r="B2024" t="s">
        <v>55</v>
      </c>
      <c r="C2024" t="s">
        <v>2292</v>
      </c>
    </row>
    <row r="2025" spans="1:3" x14ac:dyDescent="0.35">
      <c r="A2025" t="s">
        <v>211</v>
      </c>
      <c r="B2025" t="s">
        <v>55</v>
      </c>
      <c r="C2025" t="s">
        <v>2293</v>
      </c>
    </row>
    <row r="2026" spans="1:3" x14ac:dyDescent="0.35">
      <c r="A2026" t="s">
        <v>211</v>
      </c>
      <c r="B2026" t="s">
        <v>55</v>
      </c>
      <c r="C2026" t="s">
        <v>2294</v>
      </c>
    </row>
    <row r="2027" spans="1:3" x14ac:dyDescent="0.35">
      <c r="A2027" t="s">
        <v>211</v>
      </c>
      <c r="B2027" t="s">
        <v>55</v>
      </c>
      <c r="C2027" t="s">
        <v>2295</v>
      </c>
    </row>
    <row r="2028" spans="1:3" x14ac:dyDescent="0.35">
      <c r="A2028" t="s">
        <v>211</v>
      </c>
      <c r="B2028" t="s">
        <v>240</v>
      </c>
      <c r="C2028" t="s">
        <v>2296</v>
      </c>
    </row>
    <row r="2029" spans="1:3" x14ac:dyDescent="0.35">
      <c r="A2029" t="s">
        <v>211</v>
      </c>
      <c r="B2029" t="s">
        <v>240</v>
      </c>
      <c r="C2029" t="s">
        <v>2297</v>
      </c>
    </row>
    <row r="2030" spans="1:3" x14ac:dyDescent="0.35">
      <c r="A2030" t="s">
        <v>211</v>
      </c>
      <c r="B2030" t="s">
        <v>240</v>
      </c>
      <c r="C2030" t="s">
        <v>2298</v>
      </c>
    </row>
    <row r="2031" spans="1:3" x14ac:dyDescent="0.35">
      <c r="A2031" t="s">
        <v>211</v>
      </c>
      <c r="B2031" t="s">
        <v>240</v>
      </c>
      <c r="C2031" t="s">
        <v>2299</v>
      </c>
    </row>
    <row r="2032" spans="1:3" x14ac:dyDescent="0.35">
      <c r="A2032" t="s">
        <v>211</v>
      </c>
      <c r="B2032" t="s">
        <v>240</v>
      </c>
      <c r="C2032" t="s">
        <v>2300</v>
      </c>
    </row>
    <row r="2033" spans="1:3" x14ac:dyDescent="0.35">
      <c r="A2033" t="s">
        <v>211</v>
      </c>
      <c r="B2033" t="s">
        <v>240</v>
      </c>
      <c r="C2033" t="s">
        <v>2301</v>
      </c>
    </row>
    <row r="2034" spans="1:3" x14ac:dyDescent="0.35">
      <c r="A2034" t="s">
        <v>211</v>
      </c>
      <c r="B2034" t="s">
        <v>240</v>
      </c>
      <c r="C2034" t="s">
        <v>2302</v>
      </c>
    </row>
    <row r="2035" spans="1:3" x14ac:dyDescent="0.35">
      <c r="A2035" t="s">
        <v>211</v>
      </c>
      <c r="B2035" t="s">
        <v>240</v>
      </c>
      <c r="C2035" t="s">
        <v>2303</v>
      </c>
    </row>
    <row r="2036" spans="1:3" x14ac:dyDescent="0.35">
      <c r="A2036" t="s">
        <v>211</v>
      </c>
      <c r="B2036" t="s">
        <v>240</v>
      </c>
      <c r="C2036" t="s">
        <v>2304</v>
      </c>
    </row>
    <row r="2037" spans="1:3" x14ac:dyDescent="0.35">
      <c r="A2037" t="s">
        <v>211</v>
      </c>
      <c r="B2037" t="s">
        <v>240</v>
      </c>
      <c r="C2037" t="s">
        <v>2305</v>
      </c>
    </row>
    <row r="2038" spans="1:3" x14ac:dyDescent="0.35">
      <c r="A2038" t="s">
        <v>211</v>
      </c>
      <c r="B2038" t="s">
        <v>240</v>
      </c>
      <c r="C2038" t="s">
        <v>240</v>
      </c>
    </row>
    <row r="2039" spans="1:3" x14ac:dyDescent="0.35">
      <c r="A2039" t="s">
        <v>211</v>
      </c>
      <c r="B2039" t="s">
        <v>240</v>
      </c>
      <c r="C2039" t="s">
        <v>2306</v>
      </c>
    </row>
    <row r="2040" spans="1:3" x14ac:dyDescent="0.35">
      <c r="A2040" t="s">
        <v>211</v>
      </c>
      <c r="B2040" t="s">
        <v>240</v>
      </c>
      <c r="C2040" t="s">
        <v>2307</v>
      </c>
    </row>
    <row r="2041" spans="1:3" x14ac:dyDescent="0.35">
      <c r="A2041" t="s">
        <v>211</v>
      </c>
      <c r="B2041" t="s">
        <v>240</v>
      </c>
      <c r="C2041" t="s">
        <v>2308</v>
      </c>
    </row>
    <row r="2042" spans="1:3" x14ac:dyDescent="0.35">
      <c r="A2042" t="s">
        <v>211</v>
      </c>
      <c r="B2042" t="s">
        <v>240</v>
      </c>
      <c r="C2042" t="s">
        <v>2309</v>
      </c>
    </row>
    <row r="2043" spans="1:3" x14ac:dyDescent="0.35">
      <c r="A2043" t="s">
        <v>211</v>
      </c>
      <c r="B2043" t="s">
        <v>240</v>
      </c>
      <c r="C2043" t="s">
        <v>2310</v>
      </c>
    </row>
    <row r="2044" spans="1:3" x14ac:dyDescent="0.35">
      <c r="A2044" t="s">
        <v>211</v>
      </c>
      <c r="B2044" t="s">
        <v>240</v>
      </c>
      <c r="C2044" t="s">
        <v>2311</v>
      </c>
    </row>
    <row r="2045" spans="1:3" x14ac:dyDescent="0.35">
      <c r="A2045" t="s">
        <v>211</v>
      </c>
      <c r="B2045" t="s">
        <v>240</v>
      </c>
      <c r="C2045" t="s">
        <v>2312</v>
      </c>
    </row>
    <row r="2046" spans="1:3" x14ac:dyDescent="0.35">
      <c r="A2046" t="s">
        <v>211</v>
      </c>
      <c r="B2046" t="s">
        <v>240</v>
      </c>
      <c r="C2046" t="s">
        <v>2313</v>
      </c>
    </row>
    <row r="2047" spans="1:3" x14ac:dyDescent="0.35">
      <c r="A2047" t="s">
        <v>211</v>
      </c>
      <c r="B2047" t="s">
        <v>240</v>
      </c>
      <c r="C2047" t="s">
        <v>2314</v>
      </c>
    </row>
    <row r="2048" spans="1:3" x14ac:dyDescent="0.35">
      <c r="A2048" t="s">
        <v>211</v>
      </c>
      <c r="B2048" t="s">
        <v>240</v>
      </c>
      <c r="C2048" t="s">
        <v>2315</v>
      </c>
    </row>
    <row r="2049" spans="1:3" x14ac:dyDescent="0.35">
      <c r="A2049" t="s">
        <v>211</v>
      </c>
      <c r="B2049" t="s">
        <v>240</v>
      </c>
      <c r="C2049" t="s">
        <v>2316</v>
      </c>
    </row>
    <row r="2050" spans="1:3" x14ac:dyDescent="0.35">
      <c r="A2050" t="s">
        <v>211</v>
      </c>
      <c r="B2050" t="s">
        <v>240</v>
      </c>
      <c r="C2050" t="s">
        <v>2317</v>
      </c>
    </row>
    <row r="2051" spans="1:3" x14ac:dyDescent="0.35">
      <c r="A2051" t="s">
        <v>211</v>
      </c>
      <c r="B2051" t="s">
        <v>240</v>
      </c>
      <c r="C2051" t="s">
        <v>2318</v>
      </c>
    </row>
    <row r="2052" spans="1:3" x14ac:dyDescent="0.35">
      <c r="A2052" t="s">
        <v>211</v>
      </c>
      <c r="B2052" t="s">
        <v>240</v>
      </c>
      <c r="C2052" t="s">
        <v>2319</v>
      </c>
    </row>
    <row r="2053" spans="1:3" x14ac:dyDescent="0.35">
      <c r="A2053" t="s">
        <v>211</v>
      </c>
      <c r="B2053" t="s">
        <v>240</v>
      </c>
      <c r="C2053" t="s">
        <v>2320</v>
      </c>
    </row>
    <row r="2054" spans="1:3" x14ac:dyDescent="0.35">
      <c r="A2054" t="s">
        <v>211</v>
      </c>
      <c r="B2054" t="s">
        <v>240</v>
      </c>
      <c r="C2054" t="s">
        <v>2321</v>
      </c>
    </row>
    <row r="2055" spans="1:3" x14ac:dyDescent="0.35">
      <c r="A2055" t="s">
        <v>211</v>
      </c>
      <c r="B2055" t="s">
        <v>240</v>
      </c>
      <c r="C2055" t="s">
        <v>2322</v>
      </c>
    </row>
    <row r="2056" spans="1:3" x14ac:dyDescent="0.35">
      <c r="A2056" t="s">
        <v>211</v>
      </c>
      <c r="B2056" t="s">
        <v>240</v>
      </c>
      <c r="C2056" t="s">
        <v>2323</v>
      </c>
    </row>
    <row r="2057" spans="1:3" x14ac:dyDescent="0.35">
      <c r="A2057" t="s">
        <v>211</v>
      </c>
      <c r="B2057" t="s">
        <v>240</v>
      </c>
      <c r="C2057" t="s">
        <v>2324</v>
      </c>
    </row>
    <row r="2058" spans="1:3" x14ac:dyDescent="0.35">
      <c r="A2058" t="s">
        <v>211</v>
      </c>
      <c r="B2058" t="s">
        <v>240</v>
      </c>
      <c r="C2058" t="s">
        <v>2325</v>
      </c>
    </row>
    <row r="2059" spans="1:3" x14ac:dyDescent="0.35">
      <c r="A2059" t="s">
        <v>211</v>
      </c>
      <c r="B2059" t="s">
        <v>240</v>
      </c>
      <c r="C2059" t="s">
        <v>2326</v>
      </c>
    </row>
    <row r="2060" spans="1:3" x14ac:dyDescent="0.35">
      <c r="A2060" t="s">
        <v>211</v>
      </c>
      <c r="B2060" t="s">
        <v>240</v>
      </c>
      <c r="C2060" t="s">
        <v>2327</v>
      </c>
    </row>
    <row r="2061" spans="1:3" x14ac:dyDescent="0.35">
      <c r="A2061" t="s">
        <v>211</v>
      </c>
      <c r="B2061" t="s">
        <v>254</v>
      </c>
      <c r="C2061" t="s">
        <v>2328</v>
      </c>
    </row>
    <row r="2062" spans="1:3" x14ac:dyDescent="0.35">
      <c r="A2062" t="s">
        <v>211</v>
      </c>
      <c r="B2062" t="s">
        <v>254</v>
      </c>
      <c r="C2062" t="s">
        <v>2329</v>
      </c>
    </row>
    <row r="2063" spans="1:3" x14ac:dyDescent="0.35">
      <c r="A2063" t="s">
        <v>211</v>
      </c>
      <c r="B2063" t="s">
        <v>254</v>
      </c>
      <c r="C2063" t="s">
        <v>2330</v>
      </c>
    </row>
    <row r="2064" spans="1:3" x14ac:dyDescent="0.35">
      <c r="A2064" t="s">
        <v>211</v>
      </c>
      <c r="B2064" t="s">
        <v>254</v>
      </c>
      <c r="C2064" t="s">
        <v>2331</v>
      </c>
    </row>
    <row r="2065" spans="1:3" x14ac:dyDescent="0.35">
      <c r="A2065" t="s">
        <v>211</v>
      </c>
      <c r="B2065" t="s">
        <v>254</v>
      </c>
      <c r="C2065" t="s">
        <v>2332</v>
      </c>
    </row>
    <row r="2066" spans="1:3" x14ac:dyDescent="0.35">
      <c r="A2066" t="s">
        <v>211</v>
      </c>
      <c r="B2066" t="s">
        <v>254</v>
      </c>
      <c r="C2066" t="s">
        <v>2333</v>
      </c>
    </row>
    <row r="2067" spans="1:3" x14ac:dyDescent="0.35">
      <c r="A2067" t="s">
        <v>211</v>
      </c>
      <c r="B2067" t="s">
        <v>254</v>
      </c>
      <c r="C2067" t="s">
        <v>2334</v>
      </c>
    </row>
    <row r="2068" spans="1:3" x14ac:dyDescent="0.35">
      <c r="A2068" t="s">
        <v>211</v>
      </c>
      <c r="B2068" t="s">
        <v>254</v>
      </c>
      <c r="C2068" t="s">
        <v>2335</v>
      </c>
    </row>
    <row r="2069" spans="1:3" x14ac:dyDescent="0.35">
      <c r="A2069" t="s">
        <v>211</v>
      </c>
      <c r="B2069" t="s">
        <v>254</v>
      </c>
      <c r="C2069" t="s">
        <v>2336</v>
      </c>
    </row>
    <row r="2070" spans="1:3" x14ac:dyDescent="0.35">
      <c r="A2070" t="s">
        <v>211</v>
      </c>
      <c r="B2070" t="s">
        <v>254</v>
      </c>
      <c r="C2070" t="s">
        <v>2337</v>
      </c>
    </row>
    <row r="2071" spans="1:3" x14ac:dyDescent="0.35">
      <c r="A2071" t="s">
        <v>211</v>
      </c>
      <c r="B2071" t="s">
        <v>254</v>
      </c>
      <c r="C2071" t="s">
        <v>2338</v>
      </c>
    </row>
    <row r="2072" spans="1:3" x14ac:dyDescent="0.35">
      <c r="A2072" t="s">
        <v>211</v>
      </c>
      <c r="B2072" t="s">
        <v>254</v>
      </c>
      <c r="C2072" t="s">
        <v>2339</v>
      </c>
    </row>
    <row r="2073" spans="1:3" x14ac:dyDescent="0.35">
      <c r="A2073" t="s">
        <v>211</v>
      </c>
      <c r="B2073" t="s">
        <v>254</v>
      </c>
      <c r="C2073" t="s">
        <v>2340</v>
      </c>
    </row>
    <row r="2074" spans="1:3" x14ac:dyDescent="0.35">
      <c r="A2074" t="s">
        <v>211</v>
      </c>
      <c r="B2074" t="s">
        <v>254</v>
      </c>
      <c r="C2074" t="s">
        <v>2341</v>
      </c>
    </row>
    <row r="2075" spans="1:3" x14ac:dyDescent="0.35">
      <c r="A2075" t="s">
        <v>211</v>
      </c>
      <c r="B2075" t="s">
        <v>254</v>
      </c>
      <c r="C2075" t="s">
        <v>2342</v>
      </c>
    </row>
    <row r="2076" spans="1:3" x14ac:dyDescent="0.35">
      <c r="A2076" t="s">
        <v>211</v>
      </c>
      <c r="B2076" t="s">
        <v>254</v>
      </c>
      <c r="C2076" t="s">
        <v>2343</v>
      </c>
    </row>
    <row r="2077" spans="1:3" x14ac:dyDescent="0.35">
      <c r="A2077" t="s">
        <v>211</v>
      </c>
      <c r="B2077" t="s">
        <v>254</v>
      </c>
      <c r="C2077" t="s">
        <v>2344</v>
      </c>
    </row>
    <row r="2078" spans="1:3" x14ac:dyDescent="0.35">
      <c r="A2078" t="s">
        <v>211</v>
      </c>
      <c r="B2078" t="s">
        <v>254</v>
      </c>
      <c r="C2078" t="s">
        <v>2345</v>
      </c>
    </row>
    <row r="2079" spans="1:3" x14ac:dyDescent="0.35">
      <c r="A2079" t="s">
        <v>211</v>
      </c>
      <c r="B2079" t="s">
        <v>254</v>
      </c>
      <c r="C2079" t="s">
        <v>2346</v>
      </c>
    </row>
    <row r="2080" spans="1:3" x14ac:dyDescent="0.35">
      <c r="A2080" t="s">
        <v>211</v>
      </c>
      <c r="B2080" t="s">
        <v>254</v>
      </c>
      <c r="C2080" t="s">
        <v>2347</v>
      </c>
    </row>
    <row r="2081" spans="1:3" x14ac:dyDescent="0.35">
      <c r="A2081" t="s">
        <v>211</v>
      </c>
      <c r="B2081" t="s">
        <v>254</v>
      </c>
      <c r="C2081" t="s">
        <v>2348</v>
      </c>
    </row>
    <row r="2082" spans="1:3" x14ac:dyDescent="0.35">
      <c r="A2082" t="s">
        <v>211</v>
      </c>
      <c r="B2082" t="s">
        <v>254</v>
      </c>
      <c r="C2082" t="s">
        <v>2349</v>
      </c>
    </row>
    <row r="2083" spans="1:3" x14ac:dyDescent="0.35">
      <c r="A2083" t="s">
        <v>211</v>
      </c>
      <c r="B2083" t="s">
        <v>254</v>
      </c>
      <c r="C2083" t="s">
        <v>2350</v>
      </c>
    </row>
    <row r="2084" spans="1:3" x14ac:dyDescent="0.35">
      <c r="A2084" t="s">
        <v>211</v>
      </c>
      <c r="B2084" t="s">
        <v>254</v>
      </c>
      <c r="C2084" t="s">
        <v>2351</v>
      </c>
    </row>
    <row r="2085" spans="1:3" x14ac:dyDescent="0.35">
      <c r="A2085" t="s">
        <v>211</v>
      </c>
      <c r="B2085" t="s">
        <v>254</v>
      </c>
      <c r="C2085" t="s">
        <v>2352</v>
      </c>
    </row>
    <row r="2086" spans="1:3" x14ac:dyDescent="0.35">
      <c r="A2086" t="s">
        <v>211</v>
      </c>
      <c r="B2086" t="s">
        <v>254</v>
      </c>
      <c r="C2086" t="s">
        <v>2353</v>
      </c>
    </row>
    <row r="2087" spans="1:3" x14ac:dyDescent="0.35">
      <c r="A2087" t="s">
        <v>211</v>
      </c>
      <c r="B2087" t="s">
        <v>254</v>
      </c>
      <c r="C2087" t="s">
        <v>2354</v>
      </c>
    </row>
    <row r="2088" spans="1:3" x14ac:dyDescent="0.35">
      <c r="A2088" t="s">
        <v>211</v>
      </c>
      <c r="B2088" t="s">
        <v>254</v>
      </c>
      <c r="C2088" t="s">
        <v>2355</v>
      </c>
    </row>
    <row r="2089" spans="1:3" x14ac:dyDescent="0.35">
      <c r="A2089" t="s">
        <v>211</v>
      </c>
      <c r="B2089" t="s">
        <v>254</v>
      </c>
      <c r="C2089" t="s">
        <v>2356</v>
      </c>
    </row>
    <row r="2090" spans="1:3" x14ac:dyDescent="0.35">
      <c r="A2090" t="s">
        <v>211</v>
      </c>
      <c r="B2090" t="s">
        <v>254</v>
      </c>
      <c r="C2090" t="s">
        <v>2357</v>
      </c>
    </row>
    <row r="2091" spans="1:3" x14ac:dyDescent="0.35">
      <c r="A2091" t="s">
        <v>211</v>
      </c>
      <c r="B2091" t="s">
        <v>254</v>
      </c>
      <c r="C2091" t="s">
        <v>2358</v>
      </c>
    </row>
    <row r="2092" spans="1:3" x14ac:dyDescent="0.35">
      <c r="A2092" t="s">
        <v>211</v>
      </c>
      <c r="B2092" t="s">
        <v>254</v>
      </c>
      <c r="C2092" t="s">
        <v>2359</v>
      </c>
    </row>
    <row r="2093" spans="1:3" x14ac:dyDescent="0.35">
      <c r="A2093" t="s">
        <v>211</v>
      </c>
      <c r="B2093" t="s">
        <v>254</v>
      </c>
      <c r="C2093" t="s">
        <v>2360</v>
      </c>
    </row>
    <row r="2094" spans="1:3" x14ac:dyDescent="0.35">
      <c r="A2094" t="s">
        <v>211</v>
      </c>
      <c r="B2094" t="s">
        <v>254</v>
      </c>
      <c r="C2094" t="s">
        <v>2361</v>
      </c>
    </row>
    <row r="2095" spans="1:3" x14ac:dyDescent="0.35">
      <c r="A2095" t="s">
        <v>211</v>
      </c>
      <c r="B2095" t="s">
        <v>254</v>
      </c>
      <c r="C2095" t="s">
        <v>2362</v>
      </c>
    </row>
    <row r="2096" spans="1:3" x14ac:dyDescent="0.35">
      <c r="A2096" t="s">
        <v>211</v>
      </c>
      <c r="B2096" t="s">
        <v>254</v>
      </c>
      <c r="C2096" t="s">
        <v>2363</v>
      </c>
    </row>
    <row r="2097" spans="1:3" x14ac:dyDescent="0.35">
      <c r="A2097" t="s">
        <v>211</v>
      </c>
      <c r="B2097" t="s">
        <v>254</v>
      </c>
      <c r="C2097" t="s">
        <v>2364</v>
      </c>
    </row>
    <row r="2098" spans="1:3" x14ac:dyDescent="0.35">
      <c r="A2098" t="s">
        <v>211</v>
      </c>
      <c r="B2098" t="s">
        <v>254</v>
      </c>
      <c r="C2098" t="s">
        <v>2365</v>
      </c>
    </row>
    <row r="2099" spans="1:3" x14ac:dyDescent="0.35">
      <c r="A2099" t="s">
        <v>211</v>
      </c>
      <c r="B2099" t="s">
        <v>254</v>
      </c>
      <c r="C2099" t="s">
        <v>2366</v>
      </c>
    </row>
    <row r="2100" spans="1:3" x14ac:dyDescent="0.35">
      <c r="A2100" t="s">
        <v>211</v>
      </c>
      <c r="B2100" t="s">
        <v>254</v>
      </c>
      <c r="C2100" t="s">
        <v>2367</v>
      </c>
    </row>
    <row r="2101" spans="1:3" x14ac:dyDescent="0.35">
      <c r="A2101" t="s">
        <v>211</v>
      </c>
      <c r="B2101" t="s">
        <v>254</v>
      </c>
      <c r="C2101" t="s">
        <v>2368</v>
      </c>
    </row>
    <row r="2102" spans="1:3" x14ac:dyDescent="0.35">
      <c r="A2102" t="s">
        <v>211</v>
      </c>
      <c r="B2102" t="s">
        <v>254</v>
      </c>
      <c r="C2102" t="s">
        <v>2369</v>
      </c>
    </row>
    <row r="2103" spans="1:3" x14ac:dyDescent="0.35">
      <c r="A2103" t="s">
        <v>211</v>
      </c>
      <c r="B2103" t="s">
        <v>254</v>
      </c>
      <c r="C2103" t="s">
        <v>2370</v>
      </c>
    </row>
    <row r="2104" spans="1:3" x14ac:dyDescent="0.35">
      <c r="A2104" t="s">
        <v>211</v>
      </c>
      <c r="B2104" t="s">
        <v>254</v>
      </c>
      <c r="C2104" t="s">
        <v>2371</v>
      </c>
    </row>
    <row r="2105" spans="1:3" x14ac:dyDescent="0.35">
      <c r="A2105" t="s">
        <v>211</v>
      </c>
      <c r="B2105" t="s">
        <v>254</v>
      </c>
      <c r="C2105" t="s">
        <v>2372</v>
      </c>
    </row>
    <row r="2106" spans="1:3" x14ac:dyDescent="0.35">
      <c r="A2106" t="s">
        <v>211</v>
      </c>
      <c r="B2106" t="s">
        <v>254</v>
      </c>
      <c r="C2106" t="s">
        <v>2373</v>
      </c>
    </row>
    <row r="2107" spans="1:3" x14ac:dyDescent="0.35">
      <c r="A2107" t="s">
        <v>211</v>
      </c>
      <c r="B2107" t="s">
        <v>254</v>
      </c>
      <c r="C2107" t="s">
        <v>2374</v>
      </c>
    </row>
    <row r="2108" spans="1:3" x14ac:dyDescent="0.35">
      <c r="A2108" t="s">
        <v>211</v>
      </c>
      <c r="B2108" t="s">
        <v>254</v>
      </c>
      <c r="C2108" t="s">
        <v>2375</v>
      </c>
    </row>
    <row r="2109" spans="1:3" x14ac:dyDescent="0.35">
      <c r="A2109" t="s">
        <v>211</v>
      </c>
      <c r="B2109" t="s">
        <v>254</v>
      </c>
      <c r="C2109" t="s">
        <v>2376</v>
      </c>
    </row>
    <row r="2110" spans="1:3" x14ac:dyDescent="0.35">
      <c r="A2110" t="s">
        <v>211</v>
      </c>
      <c r="B2110" t="s">
        <v>254</v>
      </c>
      <c r="C2110" t="s">
        <v>2377</v>
      </c>
    </row>
    <row r="2111" spans="1:3" x14ac:dyDescent="0.35">
      <c r="A2111" t="s">
        <v>211</v>
      </c>
      <c r="B2111" t="s">
        <v>254</v>
      </c>
      <c r="C2111" t="s">
        <v>2378</v>
      </c>
    </row>
    <row r="2112" spans="1:3" x14ac:dyDescent="0.35">
      <c r="A2112" t="s">
        <v>211</v>
      </c>
      <c r="B2112" t="s">
        <v>254</v>
      </c>
      <c r="C2112" t="s">
        <v>2379</v>
      </c>
    </row>
    <row r="2113" spans="1:3" x14ac:dyDescent="0.35">
      <c r="A2113" t="s">
        <v>211</v>
      </c>
      <c r="B2113" t="s">
        <v>254</v>
      </c>
      <c r="C2113" t="s">
        <v>2380</v>
      </c>
    </row>
    <row r="2114" spans="1:3" x14ac:dyDescent="0.35">
      <c r="A2114" t="s">
        <v>211</v>
      </c>
      <c r="B2114" t="s">
        <v>254</v>
      </c>
      <c r="C2114" t="s">
        <v>2381</v>
      </c>
    </row>
    <row r="2115" spans="1:3" x14ac:dyDescent="0.35">
      <c r="A2115" t="s">
        <v>211</v>
      </c>
      <c r="B2115" t="s">
        <v>254</v>
      </c>
      <c r="C2115" t="s">
        <v>2382</v>
      </c>
    </row>
    <row r="2116" spans="1:3" x14ac:dyDescent="0.35">
      <c r="A2116" t="s">
        <v>211</v>
      </c>
      <c r="B2116" t="s">
        <v>254</v>
      </c>
      <c r="C2116" t="s">
        <v>2383</v>
      </c>
    </row>
    <row r="2117" spans="1:3" x14ac:dyDescent="0.35">
      <c r="A2117" t="s">
        <v>211</v>
      </c>
      <c r="B2117" t="s">
        <v>254</v>
      </c>
      <c r="C2117" t="s">
        <v>2384</v>
      </c>
    </row>
    <row r="2118" spans="1:3" x14ac:dyDescent="0.35">
      <c r="A2118" t="s">
        <v>211</v>
      </c>
      <c r="B2118" t="s">
        <v>254</v>
      </c>
      <c r="C2118" t="s">
        <v>2385</v>
      </c>
    </row>
    <row r="2119" spans="1:3" x14ac:dyDescent="0.35">
      <c r="A2119" t="s">
        <v>211</v>
      </c>
      <c r="B2119" t="s">
        <v>254</v>
      </c>
      <c r="C2119" t="s">
        <v>254</v>
      </c>
    </row>
    <row r="2120" spans="1:3" x14ac:dyDescent="0.35">
      <c r="A2120" t="s">
        <v>211</v>
      </c>
      <c r="B2120" t="s">
        <v>254</v>
      </c>
      <c r="C2120" t="s">
        <v>2386</v>
      </c>
    </row>
    <row r="2121" spans="1:3" x14ac:dyDescent="0.35">
      <c r="A2121" t="s">
        <v>211</v>
      </c>
      <c r="B2121" t="s">
        <v>254</v>
      </c>
      <c r="C2121" t="s">
        <v>2387</v>
      </c>
    </row>
    <row r="2122" spans="1:3" x14ac:dyDescent="0.35">
      <c r="A2122" t="s">
        <v>211</v>
      </c>
      <c r="B2122" t="s">
        <v>254</v>
      </c>
      <c r="C2122" t="s">
        <v>2388</v>
      </c>
    </row>
    <row r="2123" spans="1:3" x14ac:dyDescent="0.35">
      <c r="A2123" t="s">
        <v>211</v>
      </c>
      <c r="B2123" t="s">
        <v>254</v>
      </c>
      <c r="C2123" t="s">
        <v>2389</v>
      </c>
    </row>
    <row r="2124" spans="1:3" x14ac:dyDescent="0.35">
      <c r="A2124" t="s">
        <v>211</v>
      </c>
      <c r="B2124" t="s">
        <v>254</v>
      </c>
      <c r="C2124" t="s">
        <v>2390</v>
      </c>
    </row>
    <row r="2125" spans="1:3" x14ac:dyDescent="0.35">
      <c r="A2125" t="s">
        <v>211</v>
      </c>
      <c r="B2125" t="s">
        <v>254</v>
      </c>
      <c r="C2125" t="s">
        <v>2391</v>
      </c>
    </row>
    <row r="2126" spans="1:3" x14ac:dyDescent="0.35">
      <c r="A2126" t="s">
        <v>211</v>
      </c>
      <c r="B2126" t="s">
        <v>254</v>
      </c>
      <c r="C2126" t="s">
        <v>2392</v>
      </c>
    </row>
    <row r="2127" spans="1:3" x14ac:dyDescent="0.35">
      <c r="A2127" t="s">
        <v>211</v>
      </c>
      <c r="B2127" t="s">
        <v>254</v>
      </c>
      <c r="C2127" t="s">
        <v>2393</v>
      </c>
    </row>
    <row r="2128" spans="1:3" x14ac:dyDescent="0.35">
      <c r="A2128" t="s">
        <v>211</v>
      </c>
      <c r="B2128" t="s">
        <v>254</v>
      </c>
      <c r="C2128" t="s">
        <v>2394</v>
      </c>
    </row>
    <row r="2129" spans="1:3" x14ac:dyDescent="0.35">
      <c r="A2129" t="s">
        <v>211</v>
      </c>
      <c r="B2129" t="s">
        <v>254</v>
      </c>
      <c r="C2129" t="s">
        <v>2395</v>
      </c>
    </row>
    <row r="2130" spans="1:3" x14ac:dyDescent="0.35">
      <c r="A2130" t="s">
        <v>211</v>
      </c>
      <c r="B2130" t="s">
        <v>254</v>
      </c>
      <c r="C2130" t="s">
        <v>2396</v>
      </c>
    </row>
    <row r="2131" spans="1:3" x14ac:dyDescent="0.35">
      <c r="A2131" t="s">
        <v>211</v>
      </c>
      <c r="B2131" t="s">
        <v>254</v>
      </c>
      <c r="C2131" t="s">
        <v>2397</v>
      </c>
    </row>
    <row r="2132" spans="1:3" x14ac:dyDescent="0.35">
      <c r="A2132" t="s">
        <v>211</v>
      </c>
      <c r="B2132" t="s">
        <v>254</v>
      </c>
      <c r="C2132" t="s">
        <v>2398</v>
      </c>
    </row>
    <row r="2133" spans="1:3" x14ac:dyDescent="0.35">
      <c r="A2133" t="s">
        <v>211</v>
      </c>
      <c r="B2133" t="s">
        <v>254</v>
      </c>
      <c r="C2133" t="s">
        <v>2399</v>
      </c>
    </row>
    <row r="2134" spans="1:3" x14ac:dyDescent="0.35">
      <c r="A2134" t="s">
        <v>211</v>
      </c>
      <c r="B2134" t="s">
        <v>266</v>
      </c>
      <c r="C2134" t="s">
        <v>2400</v>
      </c>
    </row>
    <row r="2135" spans="1:3" x14ac:dyDescent="0.35">
      <c r="A2135" t="s">
        <v>211</v>
      </c>
      <c r="B2135" t="s">
        <v>266</v>
      </c>
      <c r="C2135" t="s">
        <v>2401</v>
      </c>
    </row>
    <row r="2136" spans="1:3" x14ac:dyDescent="0.35">
      <c r="A2136" t="s">
        <v>211</v>
      </c>
      <c r="B2136" t="s">
        <v>266</v>
      </c>
      <c r="C2136" t="s">
        <v>2402</v>
      </c>
    </row>
    <row r="2137" spans="1:3" x14ac:dyDescent="0.35">
      <c r="A2137" t="s">
        <v>211</v>
      </c>
      <c r="B2137" t="s">
        <v>266</v>
      </c>
      <c r="C2137" t="s">
        <v>2403</v>
      </c>
    </row>
    <row r="2138" spans="1:3" x14ac:dyDescent="0.35">
      <c r="A2138" t="s">
        <v>211</v>
      </c>
      <c r="B2138" t="s">
        <v>266</v>
      </c>
      <c r="C2138" t="s">
        <v>2404</v>
      </c>
    </row>
    <row r="2139" spans="1:3" x14ac:dyDescent="0.35">
      <c r="A2139" t="s">
        <v>211</v>
      </c>
      <c r="B2139" t="s">
        <v>266</v>
      </c>
      <c r="C2139" t="s">
        <v>2405</v>
      </c>
    </row>
    <row r="2140" spans="1:3" x14ac:dyDescent="0.35">
      <c r="A2140" t="s">
        <v>211</v>
      </c>
      <c r="B2140" t="s">
        <v>266</v>
      </c>
      <c r="C2140" t="s">
        <v>2406</v>
      </c>
    </row>
    <row r="2141" spans="1:3" x14ac:dyDescent="0.35">
      <c r="A2141" t="s">
        <v>211</v>
      </c>
      <c r="B2141" t="s">
        <v>266</v>
      </c>
      <c r="C2141" t="s">
        <v>2407</v>
      </c>
    </row>
    <row r="2142" spans="1:3" x14ac:dyDescent="0.35">
      <c r="A2142" t="s">
        <v>211</v>
      </c>
      <c r="B2142" t="s">
        <v>266</v>
      </c>
      <c r="C2142" t="s">
        <v>2408</v>
      </c>
    </row>
    <row r="2143" spans="1:3" x14ac:dyDescent="0.35">
      <c r="A2143" t="s">
        <v>211</v>
      </c>
      <c r="B2143" t="s">
        <v>266</v>
      </c>
      <c r="C2143" t="s">
        <v>2409</v>
      </c>
    </row>
    <row r="2144" spans="1:3" x14ac:dyDescent="0.35">
      <c r="A2144" t="s">
        <v>211</v>
      </c>
      <c r="B2144" t="s">
        <v>266</v>
      </c>
      <c r="C2144" t="s">
        <v>2410</v>
      </c>
    </row>
    <row r="2145" spans="1:3" x14ac:dyDescent="0.35">
      <c r="A2145" t="s">
        <v>211</v>
      </c>
      <c r="B2145" t="s">
        <v>266</v>
      </c>
      <c r="C2145" t="s">
        <v>2411</v>
      </c>
    </row>
    <row r="2146" spans="1:3" x14ac:dyDescent="0.35">
      <c r="A2146" t="s">
        <v>211</v>
      </c>
      <c r="B2146" t="s">
        <v>266</v>
      </c>
      <c r="C2146" t="s">
        <v>2412</v>
      </c>
    </row>
    <row r="2147" spans="1:3" x14ac:dyDescent="0.35">
      <c r="A2147" t="s">
        <v>211</v>
      </c>
      <c r="B2147" t="s">
        <v>266</v>
      </c>
      <c r="C2147" t="s">
        <v>2413</v>
      </c>
    </row>
    <row r="2148" spans="1:3" x14ac:dyDescent="0.35">
      <c r="A2148" t="s">
        <v>211</v>
      </c>
      <c r="B2148" t="s">
        <v>266</v>
      </c>
      <c r="C2148" t="s">
        <v>2414</v>
      </c>
    </row>
    <row r="2149" spans="1:3" x14ac:dyDescent="0.35">
      <c r="A2149" t="s">
        <v>211</v>
      </c>
      <c r="B2149" t="s">
        <v>266</v>
      </c>
      <c r="C2149" t="s">
        <v>2415</v>
      </c>
    </row>
    <row r="2150" spans="1:3" x14ac:dyDescent="0.35">
      <c r="A2150" t="s">
        <v>211</v>
      </c>
      <c r="B2150" t="s">
        <v>266</v>
      </c>
      <c r="C2150" t="s">
        <v>2416</v>
      </c>
    </row>
    <row r="2151" spans="1:3" x14ac:dyDescent="0.35">
      <c r="A2151" t="s">
        <v>211</v>
      </c>
      <c r="B2151" t="s">
        <v>266</v>
      </c>
      <c r="C2151" t="s">
        <v>2417</v>
      </c>
    </row>
    <row r="2152" spans="1:3" x14ac:dyDescent="0.35">
      <c r="A2152" t="s">
        <v>211</v>
      </c>
      <c r="B2152" t="s">
        <v>266</v>
      </c>
      <c r="C2152" t="s">
        <v>2418</v>
      </c>
    </row>
    <row r="2153" spans="1:3" x14ac:dyDescent="0.35">
      <c r="A2153" t="s">
        <v>211</v>
      </c>
      <c r="B2153" t="s">
        <v>266</v>
      </c>
      <c r="C2153" t="s">
        <v>2419</v>
      </c>
    </row>
    <row r="2154" spans="1:3" x14ac:dyDescent="0.35">
      <c r="A2154" t="s">
        <v>211</v>
      </c>
      <c r="B2154" t="s">
        <v>266</v>
      </c>
      <c r="C2154" t="s">
        <v>2420</v>
      </c>
    </row>
    <row r="2155" spans="1:3" x14ac:dyDescent="0.35">
      <c r="A2155" t="s">
        <v>211</v>
      </c>
      <c r="B2155" t="s">
        <v>266</v>
      </c>
      <c r="C2155" t="s">
        <v>2421</v>
      </c>
    </row>
    <row r="2156" spans="1:3" x14ac:dyDescent="0.35">
      <c r="A2156" t="s">
        <v>211</v>
      </c>
      <c r="B2156" t="s">
        <v>266</v>
      </c>
      <c r="C2156" t="s">
        <v>2422</v>
      </c>
    </row>
    <row r="2157" spans="1:3" x14ac:dyDescent="0.35">
      <c r="A2157" t="s">
        <v>211</v>
      </c>
      <c r="B2157" t="s">
        <v>266</v>
      </c>
      <c r="C2157" t="s">
        <v>2423</v>
      </c>
    </row>
    <row r="2158" spans="1:3" x14ac:dyDescent="0.35">
      <c r="A2158" t="s">
        <v>211</v>
      </c>
      <c r="B2158" t="s">
        <v>266</v>
      </c>
      <c r="C2158" t="s">
        <v>2424</v>
      </c>
    </row>
    <row r="2159" spans="1:3" x14ac:dyDescent="0.35">
      <c r="A2159" t="s">
        <v>211</v>
      </c>
      <c r="B2159" t="s">
        <v>266</v>
      </c>
      <c r="C2159" t="s">
        <v>2425</v>
      </c>
    </row>
    <row r="2160" spans="1:3" x14ac:dyDescent="0.35">
      <c r="A2160" t="s">
        <v>211</v>
      </c>
      <c r="B2160" t="s">
        <v>266</v>
      </c>
      <c r="C2160" t="s">
        <v>2426</v>
      </c>
    </row>
    <row r="2161" spans="1:3" x14ac:dyDescent="0.35">
      <c r="A2161" t="s">
        <v>211</v>
      </c>
      <c r="B2161" t="s">
        <v>266</v>
      </c>
      <c r="C2161" t="s">
        <v>2427</v>
      </c>
    </row>
    <row r="2162" spans="1:3" x14ac:dyDescent="0.35">
      <c r="A2162" t="s">
        <v>211</v>
      </c>
      <c r="B2162" t="s">
        <v>266</v>
      </c>
      <c r="C2162" t="s">
        <v>2428</v>
      </c>
    </row>
    <row r="2163" spans="1:3" x14ac:dyDescent="0.35">
      <c r="A2163" t="s">
        <v>211</v>
      </c>
      <c r="B2163" t="s">
        <v>266</v>
      </c>
      <c r="C2163" t="s">
        <v>2429</v>
      </c>
    </row>
    <row r="2164" spans="1:3" x14ac:dyDescent="0.35">
      <c r="A2164" t="s">
        <v>211</v>
      </c>
      <c r="B2164" t="s">
        <v>266</v>
      </c>
      <c r="C2164" t="s">
        <v>2430</v>
      </c>
    </row>
    <row r="2165" spans="1:3" x14ac:dyDescent="0.35">
      <c r="A2165" t="s">
        <v>211</v>
      </c>
      <c r="B2165" t="s">
        <v>266</v>
      </c>
      <c r="C2165" t="s">
        <v>2431</v>
      </c>
    </row>
    <row r="2166" spans="1:3" x14ac:dyDescent="0.35">
      <c r="A2166" t="s">
        <v>211</v>
      </c>
      <c r="B2166" t="s">
        <v>266</v>
      </c>
      <c r="C2166" t="s">
        <v>2432</v>
      </c>
    </row>
    <row r="2167" spans="1:3" x14ac:dyDescent="0.35">
      <c r="A2167" t="s">
        <v>211</v>
      </c>
      <c r="B2167" t="s">
        <v>266</v>
      </c>
      <c r="C2167" t="s">
        <v>2433</v>
      </c>
    </row>
    <row r="2168" spans="1:3" x14ac:dyDescent="0.35">
      <c r="A2168" t="s">
        <v>211</v>
      </c>
      <c r="B2168" t="s">
        <v>266</v>
      </c>
      <c r="C2168" t="s">
        <v>2434</v>
      </c>
    </row>
    <row r="2169" spans="1:3" x14ac:dyDescent="0.35">
      <c r="A2169" t="s">
        <v>211</v>
      </c>
      <c r="B2169" t="s">
        <v>266</v>
      </c>
      <c r="C2169" t="s">
        <v>2435</v>
      </c>
    </row>
    <row r="2170" spans="1:3" x14ac:dyDescent="0.35">
      <c r="A2170" t="s">
        <v>211</v>
      </c>
      <c r="B2170" t="s">
        <v>266</v>
      </c>
      <c r="C2170" t="s">
        <v>2436</v>
      </c>
    </row>
    <row r="2171" spans="1:3" x14ac:dyDescent="0.35">
      <c r="A2171" t="s">
        <v>211</v>
      </c>
      <c r="B2171" t="s">
        <v>266</v>
      </c>
      <c r="C2171" t="s">
        <v>2437</v>
      </c>
    </row>
    <row r="2172" spans="1:3" x14ac:dyDescent="0.35">
      <c r="A2172" t="s">
        <v>211</v>
      </c>
      <c r="B2172" t="s">
        <v>266</v>
      </c>
      <c r="C2172" t="s">
        <v>2438</v>
      </c>
    </row>
    <row r="2173" spans="1:3" x14ac:dyDescent="0.35">
      <c r="A2173" t="s">
        <v>211</v>
      </c>
      <c r="B2173" t="s">
        <v>266</v>
      </c>
      <c r="C2173" t="s">
        <v>2439</v>
      </c>
    </row>
    <row r="2174" spans="1:3" x14ac:dyDescent="0.35">
      <c r="A2174" t="s">
        <v>211</v>
      </c>
      <c r="B2174" t="s">
        <v>266</v>
      </c>
      <c r="C2174" t="s">
        <v>2440</v>
      </c>
    </row>
    <row r="2175" spans="1:3" x14ac:dyDescent="0.35">
      <c r="A2175" t="s">
        <v>211</v>
      </c>
      <c r="B2175" t="s">
        <v>266</v>
      </c>
      <c r="C2175" t="s">
        <v>2441</v>
      </c>
    </row>
    <row r="2176" spans="1:3" x14ac:dyDescent="0.35">
      <c r="A2176" t="s">
        <v>211</v>
      </c>
      <c r="B2176" t="s">
        <v>266</v>
      </c>
      <c r="C2176" t="s">
        <v>2442</v>
      </c>
    </row>
    <row r="2177" spans="1:3" x14ac:dyDescent="0.35">
      <c r="A2177" t="s">
        <v>211</v>
      </c>
      <c r="B2177" t="s">
        <v>266</v>
      </c>
      <c r="C2177" t="s">
        <v>2443</v>
      </c>
    </row>
    <row r="2178" spans="1:3" x14ac:dyDescent="0.35">
      <c r="A2178" t="s">
        <v>211</v>
      </c>
      <c r="B2178" t="s">
        <v>266</v>
      </c>
      <c r="C2178" t="s">
        <v>2444</v>
      </c>
    </row>
    <row r="2179" spans="1:3" x14ac:dyDescent="0.35">
      <c r="A2179" t="s">
        <v>211</v>
      </c>
      <c r="B2179" t="s">
        <v>266</v>
      </c>
      <c r="C2179" t="s">
        <v>2445</v>
      </c>
    </row>
    <row r="2180" spans="1:3" x14ac:dyDescent="0.35">
      <c r="A2180" t="s">
        <v>211</v>
      </c>
      <c r="B2180" t="s">
        <v>266</v>
      </c>
      <c r="C2180" t="s">
        <v>2446</v>
      </c>
    </row>
    <row r="2181" spans="1:3" x14ac:dyDescent="0.35">
      <c r="A2181" t="s">
        <v>211</v>
      </c>
      <c r="B2181" t="s">
        <v>266</v>
      </c>
      <c r="C2181" t="s">
        <v>2447</v>
      </c>
    </row>
    <row r="2182" spans="1:3" x14ac:dyDescent="0.35">
      <c r="A2182" t="s">
        <v>211</v>
      </c>
      <c r="B2182" t="s">
        <v>266</v>
      </c>
      <c r="C2182" t="s">
        <v>2448</v>
      </c>
    </row>
    <row r="2183" spans="1:3" x14ac:dyDescent="0.35">
      <c r="A2183" t="s">
        <v>211</v>
      </c>
      <c r="B2183" t="s">
        <v>266</v>
      </c>
      <c r="C2183" t="s">
        <v>2449</v>
      </c>
    </row>
    <row r="2184" spans="1:3" x14ac:dyDescent="0.35">
      <c r="A2184" t="s">
        <v>211</v>
      </c>
      <c r="B2184" t="s">
        <v>266</v>
      </c>
      <c r="C2184" t="s">
        <v>2450</v>
      </c>
    </row>
    <row r="2185" spans="1:3" x14ac:dyDescent="0.35">
      <c r="A2185" t="s">
        <v>211</v>
      </c>
      <c r="B2185" t="s">
        <v>266</v>
      </c>
      <c r="C2185" t="s">
        <v>2451</v>
      </c>
    </row>
    <row r="2186" spans="1:3" x14ac:dyDescent="0.35">
      <c r="A2186" t="s">
        <v>211</v>
      </c>
      <c r="B2186" t="s">
        <v>266</v>
      </c>
      <c r="C2186" t="s">
        <v>2452</v>
      </c>
    </row>
    <row r="2187" spans="1:3" x14ac:dyDescent="0.35">
      <c r="A2187" t="s">
        <v>211</v>
      </c>
      <c r="B2187" t="s">
        <v>266</v>
      </c>
      <c r="C2187" t="s">
        <v>2453</v>
      </c>
    </row>
    <row r="2188" spans="1:3" x14ac:dyDescent="0.35">
      <c r="A2188" t="s">
        <v>211</v>
      </c>
      <c r="B2188" t="s">
        <v>266</v>
      </c>
      <c r="C2188" t="s">
        <v>2454</v>
      </c>
    </row>
    <row r="2189" spans="1:3" x14ac:dyDescent="0.35">
      <c r="A2189" t="s">
        <v>211</v>
      </c>
      <c r="B2189" t="s">
        <v>266</v>
      </c>
      <c r="C2189" t="s">
        <v>2455</v>
      </c>
    </row>
    <row r="2190" spans="1:3" x14ac:dyDescent="0.35">
      <c r="A2190" t="s">
        <v>211</v>
      </c>
      <c r="B2190" t="s">
        <v>266</v>
      </c>
      <c r="C2190" t="s">
        <v>2456</v>
      </c>
    </row>
    <row r="2191" spans="1:3" x14ac:dyDescent="0.35">
      <c r="A2191" t="s">
        <v>211</v>
      </c>
      <c r="B2191" t="s">
        <v>266</v>
      </c>
      <c r="C2191" t="s">
        <v>2457</v>
      </c>
    </row>
    <row r="2192" spans="1:3" x14ac:dyDescent="0.35">
      <c r="A2192" t="s">
        <v>211</v>
      </c>
      <c r="B2192" t="s">
        <v>266</v>
      </c>
      <c r="C2192" t="s">
        <v>2458</v>
      </c>
    </row>
    <row r="2193" spans="1:3" x14ac:dyDescent="0.35">
      <c r="A2193" t="s">
        <v>211</v>
      </c>
      <c r="B2193" t="s">
        <v>266</v>
      </c>
      <c r="C2193" t="s">
        <v>2459</v>
      </c>
    </row>
    <row r="2194" spans="1:3" x14ac:dyDescent="0.35">
      <c r="A2194" t="s">
        <v>211</v>
      </c>
      <c r="B2194" t="s">
        <v>266</v>
      </c>
      <c r="C2194" t="s">
        <v>2460</v>
      </c>
    </row>
    <row r="2195" spans="1:3" x14ac:dyDescent="0.35">
      <c r="A2195" t="s">
        <v>211</v>
      </c>
      <c r="B2195" t="s">
        <v>266</v>
      </c>
      <c r="C2195" t="s">
        <v>2461</v>
      </c>
    </row>
    <row r="2196" spans="1:3" x14ac:dyDescent="0.35">
      <c r="A2196" t="s">
        <v>211</v>
      </c>
      <c r="B2196" t="s">
        <v>266</v>
      </c>
      <c r="C2196" t="s">
        <v>2462</v>
      </c>
    </row>
    <row r="2197" spans="1:3" x14ac:dyDescent="0.35">
      <c r="A2197" t="s">
        <v>211</v>
      </c>
      <c r="B2197" t="s">
        <v>266</v>
      </c>
      <c r="C2197" t="s">
        <v>2463</v>
      </c>
    </row>
    <row r="2198" spans="1:3" x14ac:dyDescent="0.35">
      <c r="A2198" t="s">
        <v>211</v>
      </c>
      <c r="B2198" t="s">
        <v>266</v>
      </c>
      <c r="C2198" t="s">
        <v>2464</v>
      </c>
    </row>
    <row r="2199" spans="1:3" x14ac:dyDescent="0.35">
      <c r="A2199" t="s">
        <v>211</v>
      </c>
      <c r="B2199" t="s">
        <v>266</v>
      </c>
      <c r="C2199" t="s">
        <v>2465</v>
      </c>
    </row>
    <row r="2200" spans="1:3" x14ac:dyDescent="0.35">
      <c r="A2200" t="s">
        <v>211</v>
      </c>
      <c r="B2200" t="s">
        <v>266</v>
      </c>
      <c r="C2200" t="s">
        <v>2466</v>
      </c>
    </row>
    <row r="2201" spans="1:3" x14ac:dyDescent="0.35">
      <c r="A2201" t="s">
        <v>211</v>
      </c>
      <c r="B2201" t="s">
        <v>266</v>
      </c>
      <c r="C2201" t="s">
        <v>2467</v>
      </c>
    </row>
    <row r="2202" spans="1:3" x14ac:dyDescent="0.35">
      <c r="A2202" t="s">
        <v>211</v>
      </c>
      <c r="B2202" t="s">
        <v>266</v>
      </c>
      <c r="C2202" t="s">
        <v>2468</v>
      </c>
    </row>
    <row r="2203" spans="1:3" x14ac:dyDescent="0.35">
      <c r="A2203" t="s">
        <v>211</v>
      </c>
      <c r="B2203" t="s">
        <v>266</v>
      </c>
      <c r="C2203" t="s">
        <v>2469</v>
      </c>
    </row>
    <row r="2204" spans="1:3" x14ac:dyDescent="0.35">
      <c r="A2204" t="s">
        <v>211</v>
      </c>
      <c r="B2204" t="s">
        <v>266</v>
      </c>
      <c r="C2204" t="s">
        <v>2470</v>
      </c>
    </row>
    <row r="2205" spans="1:3" x14ac:dyDescent="0.35">
      <c r="A2205" t="s">
        <v>211</v>
      </c>
      <c r="B2205" t="s">
        <v>266</v>
      </c>
      <c r="C2205" t="s">
        <v>2471</v>
      </c>
    </row>
    <row r="2206" spans="1:3" x14ac:dyDescent="0.35">
      <c r="A2206" t="s">
        <v>211</v>
      </c>
      <c r="B2206" t="s">
        <v>266</v>
      </c>
      <c r="C2206" t="s">
        <v>2472</v>
      </c>
    </row>
    <row r="2207" spans="1:3" x14ac:dyDescent="0.35">
      <c r="A2207" t="s">
        <v>211</v>
      </c>
      <c r="B2207" t="s">
        <v>266</v>
      </c>
      <c r="C2207" t="s">
        <v>2473</v>
      </c>
    </row>
    <row r="2208" spans="1:3" x14ac:dyDescent="0.35">
      <c r="A2208" t="s">
        <v>211</v>
      </c>
      <c r="B2208" t="s">
        <v>266</v>
      </c>
      <c r="C2208" t="s">
        <v>2474</v>
      </c>
    </row>
    <row r="2209" spans="1:3" x14ac:dyDescent="0.35">
      <c r="A2209" t="s">
        <v>211</v>
      </c>
      <c r="B2209" t="s">
        <v>266</v>
      </c>
      <c r="C2209" t="s">
        <v>2475</v>
      </c>
    </row>
    <row r="2210" spans="1:3" x14ac:dyDescent="0.35">
      <c r="A2210" t="s">
        <v>211</v>
      </c>
      <c r="B2210" t="s">
        <v>266</v>
      </c>
      <c r="C2210" t="s">
        <v>2476</v>
      </c>
    </row>
    <row r="2211" spans="1:3" x14ac:dyDescent="0.35">
      <c r="A2211" t="s">
        <v>211</v>
      </c>
      <c r="B2211" t="s">
        <v>266</v>
      </c>
      <c r="C2211" t="s">
        <v>2477</v>
      </c>
    </row>
    <row r="2212" spans="1:3" x14ac:dyDescent="0.35">
      <c r="A2212" t="s">
        <v>211</v>
      </c>
      <c r="B2212" t="s">
        <v>266</v>
      </c>
      <c r="C2212" t="s">
        <v>2478</v>
      </c>
    </row>
    <row r="2213" spans="1:3" x14ac:dyDescent="0.35">
      <c r="A2213" t="s">
        <v>211</v>
      </c>
      <c r="B2213" t="s">
        <v>266</v>
      </c>
      <c r="C2213" t="s">
        <v>2479</v>
      </c>
    </row>
    <row r="2214" spans="1:3" x14ac:dyDescent="0.35">
      <c r="A2214" t="s">
        <v>211</v>
      </c>
      <c r="B2214" t="s">
        <v>266</v>
      </c>
      <c r="C2214" t="s">
        <v>2480</v>
      </c>
    </row>
    <row r="2215" spans="1:3" x14ac:dyDescent="0.35">
      <c r="A2215" t="s">
        <v>211</v>
      </c>
      <c r="B2215" t="s">
        <v>266</v>
      </c>
      <c r="C2215" t="s">
        <v>2481</v>
      </c>
    </row>
    <row r="2216" spans="1:3" x14ac:dyDescent="0.35">
      <c r="A2216" t="s">
        <v>211</v>
      </c>
      <c r="B2216" t="s">
        <v>266</v>
      </c>
      <c r="C2216" t="s">
        <v>2482</v>
      </c>
    </row>
    <row r="2217" spans="1:3" x14ac:dyDescent="0.35">
      <c r="A2217" t="s">
        <v>211</v>
      </c>
      <c r="B2217" t="s">
        <v>266</v>
      </c>
      <c r="C2217" t="s">
        <v>2483</v>
      </c>
    </row>
    <row r="2218" spans="1:3" x14ac:dyDescent="0.35">
      <c r="A2218" t="s">
        <v>211</v>
      </c>
      <c r="B2218" t="s">
        <v>266</v>
      </c>
      <c r="C2218" t="s">
        <v>2484</v>
      </c>
    </row>
    <row r="2219" spans="1:3" x14ac:dyDescent="0.35">
      <c r="A2219" t="s">
        <v>211</v>
      </c>
      <c r="B2219" t="s">
        <v>266</v>
      </c>
      <c r="C2219" t="s">
        <v>2485</v>
      </c>
    </row>
    <row r="2220" spans="1:3" x14ac:dyDescent="0.35">
      <c r="A2220" t="s">
        <v>211</v>
      </c>
      <c r="B2220" t="s">
        <v>266</v>
      </c>
      <c r="C2220" t="s">
        <v>2486</v>
      </c>
    </row>
    <row r="2221" spans="1:3" x14ac:dyDescent="0.35">
      <c r="A2221" t="s">
        <v>211</v>
      </c>
      <c r="B2221" t="s">
        <v>266</v>
      </c>
      <c r="C2221" t="s">
        <v>2487</v>
      </c>
    </row>
    <row r="2222" spans="1:3" x14ac:dyDescent="0.35">
      <c r="A2222" t="s">
        <v>211</v>
      </c>
      <c r="B2222" t="s">
        <v>266</v>
      </c>
      <c r="C2222" t="s">
        <v>2488</v>
      </c>
    </row>
    <row r="2223" spans="1:3" x14ac:dyDescent="0.35">
      <c r="A2223" t="s">
        <v>211</v>
      </c>
      <c r="B2223" t="s">
        <v>266</v>
      </c>
      <c r="C2223" t="s">
        <v>2489</v>
      </c>
    </row>
    <row r="2224" spans="1:3" x14ac:dyDescent="0.35">
      <c r="A2224" t="s">
        <v>211</v>
      </c>
      <c r="B2224" t="s">
        <v>266</v>
      </c>
      <c r="C2224" t="s">
        <v>2490</v>
      </c>
    </row>
    <row r="2225" spans="1:3" x14ac:dyDescent="0.35">
      <c r="A2225" t="s">
        <v>211</v>
      </c>
      <c r="B2225" t="s">
        <v>266</v>
      </c>
      <c r="C2225" t="s">
        <v>2491</v>
      </c>
    </row>
    <row r="2226" spans="1:3" x14ac:dyDescent="0.35">
      <c r="A2226" t="s">
        <v>211</v>
      </c>
      <c r="B2226" t="s">
        <v>266</v>
      </c>
      <c r="C2226" t="s">
        <v>2492</v>
      </c>
    </row>
    <row r="2227" spans="1:3" x14ac:dyDescent="0.35">
      <c r="A2227" t="s">
        <v>211</v>
      </c>
      <c r="B2227" t="s">
        <v>266</v>
      </c>
      <c r="C2227" t="s">
        <v>2493</v>
      </c>
    </row>
    <row r="2228" spans="1:3" x14ac:dyDescent="0.35">
      <c r="A2228" t="s">
        <v>211</v>
      </c>
      <c r="B2228" t="s">
        <v>266</v>
      </c>
      <c r="C2228" t="s">
        <v>2494</v>
      </c>
    </row>
    <row r="2229" spans="1:3" x14ac:dyDescent="0.35">
      <c r="A2229" t="s">
        <v>211</v>
      </c>
      <c r="B2229" t="s">
        <v>266</v>
      </c>
      <c r="C2229" t="s">
        <v>2495</v>
      </c>
    </row>
    <row r="2230" spans="1:3" x14ac:dyDescent="0.35">
      <c r="A2230" t="s">
        <v>211</v>
      </c>
      <c r="B2230" t="s">
        <v>266</v>
      </c>
      <c r="C2230" t="s">
        <v>266</v>
      </c>
    </row>
    <row r="2231" spans="1:3" x14ac:dyDescent="0.35">
      <c r="A2231" t="s">
        <v>211</v>
      </c>
      <c r="B2231" t="s">
        <v>266</v>
      </c>
      <c r="C2231" t="s">
        <v>2496</v>
      </c>
    </row>
    <row r="2232" spans="1:3" x14ac:dyDescent="0.35">
      <c r="A2232" t="s">
        <v>211</v>
      </c>
      <c r="B2232" t="s">
        <v>266</v>
      </c>
      <c r="C2232" t="s">
        <v>2497</v>
      </c>
    </row>
    <row r="2233" spans="1:3" x14ac:dyDescent="0.35">
      <c r="A2233" t="s">
        <v>211</v>
      </c>
      <c r="B2233" t="s">
        <v>266</v>
      </c>
      <c r="C2233" t="s">
        <v>2498</v>
      </c>
    </row>
    <row r="2234" spans="1:3" x14ac:dyDescent="0.35">
      <c r="A2234" t="s">
        <v>211</v>
      </c>
      <c r="B2234" t="s">
        <v>266</v>
      </c>
      <c r="C2234" t="s">
        <v>2499</v>
      </c>
    </row>
    <row r="2235" spans="1:3" x14ac:dyDescent="0.35">
      <c r="A2235" t="s">
        <v>211</v>
      </c>
      <c r="B2235" t="s">
        <v>266</v>
      </c>
      <c r="C2235" t="s">
        <v>2500</v>
      </c>
    </row>
    <row r="2236" spans="1:3" x14ac:dyDescent="0.35">
      <c r="A2236" t="s">
        <v>211</v>
      </c>
      <c r="B2236" t="s">
        <v>266</v>
      </c>
      <c r="C2236" t="s">
        <v>2501</v>
      </c>
    </row>
    <row r="2237" spans="1:3" x14ac:dyDescent="0.35">
      <c r="A2237" t="s">
        <v>211</v>
      </c>
      <c r="B2237" t="s">
        <v>266</v>
      </c>
      <c r="C2237" t="s">
        <v>2502</v>
      </c>
    </row>
    <row r="2238" spans="1:3" x14ac:dyDescent="0.35">
      <c r="A2238" t="s">
        <v>211</v>
      </c>
      <c r="B2238" t="s">
        <v>266</v>
      </c>
      <c r="C2238" t="s">
        <v>2503</v>
      </c>
    </row>
    <row r="2239" spans="1:3" x14ac:dyDescent="0.35">
      <c r="A2239" t="s">
        <v>211</v>
      </c>
      <c r="B2239" t="s">
        <v>266</v>
      </c>
      <c r="C2239" t="s">
        <v>2504</v>
      </c>
    </row>
    <row r="2240" spans="1:3" x14ac:dyDescent="0.35">
      <c r="A2240" t="s">
        <v>211</v>
      </c>
      <c r="B2240" t="s">
        <v>266</v>
      </c>
      <c r="C2240" t="s">
        <v>2505</v>
      </c>
    </row>
    <row r="2241" spans="1:3" x14ac:dyDescent="0.35">
      <c r="A2241" t="s">
        <v>211</v>
      </c>
      <c r="B2241" t="s">
        <v>266</v>
      </c>
      <c r="C2241" t="s">
        <v>2506</v>
      </c>
    </row>
    <row r="2242" spans="1:3" x14ac:dyDescent="0.35">
      <c r="A2242" t="s">
        <v>211</v>
      </c>
      <c r="B2242" t="s">
        <v>266</v>
      </c>
      <c r="C2242" t="s">
        <v>2507</v>
      </c>
    </row>
    <row r="2243" spans="1:3" x14ac:dyDescent="0.35">
      <c r="A2243" t="s">
        <v>211</v>
      </c>
      <c r="B2243" t="s">
        <v>266</v>
      </c>
      <c r="C2243" t="s">
        <v>2508</v>
      </c>
    </row>
    <row r="2244" spans="1:3" x14ac:dyDescent="0.35">
      <c r="A2244" t="s">
        <v>211</v>
      </c>
      <c r="B2244" t="s">
        <v>266</v>
      </c>
      <c r="C2244" t="s">
        <v>2509</v>
      </c>
    </row>
    <row r="2245" spans="1:3" x14ac:dyDescent="0.35">
      <c r="A2245" t="s">
        <v>211</v>
      </c>
      <c r="B2245" t="s">
        <v>266</v>
      </c>
      <c r="C2245" t="s">
        <v>2510</v>
      </c>
    </row>
    <row r="2246" spans="1:3" x14ac:dyDescent="0.35">
      <c r="A2246" t="s">
        <v>211</v>
      </c>
      <c r="B2246" t="s">
        <v>266</v>
      </c>
      <c r="C2246" t="s">
        <v>2511</v>
      </c>
    </row>
    <row r="2247" spans="1:3" x14ac:dyDescent="0.35">
      <c r="A2247" t="s">
        <v>211</v>
      </c>
      <c r="B2247" t="s">
        <v>266</v>
      </c>
      <c r="C2247" t="s">
        <v>2512</v>
      </c>
    </row>
    <row r="2248" spans="1:3" x14ac:dyDescent="0.35">
      <c r="A2248" t="s">
        <v>211</v>
      </c>
      <c r="B2248" t="s">
        <v>266</v>
      </c>
      <c r="C2248" t="s">
        <v>2513</v>
      </c>
    </row>
    <row r="2249" spans="1:3" x14ac:dyDescent="0.35">
      <c r="A2249" t="s">
        <v>211</v>
      </c>
      <c r="B2249" t="s">
        <v>266</v>
      </c>
      <c r="C2249" t="s">
        <v>2514</v>
      </c>
    </row>
    <row r="2250" spans="1:3" x14ac:dyDescent="0.35">
      <c r="A2250" t="s">
        <v>211</v>
      </c>
      <c r="B2250" t="s">
        <v>266</v>
      </c>
      <c r="C2250" t="s">
        <v>2515</v>
      </c>
    </row>
    <row r="2251" spans="1:3" x14ac:dyDescent="0.35">
      <c r="A2251" t="s">
        <v>211</v>
      </c>
      <c r="B2251" t="s">
        <v>266</v>
      </c>
      <c r="C2251" t="s">
        <v>2516</v>
      </c>
    </row>
    <row r="2252" spans="1:3" x14ac:dyDescent="0.35">
      <c r="A2252" t="s">
        <v>211</v>
      </c>
      <c r="B2252" t="s">
        <v>266</v>
      </c>
      <c r="C2252" t="s">
        <v>2517</v>
      </c>
    </row>
    <row r="2253" spans="1:3" x14ac:dyDescent="0.35">
      <c r="A2253" t="s">
        <v>211</v>
      </c>
      <c r="B2253" t="s">
        <v>266</v>
      </c>
      <c r="C2253" t="s">
        <v>2518</v>
      </c>
    </row>
    <row r="2254" spans="1:3" x14ac:dyDescent="0.35">
      <c r="A2254" t="s">
        <v>211</v>
      </c>
      <c r="B2254" t="s">
        <v>266</v>
      </c>
      <c r="C2254" t="s">
        <v>2519</v>
      </c>
    </row>
    <row r="2255" spans="1:3" x14ac:dyDescent="0.35">
      <c r="A2255" t="s">
        <v>211</v>
      </c>
      <c r="B2255" t="s">
        <v>272</v>
      </c>
      <c r="C2255" t="s">
        <v>2520</v>
      </c>
    </row>
    <row r="2256" spans="1:3" x14ac:dyDescent="0.35">
      <c r="A2256" t="s">
        <v>211</v>
      </c>
      <c r="B2256" t="s">
        <v>272</v>
      </c>
      <c r="C2256" t="s">
        <v>2521</v>
      </c>
    </row>
    <row r="2257" spans="1:3" x14ac:dyDescent="0.35">
      <c r="A2257" t="s">
        <v>211</v>
      </c>
      <c r="B2257" t="s">
        <v>272</v>
      </c>
      <c r="C2257" t="s">
        <v>2522</v>
      </c>
    </row>
    <row r="2258" spans="1:3" x14ac:dyDescent="0.35">
      <c r="A2258" t="s">
        <v>211</v>
      </c>
      <c r="B2258" t="s">
        <v>272</v>
      </c>
      <c r="C2258" t="s">
        <v>2523</v>
      </c>
    </row>
    <row r="2259" spans="1:3" x14ac:dyDescent="0.35">
      <c r="A2259" t="s">
        <v>211</v>
      </c>
      <c r="B2259" t="s">
        <v>272</v>
      </c>
      <c r="C2259" t="s">
        <v>2524</v>
      </c>
    </row>
    <row r="2260" spans="1:3" x14ac:dyDescent="0.35">
      <c r="A2260" t="s">
        <v>211</v>
      </c>
      <c r="B2260" t="s">
        <v>272</v>
      </c>
      <c r="C2260" t="s">
        <v>2525</v>
      </c>
    </row>
    <row r="2261" spans="1:3" x14ac:dyDescent="0.35">
      <c r="A2261" t="s">
        <v>211</v>
      </c>
      <c r="B2261" t="s">
        <v>272</v>
      </c>
      <c r="C2261" t="s">
        <v>2526</v>
      </c>
    </row>
    <row r="2262" spans="1:3" x14ac:dyDescent="0.35">
      <c r="A2262" t="s">
        <v>211</v>
      </c>
      <c r="B2262" t="s">
        <v>272</v>
      </c>
      <c r="C2262" t="s">
        <v>2527</v>
      </c>
    </row>
    <row r="2263" spans="1:3" x14ac:dyDescent="0.35">
      <c r="A2263" t="s">
        <v>211</v>
      </c>
      <c r="B2263" t="s">
        <v>272</v>
      </c>
      <c r="C2263" t="s">
        <v>2528</v>
      </c>
    </row>
    <row r="2264" spans="1:3" x14ac:dyDescent="0.35">
      <c r="A2264" t="s">
        <v>211</v>
      </c>
      <c r="B2264" t="s">
        <v>272</v>
      </c>
      <c r="C2264" t="s">
        <v>2529</v>
      </c>
    </row>
    <row r="2265" spans="1:3" x14ac:dyDescent="0.35">
      <c r="A2265" t="s">
        <v>211</v>
      </c>
      <c r="B2265" t="s">
        <v>272</v>
      </c>
      <c r="C2265" t="s">
        <v>2530</v>
      </c>
    </row>
    <row r="2266" spans="1:3" x14ac:dyDescent="0.35">
      <c r="A2266" t="s">
        <v>211</v>
      </c>
      <c r="B2266" t="s">
        <v>272</v>
      </c>
      <c r="C2266" t="s">
        <v>2531</v>
      </c>
    </row>
    <row r="2267" spans="1:3" x14ac:dyDescent="0.35">
      <c r="A2267" t="s">
        <v>211</v>
      </c>
      <c r="B2267" t="s">
        <v>272</v>
      </c>
      <c r="C2267" t="s">
        <v>2532</v>
      </c>
    </row>
    <row r="2268" spans="1:3" x14ac:dyDescent="0.35">
      <c r="A2268" t="s">
        <v>211</v>
      </c>
      <c r="B2268" t="s">
        <v>272</v>
      </c>
      <c r="C2268" t="s">
        <v>2533</v>
      </c>
    </row>
    <row r="2269" spans="1:3" x14ac:dyDescent="0.35">
      <c r="A2269" t="s">
        <v>211</v>
      </c>
      <c r="B2269" t="s">
        <v>272</v>
      </c>
      <c r="C2269" t="s">
        <v>2534</v>
      </c>
    </row>
    <row r="2270" spans="1:3" x14ac:dyDescent="0.35">
      <c r="A2270" t="s">
        <v>211</v>
      </c>
      <c r="B2270" t="s">
        <v>272</v>
      </c>
      <c r="C2270" t="s">
        <v>2535</v>
      </c>
    </row>
    <row r="2271" spans="1:3" x14ac:dyDescent="0.35">
      <c r="A2271" t="s">
        <v>211</v>
      </c>
      <c r="B2271" t="s">
        <v>272</v>
      </c>
      <c r="C2271" t="s">
        <v>2536</v>
      </c>
    </row>
    <row r="2272" spans="1:3" x14ac:dyDescent="0.35">
      <c r="A2272" t="s">
        <v>211</v>
      </c>
      <c r="B2272" t="s">
        <v>272</v>
      </c>
      <c r="C2272" t="s">
        <v>2537</v>
      </c>
    </row>
    <row r="2273" spans="1:3" x14ac:dyDescent="0.35">
      <c r="A2273" t="s">
        <v>211</v>
      </c>
      <c r="B2273" t="s">
        <v>272</v>
      </c>
      <c r="C2273" t="s">
        <v>2538</v>
      </c>
    </row>
    <row r="2274" spans="1:3" x14ac:dyDescent="0.35">
      <c r="A2274" t="s">
        <v>211</v>
      </c>
      <c r="B2274" t="s">
        <v>272</v>
      </c>
      <c r="C2274" t="s">
        <v>2539</v>
      </c>
    </row>
    <row r="2275" spans="1:3" x14ac:dyDescent="0.35">
      <c r="A2275" t="s">
        <v>211</v>
      </c>
      <c r="B2275" t="s">
        <v>272</v>
      </c>
      <c r="C2275" t="s">
        <v>2540</v>
      </c>
    </row>
    <row r="2276" spans="1:3" x14ac:dyDescent="0.35">
      <c r="A2276" t="s">
        <v>211</v>
      </c>
      <c r="B2276" t="s">
        <v>272</v>
      </c>
      <c r="C2276" t="s">
        <v>2541</v>
      </c>
    </row>
    <row r="2277" spans="1:3" x14ac:dyDescent="0.35">
      <c r="A2277" t="s">
        <v>211</v>
      </c>
      <c r="B2277" t="s">
        <v>272</v>
      </c>
      <c r="C2277" t="s">
        <v>2542</v>
      </c>
    </row>
    <row r="2278" spans="1:3" x14ac:dyDescent="0.35">
      <c r="A2278" t="s">
        <v>211</v>
      </c>
      <c r="B2278" t="s">
        <v>272</v>
      </c>
      <c r="C2278" t="s">
        <v>2543</v>
      </c>
    </row>
    <row r="2279" spans="1:3" x14ac:dyDescent="0.35">
      <c r="A2279" t="s">
        <v>211</v>
      </c>
      <c r="B2279" t="s">
        <v>272</v>
      </c>
      <c r="C2279" t="s">
        <v>2544</v>
      </c>
    </row>
    <row r="2280" spans="1:3" x14ac:dyDescent="0.35">
      <c r="A2280" t="s">
        <v>211</v>
      </c>
      <c r="B2280" t="s">
        <v>272</v>
      </c>
      <c r="C2280" t="s">
        <v>2545</v>
      </c>
    </row>
    <row r="2281" spans="1:3" x14ac:dyDescent="0.35">
      <c r="A2281" t="s">
        <v>211</v>
      </c>
      <c r="B2281" t="s">
        <v>272</v>
      </c>
      <c r="C2281" t="s">
        <v>2546</v>
      </c>
    </row>
    <row r="2282" spans="1:3" x14ac:dyDescent="0.35">
      <c r="A2282" t="s">
        <v>211</v>
      </c>
      <c r="B2282" t="s">
        <v>272</v>
      </c>
      <c r="C2282" t="s">
        <v>2547</v>
      </c>
    </row>
    <row r="2283" spans="1:3" x14ac:dyDescent="0.35">
      <c r="A2283" t="s">
        <v>211</v>
      </c>
      <c r="B2283" t="s">
        <v>272</v>
      </c>
      <c r="C2283" t="s">
        <v>2548</v>
      </c>
    </row>
    <row r="2284" spans="1:3" x14ac:dyDescent="0.35">
      <c r="A2284" t="s">
        <v>211</v>
      </c>
      <c r="B2284" t="s">
        <v>272</v>
      </c>
      <c r="C2284" t="s">
        <v>2549</v>
      </c>
    </row>
    <row r="2285" spans="1:3" x14ac:dyDescent="0.35">
      <c r="A2285" t="s">
        <v>211</v>
      </c>
      <c r="B2285" t="s">
        <v>272</v>
      </c>
      <c r="C2285" t="s">
        <v>2550</v>
      </c>
    </row>
    <row r="2286" spans="1:3" x14ac:dyDescent="0.35">
      <c r="A2286" t="s">
        <v>211</v>
      </c>
      <c r="B2286" t="s">
        <v>272</v>
      </c>
      <c r="C2286" t="s">
        <v>2551</v>
      </c>
    </row>
    <row r="2287" spans="1:3" x14ac:dyDescent="0.35">
      <c r="A2287" t="s">
        <v>211</v>
      </c>
      <c r="B2287" t="s">
        <v>272</v>
      </c>
      <c r="C2287" t="s">
        <v>2552</v>
      </c>
    </row>
    <row r="2288" spans="1:3" x14ac:dyDescent="0.35">
      <c r="A2288" t="s">
        <v>211</v>
      </c>
      <c r="B2288" t="s">
        <v>272</v>
      </c>
      <c r="C2288" t="s">
        <v>2553</v>
      </c>
    </row>
    <row r="2289" spans="1:3" x14ac:dyDescent="0.35">
      <c r="A2289" t="s">
        <v>211</v>
      </c>
      <c r="B2289" t="s">
        <v>272</v>
      </c>
      <c r="C2289" t="s">
        <v>2554</v>
      </c>
    </row>
    <row r="2290" spans="1:3" x14ac:dyDescent="0.35">
      <c r="A2290" t="s">
        <v>211</v>
      </c>
      <c r="B2290" t="s">
        <v>272</v>
      </c>
      <c r="C2290" t="s">
        <v>2555</v>
      </c>
    </row>
    <row r="2291" spans="1:3" x14ac:dyDescent="0.35">
      <c r="A2291" t="s">
        <v>211</v>
      </c>
      <c r="B2291" t="s">
        <v>272</v>
      </c>
      <c r="C2291" t="s">
        <v>2556</v>
      </c>
    </row>
    <row r="2292" spans="1:3" x14ac:dyDescent="0.35">
      <c r="A2292" t="s">
        <v>211</v>
      </c>
      <c r="B2292" t="s">
        <v>272</v>
      </c>
      <c r="C2292" t="s">
        <v>2557</v>
      </c>
    </row>
    <row r="2293" spans="1:3" x14ac:dyDescent="0.35">
      <c r="A2293" t="s">
        <v>211</v>
      </c>
      <c r="B2293" t="s">
        <v>272</v>
      </c>
      <c r="C2293" t="s">
        <v>2558</v>
      </c>
    </row>
    <row r="2294" spans="1:3" x14ac:dyDescent="0.35">
      <c r="A2294" t="s">
        <v>211</v>
      </c>
      <c r="B2294" t="s">
        <v>272</v>
      </c>
      <c r="C2294" t="s">
        <v>2559</v>
      </c>
    </row>
    <row r="2295" spans="1:3" x14ac:dyDescent="0.35">
      <c r="A2295" t="s">
        <v>211</v>
      </c>
      <c r="B2295" t="s">
        <v>272</v>
      </c>
      <c r="C2295" t="s">
        <v>2560</v>
      </c>
    </row>
    <row r="2296" spans="1:3" x14ac:dyDescent="0.35">
      <c r="A2296" t="s">
        <v>211</v>
      </c>
      <c r="B2296" t="s">
        <v>272</v>
      </c>
      <c r="C2296" t="s">
        <v>2561</v>
      </c>
    </row>
    <row r="2297" spans="1:3" x14ac:dyDescent="0.35">
      <c r="A2297" t="s">
        <v>211</v>
      </c>
      <c r="B2297" t="s">
        <v>272</v>
      </c>
      <c r="C2297" t="s">
        <v>2562</v>
      </c>
    </row>
    <row r="2298" spans="1:3" x14ac:dyDescent="0.35">
      <c r="A2298" t="s">
        <v>211</v>
      </c>
      <c r="B2298" t="s">
        <v>272</v>
      </c>
      <c r="C2298" t="s">
        <v>2563</v>
      </c>
    </row>
    <row r="2299" spans="1:3" x14ac:dyDescent="0.35">
      <c r="A2299" t="s">
        <v>211</v>
      </c>
      <c r="B2299" t="s">
        <v>272</v>
      </c>
      <c r="C2299" t="s">
        <v>2564</v>
      </c>
    </row>
    <row r="2300" spans="1:3" x14ac:dyDescent="0.35">
      <c r="A2300" t="s">
        <v>211</v>
      </c>
      <c r="B2300" t="s">
        <v>272</v>
      </c>
      <c r="C2300" t="s">
        <v>2565</v>
      </c>
    </row>
    <row r="2301" spans="1:3" x14ac:dyDescent="0.35">
      <c r="A2301" t="s">
        <v>211</v>
      </c>
      <c r="B2301" t="s">
        <v>272</v>
      </c>
      <c r="C2301" t="s">
        <v>2566</v>
      </c>
    </row>
    <row r="2302" spans="1:3" x14ac:dyDescent="0.35">
      <c r="A2302" t="s">
        <v>211</v>
      </c>
      <c r="B2302" t="s">
        <v>272</v>
      </c>
      <c r="C2302" t="s">
        <v>2567</v>
      </c>
    </row>
    <row r="2303" spans="1:3" x14ac:dyDescent="0.35">
      <c r="A2303" t="s">
        <v>211</v>
      </c>
      <c r="B2303" t="s">
        <v>272</v>
      </c>
      <c r="C2303" t="s">
        <v>2568</v>
      </c>
    </row>
    <row r="2304" spans="1:3" x14ac:dyDescent="0.35">
      <c r="A2304" t="s">
        <v>211</v>
      </c>
      <c r="B2304" t="s">
        <v>272</v>
      </c>
      <c r="C2304" t="s">
        <v>2569</v>
      </c>
    </row>
    <row r="2305" spans="1:3" x14ac:dyDescent="0.35">
      <c r="A2305" t="s">
        <v>211</v>
      </c>
      <c r="B2305" t="s">
        <v>272</v>
      </c>
      <c r="C2305" t="s">
        <v>2570</v>
      </c>
    </row>
    <row r="2306" spans="1:3" x14ac:dyDescent="0.35">
      <c r="A2306" t="s">
        <v>211</v>
      </c>
      <c r="B2306" t="s">
        <v>272</v>
      </c>
      <c r="C2306" t="s">
        <v>2571</v>
      </c>
    </row>
    <row r="2307" spans="1:3" x14ac:dyDescent="0.35">
      <c r="A2307" t="s">
        <v>211</v>
      </c>
      <c r="B2307" t="s">
        <v>272</v>
      </c>
      <c r="C2307" t="s">
        <v>2572</v>
      </c>
    </row>
    <row r="2308" spans="1:3" x14ac:dyDescent="0.35">
      <c r="A2308" t="s">
        <v>211</v>
      </c>
      <c r="B2308" t="s">
        <v>272</v>
      </c>
      <c r="C2308" t="s">
        <v>2573</v>
      </c>
    </row>
    <row r="2309" spans="1:3" x14ac:dyDescent="0.35">
      <c r="A2309" t="s">
        <v>211</v>
      </c>
      <c r="B2309" t="s">
        <v>272</v>
      </c>
      <c r="C2309" t="s">
        <v>2574</v>
      </c>
    </row>
    <row r="2310" spans="1:3" x14ac:dyDescent="0.35">
      <c r="A2310" t="s">
        <v>211</v>
      </c>
      <c r="B2310" t="s">
        <v>272</v>
      </c>
      <c r="C2310" t="s">
        <v>2575</v>
      </c>
    </row>
    <row r="2311" spans="1:3" x14ac:dyDescent="0.35">
      <c r="A2311" t="s">
        <v>211</v>
      </c>
      <c r="B2311" t="s">
        <v>272</v>
      </c>
      <c r="C2311" t="s">
        <v>2576</v>
      </c>
    </row>
    <row r="2312" spans="1:3" x14ac:dyDescent="0.35">
      <c r="A2312" t="s">
        <v>211</v>
      </c>
      <c r="B2312" t="s">
        <v>272</v>
      </c>
      <c r="C2312" t="s">
        <v>2577</v>
      </c>
    </row>
    <row r="2313" spans="1:3" x14ac:dyDescent="0.35">
      <c r="A2313" t="s">
        <v>211</v>
      </c>
      <c r="B2313" t="s">
        <v>272</v>
      </c>
      <c r="C2313" t="s">
        <v>272</v>
      </c>
    </row>
    <row r="2314" spans="1:3" x14ac:dyDescent="0.35">
      <c r="A2314" t="s">
        <v>211</v>
      </c>
      <c r="B2314" t="s">
        <v>272</v>
      </c>
      <c r="C2314" t="s">
        <v>2578</v>
      </c>
    </row>
    <row r="2315" spans="1:3" x14ac:dyDescent="0.35">
      <c r="A2315" t="s">
        <v>212</v>
      </c>
      <c r="B2315" t="s">
        <v>56</v>
      </c>
      <c r="C2315" t="s">
        <v>2579</v>
      </c>
    </row>
    <row r="2316" spans="1:3" x14ac:dyDescent="0.35">
      <c r="A2316" t="s">
        <v>212</v>
      </c>
      <c r="B2316" t="s">
        <v>56</v>
      </c>
      <c r="C2316" t="s">
        <v>2580</v>
      </c>
    </row>
    <row r="2317" spans="1:3" x14ac:dyDescent="0.35">
      <c r="A2317" t="s">
        <v>212</v>
      </c>
      <c r="B2317" t="s">
        <v>56</v>
      </c>
      <c r="C2317" t="s">
        <v>2581</v>
      </c>
    </row>
    <row r="2318" spans="1:3" x14ac:dyDescent="0.35">
      <c r="A2318" t="s">
        <v>212</v>
      </c>
      <c r="B2318" t="s">
        <v>56</v>
      </c>
      <c r="C2318" t="s">
        <v>2582</v>
      </c>
    </row>
    <row r="2319" spans="1:3" x14ac:dyDescent="0.35">
      <c r="A2319" t="s">
        <v>212</v>
      </c>
      <c r="B2319" t="s">
        <v>56</v>
      </c>
      <c r="C2319" t="s">
        <v>2583</v>
      </c>
    </row>
    <row r="2320" spans="1:3" x14ac:dyDescent="0.35">
      <c r="A2320" t="s">
        <v>212</v>
      </c>
      <c r="B2320" t="s">
        <v>56</v>
      </c>
      <c r="C2320" t="s">
        <v>2584</v>
      </c>
    </row>
    <row r="2321" spans="1:3" x14ac:dyDescent="0.35">
      <c r="A2321" t="s">
        <v>212</v>
      </c>
      <c r="B2321" t="s">
        <v>56</v>
      </c>
      <c r="C2321" t="s">
        <v>2585</v>
      </c>
    </row>
    <row r="2322" spans="1:3" x14ac:dyDescent="0.35">
      <c r="A2322" t="s">
        <v>212</v>
      </c>
      <c r="B2322" t="s">
        <v>56</v>
      </c>
      <c r="C2322" t="s">
        <v>2586</v>
      </c>
    </row>
    <row r="2323" spans="1:3" x14ac:dyDescent="0.35">
      <c r="A2323" t="s">
        <v>212</v>
      </c>
      <c r="B2323" t="s">
        <v>56</v>
      </c>
      <c r="C2323" t="s">
        <v>2587</v>
      </c>
    </row>
    <row r="2324" spans="1:3" x14ac:dyDescent="0.35">
      <c r="A2324" t="s">
        <v>212</v>
      </c>
      <c r="B2324" t="s">
        <v>56</v>
      </c>
      <c r="C2324" t="s">
        <v>2588</v>
      </c>
    </row>
    <row r="2325" spans="1:3" x14ac:dyDescent="0.35">
      <c r="A2325" t="s">
        <v>212</v>
      </c>
      <c r="B2325" t="s">
        <v>56</v>
      </c>
      <c r="C2325" t="s">
        <v>2589</v>
      </c>
    </row>
    <row r="2326" spans="1:3" x14ac:dyDescent="0.35">
      <c r="A2326" t="s">
        <v>212</v>
      </c>
      <c r="B2326" t="s">
        <v>56</v>
      </c>
      <c r="C2326" t="s">
        <v>2590</v>
      </c>
    </row>
    <row r="2327" spans="1:3" x14ac:dyDescent="0.35">
      <c r="A2327" t="s">
        <v>212</v>
      </c>
      <c r="B2327" t="s">
        <v>56</v>
      </c>
      <c r="C2327" t="s">
        <v>2591</v>
      </c>
    </row>
    <row r="2328" spans="1:3" x14ac:dyDescent="0.35">
      <c r="A2328" t="s">
        <v>212</v>
      </c>
      <c r="B2328" t="s">
        <v>56</v>
      </c>
      <c r="C2328" t="s">
        <v>2592</v>
      </c>
    </row>
    <row r="2329" spans="1:3" x14ac:dyDescent="0.35">
      <c r="A2329" t="s">
        <v>212</v>
      </c>
      <c r="B2329" t="s">
        <v>56</v>
      </c>
      <c r="C2329" t="s">
        <v>2593</v>
      </c>
    </row>
    <row r="2330" spans="1:3" x14ac:dyDescent="0.35">
      <c r="A2330" t="s">
        <v>212</v>
      </c>
      <c r="B2330" t="s">
        <v>56</v>
      </c>
      <c r="C2330" t="s">
        <v>2594</v>
      </c>
    </row>
    <row r="2331" spans="1:3" x14ac:dyDescent="0.35">
      <c r="A2331" t="s">
        <v>212</v>
      </c>
      <c r="B2331" t="s">
        <v>56</v>
      </c>
      <c r="C2331" t="s">
        <v>2595</v>
      </c>
    </row>
    <row r="2332" spans="1:3" x14ac:dyDescent="0.35">
      <c r="A2332" t="s">
        <v>212</v>
      </c>
      <c r="B2332" t="s">
        <v>56</v>
      </c>
      <c r="C2332" t="s">
        <v>2596</v>
      </c>
    </row>
    <row r="2333" spans="1:3" x14ac:dyDescent="0.35">
      <c r="A2333" t="s">
        <v>212</v>
      </c>
      <c r="B2333" t="s">
        <v>56</v>
      </c>
      <c r="C2333" t="s">
        <v>2597</v>
      </c>
    </row>
    <row r="2334" spans="1:3" x14ac:dyDescent="0.35">
      <c r="A2334" t="s">
        <v>212</v>
      </c>
      <c r="B2334" t="s">
        <v>56</v>
      </c>
      <c r="C2334" t="s">
        <v>2598</v>
      </c>
    </row>
    <row r="2335" spans="1:3" x14ac:dyDescent="0.35">
      <c r="A2335" t="s">
        <v>212</v>
      </c>
      <c r="B2335" t="s">
        <v>56</v>
      </c>
      <c r="C2335" t="s">
        <v>2599</v>
      </c>
    </row>
    <row r="2336" spans="1:3" x14ac:dyDescent="0.35">
      <c r="A2336" t="s">
        <v>212</v>
      </c>
      <c r="B2336" t="s">
        <v>56</v>
      </c>
      <c r="C2336" t="s">
        <v>2600</v>
      </c>
    </row>
    <row r="2337" spans="1:3" x14ac:dyDescent="0.35">
      <c r="A2337" t="s">
        <v>212</v>
      </c>
      <c r="B2337" t="s">
        <v>56</v>
      </c>
      <c r="C2337" t="s">
        <v>2601</v>
      </c>
    </row>
    <row r="2338" spans="1:3" x14ac:dyDescent="0.35">
      <c r="A2338" t="s">
        <v>212</v>
      </c>
      <c r="B2338" t="s">
        <v>56</v>
      </c>
      <c r="C2338" t="s">
        <v>2602</v>
      </c>
    </row>
    <row r="2339" spans="1:3" x14ac:dyDescent="0.35">
      <c r="A2339" t="s">
        <v>212</v>
      </c>
      <c r="B2339" t="s">
        <v>56</v>
      </c>
      <c r="C2339" t="s">
        <v>56</v>
      </c>
    </row>
    <row r="2340" spans="1:3" x14ac:dyDescent="0.35">
      <c r="A2340" t="s">
        <v>212</v>
      </c>
      <c r="B2340" t="s">
        <v>56</v>
      </c>
      <c r="C2340" t="s">
        <v>2603</v>
      </c>
    </row>
    <row r="2341" spans="1:3" x14ac:dyDescent="0.35">
      <c r="A2341" t="s">
        <v>212</v>
      </c>
      <c r="B2341" t="s">
        <v>56</v>
      </c>
      <c r="C2341" t="s">
        <v>2604</v>
      </c>
    </row>
    <row r="2342" spans="1:3" x14ac:dyDescent="0.35">
      <c r="A2342" t="s">
        <v>212</v>
      </c>
      <c r="B2342" t="s">
        <v>56</v>
      </c>
      <c r="C2342" t="s">
        <v>2605</v>
      </c>
    </row>
    <row r="2343" spans="1:3" x14ac:dyDescent="0.35">
      <c r="A2343" t="s">
        <v>212</v>
      </c>
      <c r="B2343" t="s">
        <v>56</v>
      </c>
      <c r="C2343" t="s">
        <v>2606</v>
      </c>
    </row>
    <row r="2344" spans="1:3" x14ac:dyDescent="0.35">
      <c r="A2344" t="s">
        <v>212</v>
      </c>
      <c r="B2344" t="s">
        <v>56</v>
      </c>
      <c r="C2344" t="s">
        <v>2607</v>
      </c>
    </row>
    <row r="2345" spans="1:3" x14ac:dyDescent="0.35">
      <c r="A2345" t="s">
        <v>212</v>
      </c>
      <c r="B2345" t="s">
        <v>56</v>
      </c>
      <c r="C2345" t="s">
        <v>2608</v>
      </c>
    </row>
    <row r="2346" spans="1:3" x14ac:dyDescent="0.35">
      <c r="A2346" t="s">
        <v>212</v>
      </c>
      <c r="B2346" t="s">
        <v>56</v>
      </c>
      <c r="C2346" t="s">
        <v>2609</v>
      </c>
    </row>
    <row r="2347" spans="1:3" x14ac:dyDescent="0.35">
      <c r="A2347" t="s">
        <v>212</v>
      </c>
      <c r="B2347" t="s">
        <v>56</v>
      </c>
      <c r="C2347" t="s">
        <v>2610</v>
      </c>
    </row>
    <row r="2348" spans="1:3" x14ac:dyDescent="0.35">
      <c r="A2348" t="s">
        <v>212</v>
      </c>
      <c r="B2348" t="s">
        <v>56</v>
      </c>
      <c r="C2348" t="s">
        <v>2611</v>
      </c>
    </row>
    <row r="2349" spans="1:3" x14ac:dyDescent="0.35">
      <c r="A2349" t="s">
        <v>212</v>
      </c>
      <c r="B2349" t="s">
        <v>56</v>
      </c>
      <c r="C2349" t="s">
        <v>2612</v>
      </c>
    </row>
    <row r="2350" spans="1:3" x14ac:dyDescent="0.35">
      <c r="A2350" t="s">
        <v>212</v>
      </c>
      <c r="B2350" t="s">
        <v>56</v>
      </c>
      <c r="C2350" t="s">
        <v>2613</v>
      </c>
    </row>
    <row r="2351" spans="1:3" x14ac:dyDescent="0.35">
      <c r="A2351" t="s">
        <v>212</v>
      </c>
      <c r="B2351" t="s">
        <v>56</v>
      </c>
      <c r="C2351" t="s">
        <v>2614</v>
      </c>
    </row>
    <row r="2352" spans="1:3" x14ac:dyDescent="0.35">
      <c r="A2352" t="s">
        <v>212</v>
      </c>
      <c r="B2352" t="s">
        <v>56</v>
      </c>
      <c r="C2352" t="s">
        <v>2615</v>
      </c>
    </row>
    <row r="2353" spans="1:3" x14ac:dyDescent="0.35">
      <c r="A2353" t="s">
        <v>212</v>
      </c>
      <c r="B2353" t="s">
        <v>56</v>
      </c>
      <c r="C2353" t="s">
        <v>2616</v>
      </c>
    </row>
    <row r="2354" spans="1:3" x14ac:dyDescent="0.35">
      <c r="A2354" t="s">
        <v>212</v>
      </c>
      <c r="B2354" t="s">
        <v>56</v>
      </c>
      <c r="C2354" t="s">
        <v>2617</v>
      </c>
    </row>
    <row r="2355" spans="1:3" x14ac:dyDescent="0.35">
      <c r="A2355" t="s">
        <v>212</v>
      </c>
      <c r="B2355" t="s">
        <v>56</v>
      </c>
      <c r="C2355" t="s">
        <v>2618</v>
      </c>
    </row>
    <row r="2356" spans="1:3" x14ac:dyDescent="0.35">
      <c r="A2356" t="s">
        <v>212</v>
      </c>
      <c r="B2356" t="s">
        <v>56</v>
      </c>
      <c r="C2356" t="s">
        <v>2619</v>
      </c>
    </row>
    <row r="2357" spans="1:3" x14ac:dyDescent="0.35">
      <c r="A2357" t="s">
        <v>212</v>
      </c>
      <c r="B2357" t="s">
        <v>56</v>
      </c>
      <c r="C2357" t="s">
        <v>2620</v>
      </c>
    </row>
    <row r="2358" spans="1:3" x14ac:dyDescent="0.35">
      <c r="A2358" t="s">
        <v>212</v>
      </c>
      <c r="B2358" t="s">
        <v>56</v>
      </c>
      <c r="C2358" t="s">
        <v>2621</v>
      </c>
    </row>
    <row r="2359" spans="1:3" x14ac:dyDescent="0.35">
      <c r="A2359" t="s">
        <v>212</v>
      </c>
      <c r="B2359" t="s">
        <v>56</v>
      </c>
      <c r="C2359" t="s">
        <v>2622</v>
      </c>
    </row>
    <row r="2360" spans="1:3" x14ac:dyDescent="0.35">
      <c r="A2360" t="s">
        <v>212</v>
      </c>
      <c r="B2360" t="s">
        <v>56</v>
      </c>
      <c r="C2360" t="s">
        <v>2623</v>
      </c>
    </row>
    <row r="2361" spans="1:3" x14ac:dyDescent="0.35">
      <c r="A2361" t="s">
        <v>212</v>
      </c>
      <c r="B2361" t="s">
        <v>56</v>
      </c>
      <c r="C2361" t="s">
        <v>2624</v>
      </c>
    </row>
    <row r="2362" spans="1:3" x14ac:dyDescent="0.35">
      <c r="A2362" t="s">
        <v>212</v>
      </c>
      <c r="B2362" t="s">
        <v>56</v>
      </c>
      <c r="C2362" t="s">
        <v>2625</v>
      </c>
    </row>
    <row r="2363" spans="1:3" x14ac:dyDescent="0.35">
      <c r="A2363" t="s">
        <v>212</v>
      </c>
      <c r="B2363" t="s">
        <v>56</v>
      </c>
      <c r="C2363" t="s">
        <v>2626</v>
      </c>
    </row>
    <row r="2364" spans="1:3" x14ac:dyDescent="0.35">
      <c r="A2364" t="s">
        <v>212</v>
      </c>
      <c r="B2364" t="s">
        <v>56</v>
      </c>
      <c r="C2364" t="s">
        <v>2627</v>
      </c>
    </row>
    <row r="2365" spans="1:3" x14ac:dyDescent="0.35">
      <c r="A2365" t="s">
        <v>212</v>
      </c>
      <c r="B2365" t="s">
        <v>56</v>
      </c>
      <c r="C2365" t="s">
        <v>2628</v>
      </c>
    </row>
    <row r="2366" spans="1:3" x14ac:dyDescent="0.35">
      <c r="A2366" t="s">
        <v>212</v>
      </c>
      <c r="B2366" t="s">
        <v>56</v>
      </c>
      <c r="C2366" t="s">
        <v>2629</v>
      </c>
    </row>
    <row r="2367" spans="1:3" x14ac:dyDescent="0.35">
      <c r="A2367" t="s">
        <v>212</v>
      </c>
      <c r="B2367" t="s">
        <v>56</v>
      </c>
      <c r="C2367" t="s">
        <v>2630</v>
      </c>
    </row>
    <row r="2368" spans="1:3" x14ac:dyDescent="0.35">
      <c r="A2368" t="s">
        <v>212</v>
      </c>
      <c r="B2368" t="s">
        <v>56</v>
      </c>
      <c r="C2368" t="s">
        <v>2631</v>
      </c>
    </row>
    <row r="2369" spans="1:3" x14ac:dyDescent="0.35">
      <c r="A2369" t="s">
        <v>212</v>
      </c>
      <c r="B2369" t="s">
        <v>56</v>
      </c>
      <c r="C2369" t="s">
        <v>2632</v>
      </c>
    </row>
    <row r="2370" spans="1:3" x14ac:dyDescent="0.35">
      <c r="A2370" t="s">
        <v>212</v>
      </c>
      <c r="B2370" t="s">
        <v>56</v>
      </c>
      <c r="C2370" t="s">
        <v>2633</v>
      </c>
    </row>
    <row r="2371" spans="1:3" x14ac:dyDescent="0.35">
      <c r="A2371" t="s">
        <v>212</v>
      </c>
      <c r="B2371" t="s">
        <v>56</v>
      </c>
      <c r="C2371" t="s">
        <v>2634</v>
      </c>
    </row>
    <row r="2372" spans="1:3" x14ac:dyDescent="0.35">
      <c r="A2372" t="s">
        <v>212</v>
      </c>
      <c r="B2372" t="s">
        <v>56</v>
      </c>
      <c r="C2372" t="s">
        <v>2635</v>
      </c>
    </row>
    <row r="2373" spans="1:3" x14ac:dyDescent="0.35">
      <c r="A2373" t="s">
        <v>212</v>
      </c>
      <c r="B2373" t="s">
        <v>56</v>
      </c>
      <c r="C2373" t="s">
        <v>2636</v>
      </c>
    </row>
    <row r="2374" spans="1:3" x14ac:dyDescent="0.35">
      <c r="A2374" t="s">
        <v>212</v>
      </c>
      <c r="B2374" t="s">
        <v>56</v>
      </c>
      <c r="C2374" t="s">
        <v>2637</v>
      </c>
    </row>
    <row r="2375" spans="1:3" x14ac:dyDescent="0.35">
      <c r="A2375" t="s">
        <v>212</v>
      </c>
      <c r="B2375" t="s">
        <v>56</v>
      </c>
      <c r="C2375" t="s">
        <v>2638</v>
      </c>
    </row>
    <row r="2376" spans="1:3" x14ac:dyDescent="0.35">
      <c r="A2376" t="s">
        <v>212</v>
      </c>
      <c r="B2376" t="s">
        <v>56</v>
      </c>
      <c r="C2376" t="s">
        <v>2639</v>
      </c>
    </row>
    <row r="2377" spans="1:3" x14ac:dyDescent="0.35">
      <c r="A2377" t="s">
        <v>212</v>
      </c>
      <c r="B2377" t="s">
        <v>56</v>
      </c>
      <c r="C2377" t="s">
        <v>2640</v>
      </c>
    </row>
    <row r="2378" spans="1:3" x14ac:dyDescent="0.35">
      <c r="A2378" t="s">
        <v>212</v>
      </c>
      <c r="B2378" t="s">
        <v>56</v>
      </c>
      <c r="C2378" t="s">
        <v>2641</v>
      </c>
    </row>
    <row r="2379" spans="1:3" x14ac:dyDescent="0.35">
      <c r="A2379" t="s">
        <v>212</v>
      </c>
      <c r="B2379" t="s">
        <v>56</v>
      </c>
      <c r="C2379" t="s">
        <v>2642</v>
      </c>
    </row>
    <row r="2380" spans="1:3" x14ac:dyDescent="0.35">
      <c r="A2380" t="s">
        <v>212</v>
      </c>
      <c r="B2380" t="s">
        <v>56</v>
      </c>
      <c r="C2380" t="s">
        <v>2643</v>
      </c>
    </row>
    <row r="2381" spans="1:3" x14ac:dyDescent="0.35">
      <c r="A2381" t="s">
        <v>212</v>
      </c>
      <c r="B2381" t="s">
        <v>56</v>
      </c>
      <c r="C2381" t="s">
        <v>2644</v>
      </c>
    </row>
    <row r="2382" spans="1:3" x14ac:dyDescent="0.35">
      <c r="A2382" t="s">
        <v>212</v>
      </c>
      <c r="B2382" t="s">
        <v>241</v>
      </c>
      <c r="C2382" t="s">
        <v>2645</v>
      </c>
    </row>
    <row r="2383" spans="1:3" x14ac:dyDescent="0.35">
      <c r="A2383" t="s">
        <v>212</v>
      </c>
      <c r="B2383" t="s">
        <v>241</v>
      </c>
      <c r="C2383" t="s">
        <v>2646</v>
      </c>
    </row>
    <row r="2384" spans="1:3" x14ac:dyDescent="0.35">
      <c r="A2384" t="s">
        <v>212</v>
      </c>
      <c r="B2384" t="s">
        <v>241</v>
      </c>
      <c r="C2384" t="s">
        <v>2647</v>
      </c>
    </row>
    <row r="2385" spans="1:3" x14ac:dyDescent="0.35">
      <c r="A2385" t="s">
        <v>212</v>
      </c>
      <c r="B2385" t="s">
        <v>241</v>
      </c>
      <c r="C2385" t="s">
        <v>2648</v>
      </c>
    </row>
    <row r="2386" spans="1:3" x14ac:dyDescent="0.35">
      <c r="A2386" t="s">
        <v>212</v>
      </c>
      <c r="B2386" t="s">
        <v>241</v>
      </c>
      <c r="C2386" t="s">
        <v>2649</v>
      </c>
    </row>
    <row r="2387" spans="1:3" x14ac:dyDescent="0.35">
      <c r="A2387" t="s">
        <v>212</v>
      </c>
      <c r="B2387" t="s">
        <v>241</v>
      </c>
      <c r="C2387" t="s">
        <v>2650</v>
      </c>
    </row>
    <row r="2388" spans="1:3" x14ac:dyDescent="0.35">
      <c r="A2388" t="s">
        <v>212</v>
      </c>
      <c r="B2388" t="s">
        <v>241</v>
      </c>
      <c r="C2388" t="s">
        <v>2651</v>
      </c>
    </row>
    <row r="2389" spans="1:3" x14ac:dyDescent="0.35">
      <c r="A2389" t="s">
        <v>212</v>
      </c>
      <c r="B2389" t="s">
        <v>241</v>
      </c>
      <c r="C2389" t="s">
        <v>2652</v>
      </c>
    </row>
    <row r="2390" spans="1:3" x14ac:dyDescent="0.35">
      <c r="A2390" t="s">
        <v>212</v>
      </c>
      <c r="B2390" t="s">
        <v>241</v>
      </c>
      <c r="C2390" t="s">
        <v>2653</v>
      </c>
    </row>
    <row r="2391" spans="1:3" x14ac:dyDescent="0.35">
      <c r="A2391" t="s">
        <v>212</v>
      </c>
      <c r="B2391" t="s">
        <v>241</v>
      </c>
      <c r="C2391" t="s">
        <v>2654</v>
      </c>
    </row>
    <row r="2392" spans="1:3" x14ac:dyDescent="0.35">
      <c r="A2392" t="s">
        <v>212</v>
      </c>
      <c r="B2392" t="s">
        <v>241</v>
      </c>
      <c r="C2392" t="s">
        <v>2655</v>
      </c>
    </row>
    <row r="2393" spans="1:3" x14ac:dyDescent="0.35">
      <c r="A2393" t="s">
        <v>212</v>
      </c>
      <c r="B2393" t="s">
        <v>241</v>
      </c>
      <c r="C2393" t="s">
        <v>2656</v>
      </c>
    </row>
    <row r="2394" spans="1:3" x14ac:dyDescent="0.35">
      <c r="A2394" t="s">
        <v>212</v>
      </c>
      <c r="B2394" t="s">
        <v>241</v>
      </c>
      <c r="C2394" t="s">
        <v>2657</v>
      </c>
    </row>
    <row r="2395" spans="1:3" x14ac:dyDescent="0.35">
      <c r="A2395" t="s">
        <v>212</v>
      </c>
      <c r="B2395" t="s">
        <v>241</v>
      </c>
      <c r="C2395" t="s">
        <v>2658</v>
      </c>
    </row>
    <row r="2396" spans="1:3" x14ac:dyDescent="0.35">
      <c r="A2396" t="s">
        <v>212</v>
      </c>
      <c r="B2396" t="s">
        <v>241</v>
      </c>
      <c r="C2396" t="s">
        <v>2659</v>
      </c>
    </row>
    <row r="2397" spans="1:3" x14ac:dyDescent="0.35">
      <c r="A2397" t="s">
        <v>212</v>
      </c>
      <c r="B2397" t="s">
        <v>241</v>
      </c>
      <c r="C2397" t="s">
        <v>2660</v>
      </c>
    </row>
    <row r="2398" spans="1:3" x14ac:dyDescent="0.35">
      <c r="A2398" t="s">
        <v>212</v>
      </c>
      <c r="B2398" t="s">
        <v>241</v>
      </c>
      <c r="C2398" t="s">
        <v>2661</v>
      </c>
    </row>
    <row r="2399" spans="1:3" x14ac:dyDescent="0.35">
      <c r="A2399" t="s">
        <v>212</v>
      </c>
      <c r="B2399" t="s">
        <v>241</v>
      </c>
      <c r="C2399" t="s">
        <v>2662</v>
      </c>
    </row>
    <row r="2400" spans="1:3" x14ac:dyDescent="0.35">
      <c r="A2400" t="s">
        <v>212</v>
      </c>
      <c r="B2400" t="s">
        <v>241</v>
      </c>
      <c r="C2400" t="s">
        <v>2663</v>
      </c>
    </row>
    <row r="2401" spans="1:3" x14ac:dyDescent="0.35">
      <c r="A2401" t="s">
        <v>212</v>
      </c>
      <c r="B2401" t="s">
        <v>241</v>
      </c>
      <c r="C2401" t="s">
        <v>2664</v>
      </c>
    </row>
    <row r="2402" spans="1:3" x14ac:dyDescent="0.35">
      <c r="A2402" t="s">
        <v>212</v>
      </c>
      <c r="B2402" t="s">
        <v>241</v>
      </c>
      <c r="C2402" t="s">
        <v>2665</v>
      </c>
    </row>
    <row r="2403" spans="1:3" x14ac:dyDescent="0.35">
      <c r="A2403" t="s">
        <v>212</v>
      </c>
      <c r="B2403" t="s">
        <v>241</v>
      </c>
      <c r="C2403" t="s">
        <v>2666</v>
      </c>
    </row>
    <row r="2404" spans="1:3" x14ac:dyDescent="0.35">
      <c r="A2404" t="s">
        <v>212</v>
      </c>
      <c r="B2404" t="s">
        <v>241</v>
      </c>
      <c r="C2404" t="s">
        <v>2667</v>
      </c>
    </row>
    <row r="2405" spans="1:3" x14ac:dyDescent="0.35">
      <c r="A2405" t="s">
        <v>212</v>
      </c>
      <c r="B2405" t="s">
        <v>241</v>
      </c>
      <c r="C2405" t="s">
        <v>2668</v>
      </c>
    </row>
    <row r="2406" spans="1:3" x14ac:dyDescent="0.35">
      <c r="A2406" t="s">
        <v>212</v>
      </c>
      <c r="B2406" t="s">
        <v>241</v>
      </c>
      <c r="C2406" t="s">
        <v>2669</v>
      </c>
    </row>
    <row r="2407" spans="1:3" x14ac:dyDescent="0.35">
      <c r="A2407" t="s">
        <v>212</v>
      </c>
      <c r="B2407" t="s">
        <v>241</v>
      </c>
      <c r="C2407" t="s">
        <v>2670</v>
      </c>
    </row>
    <row r="2408" spans="1:3" x14ac:dyDescent="0.35">
      <c r="A2408" t="s">
        <v>212</v>
      </c>
      <c r="B2408" t="s">
        <v>241</v>
      </c>
      <c r="C2408" t="s">
        <v>2671</v>
      </c>
    </row>
    <row r="2409" spans="1:3" x14ac:dyDescent="0.35">
      <c r="A2409" t="s">
        <v>212</v>
      </c>
      <c r="B2409" t="s">
        <v>241</v>
      </c>
      <c r="C2409" t="s">
        <v>2672</v>
      </c>
    </row>
    <row r="2410" spans="1:3" x14ac:dyDescent="0.35">
      <c r="A2410" t="s">
        <v>212</v>
      </c>
      <c r="B2410" t="s">
        <v>241</v>
      </c>
      <c r="C2410" t="s">
        <v>2673</v>
      </c>
    </row>
    <row r="2411" spans="1:3" x14ac:dyDescent="0.35">
      <c r="A2411" t="s">
        <v>212</v>
      </c>
      <c r="B2411" t="s">
        <v>241</v>
      </c>
      <c r="C2411" t="s">
        <v>241</v>
      </c>
    </row>
    <row r="2412" spans="1:3" x14ac:dyDescent="0.35">
      <c r="A2412" t="s">
        <v>212</v>
      </c>
      <c r="B2412" t="s">
        <v>241</v>
      </c>
      <c r="C2412" t="s">
        <v>2674</v>
      </c>
    </row>
    <row r="2413" spans="1:3" x14ac:dyDescent="0.35">
      <c r="A2413" t="s">
        <v>212</v>
      </c>
      <c r="B2413" t="s">
        <v>241</v>
      </c>
      <c r="C2413" t="s">
        <v>2675</v>
      </c>
    </row>
    <row r="2414" spans="1:3" x14ac:dyDescent="0.35">
      <c r="A2414" t="s">
        <v>212</v>
      </c>
      <c r="B2414" t="s">
        <v>241</v>
      </c>
      <c r="C2414" t="s">
        <v>2676</v>
      </c>
    </row>
    <row r="2415" spans="1:3" x14ac:dyDescent="0.35">
      <c r="A2415" t="s">
        <v>212</v>
      </c>
      <c r="B2415" t="s">
        <v>241</v>
      </c>
      <c r="C2415" t="s">
        <v>2677</v>
      </c>
    </row>
    <row r="2416" spans="1:3" x14ac:dyDescent="0.35">
      <c r="A2416" t="s">
        <v>212</v>
      </c>
      <c r="B2416" t="s">
        <v>241</v>
      </c>
      <c r="C2416" t="s">
        <v>2678</v>
      </c>
    </row>
    <row r="2417" spans="1:3" x14ac:dyDescent="0.35">
      <c r="A2417" t="s">
        <v>212</v>
      </c>
      <c r="B2417" t="s">
        <v>241</v>
      </c>
      <c r="C2417" t="s">
        <v>2679</v>
      </c>
    </row>
    <row r="2418" spans="1:3" x14ac:dyDescent="0.35">
      <c r="A2418" t="s">
        <v>212</v>
      </c>
      <c r="B2418" t="s">
        <v>241</v>
      </c>
      <c r="C2418" t="s">
        <v>2680</v>
      </c>
    </row>
    <row r="2419" spans="1:3" x14ac:dyDescent="0.35">
      <c r="A2419" t="s">
        <v>212</v>
      </c>
      <c r="B2419" t="s">
        <v>241</v>
      </c>
      <c r="C2419" t="s">
        <v>2681</v>
      </c>
    </row>
    <row r="2420" spans="1:3" x14ac:dyDescent="0.35">
      <c r="A2420" t="s">
        <v>212</v>
      </c>
      <c r="B2420" t="s">
        <v>241</v>
      </c>
      <c r="C2420" t="s">
        <v>2682</v>
      </c>
    </row>
    <row r="2421" spans="1:3" x14ac:dyDescent="0.35">
      <c r="A2421" t="s">
        <v>212</v>
      </c>
      <c r="B2421" t="s">
        <v>241</v>
      </c>
      <c r="C2421" t="s">
        <v>2683</v>
      </c>
    </row>
    <row r="2422" spans="1:3" x14ac:dyDescent="0.35">
      <c r="A2422" t="s">
        <v>212</v>
      </c>
      <c r="B2422" t="s">
        <v>241</v>
      </c>
      <c r="C2422" t="s">
        <v>2684</v>
      </c>
    </row>
    <row r="2423" spans="1:3" x14ac:dyDescent="0.35">
      <c r="A2423" t="s">
        <v>212</v>
      </c>
      <c r="B2423" t="s">
        <v>241</v>
      </c>
      <c r="C2423" t="s">
        <v>2685</v>
      </c>
    </row>
    <row r="2424" spans="1:3" x14ac:dyDescent="0.35">
      <c r="A2424" t="s">
        <v>212</v>
      </c>
      <c r="B2424" t="s">
        <v>241</v>
      </c>
      <c r="C2424" t="s">
        <v>2686</v>
      </c>
    </row>
    <row r="2425" spans="1:3" x14ac:dyDescent="0.35">
      <c r="A2425" t="s">
        <v>212</v>
      </c>
      <c r="B2425" t="s">
        <v>241</v>
      </c>
      <c r="C2425" t="s">
        <v>2687</v>
      </c>
    </row>
    <row r="2426" spans="1:3" x14ac:dyDescent="0.35">
      <c r="A2426" t="s">
        <v>212</v>
      </c>
      <c r="B2426" t="s">
        <v>241</v>
      </c>
      <c r="C2426" t="s">
        <v>2688</v>
      </c>
    </row>
    <row r="2427" spans="1:3" x14ac:dyDescent="0.35">
      <c r="A2427" t="s">
        <v>212</v>
      </c>
      <c r="B2427" t="s">
        <v>241</v>
      </c>
      <c r="C2427" t="s">
        <v>2689</v>
      </c>
    </row>
    <row r="2428" spans="1:3" x14ac:dyDescent="0.35">
      <c r="A2428" t="s">
        <v>212</v>
      </c>
      <c r="B2428" t="s">
        <v>241</v>
      </c>
      <c r="C2428" t="s">
        <v>2690</v>
      </c>
    </row>
    <row r="2429" spans="1:3" x14ac:dyDescent="0.35">
      <c r="A2429" t="s">
        <v>212</v>
      </c>
      <c r="B2429" t="s">
        <v>241</v>
      </c>
      <c r="C2429" t="s">
        <v>2691</v>
      </c>
    </row>
    <row r="2430" spans="1:3" x14ac:dyDescent="0.35">
      <c r="A2430" t="s">
        <v>212</v>
      </c>
      <c r="B2430" t="s">
        <v>241</v>
      </c>
      <c r="C2430" t="s">
        <v>2692</v>
      </c>
    </row>
    <row r="2431" spans="1:3" x14ac:dyDescent="0.35">
      <c r="A2431" t="s">
        <v>212</v>
      </c>
      <c r="B2431" t="s">
        <v>241</v>
      </c>
      <c r="C2431" t="s">
        <v>2693</v>
      </c>
    </row>
    <row r="2432" spans="1:3" x14ac:dyDescent="0.35">
      <c r="A2432" t="s">
        <v>212</v>
      </c>
      <c r="B2432" t="s">
        <v>241</v>
      </c>
      <c r="C2432" t="s">
        <v>2694</v>
      </c>
    </row>
    <row r="2433" spans="1:3" x14ac:dyDescent="0.35">
      <c r="A2433" t="s">
        <v>212</v>
      </c>
      <c r="B2433" t="s">
        <v>241</v>
      </c>
      <c r="C2433" t="s">
        <v>2695</v>
      </c>
    </row>
    <row r="2434" spans="1:3" x14ac:dyDescent="0.35">
      <c r="A2434" t="s">
        <v>212</v>
      </c>
      <c r="B2434" t="s">
        <v>241</v>
      </c>
      <c r="C2434" t="s">
        <v>2696</v>
      </c>
    </row>
    <row r="2435" spans="1:3" x14ac:dyDescent="0.35">
      <c r="A2435" t="s">
        <v>212</v>
      </c>
      <c r="B2435" t="s">
        <v>241</v>
      </c>
      <c r="C2435" t="s">
        <v>2697</v>
      </c>
    </row>
    <row r="2436" spans="1:3" x14ac:dyDescent="0.35">
      <c r="A2436" t="s">
        <v>212</v>
      </c>
      <c r="B2436" t="s">
        <v>241</v>
      </c>
      <c r="C2436" t="s">
        <v>2698</v>
      </c>
    </row>
    <row r="2437" spans="1:3" x14ac:dyDescent="0.35">
      <c r="A2437" t="s">
        <v>212</v>
      </c>
      <c r="B2437" t="s">
        <v>241</v>
      </c>
      <c r="C2437" t="s">
        <v>2699</v>
      </c>
    </row>
    <row r="2438" spans="1:3" x14ac:dyDescent="0.35">
      <c r="A2438" t="s">
        <v>212</v>
      </c>
      <c r="B2438" t="s">
        <v>241</v>
      </c>
      <c r="C2438" t="s">
        <v>2700</v>
      </c>
    </row>
    <row r="2439" spans="1:3" x14ac:dyDescent="0.35">
      <c r="A2439" t="s">
        <v>212</v>
      </c>
      <c r="B2439" t="s">
        <v>241</v>
      </c>
      <c r="C2439" t="s">
        <v>2701</v>
      </c>
    </row>
    <row r="2440" spans="1:3" x14ac:dyDescent="0.35">
      <c r="A2440" t="s">
        <v>212</v>
      </c>
      <c r="B2440" t="s">
        <v>241</v>
      </c>
      <c r="C2440" t="s">
        <v>2702</v>
      </c>
    </row>
    <row r="2441" spans="1:3" x14ac:dyDescent="0.35">
      <c r="A2441" t="s">
        <v>212</v>
      </c>
      <c r="B2441" t="s">
        <v>241</v>
      </c>
      <c r="C2441" t="s">
        <v>2703</v>
      </c>
    </row>
    <row r="2442" spans="1:3" x14ac:dyDescent="0.35">
      <c r="A2442" t="s">
        <v>212</v>
      </c>
      <c r="B2442" t="s">
        <v>241</v>
      </c>
      <c r="C2442" t="s">
        <v>2704</v>
      </c>
    </row>
    <row r="2443" spans="1:3" x14ac:dyDescent="0.35">
      <c r="A2443" t="s">
        <v>212</v>
      </c>
      <c r="B2443" t="s">
        <v>241</v>
      </c>
      <c r="C2443" t="s">
        <v>2705</v>
      </c>
    </row>
    <row r="2444" spans="1:3" x14ac:dyDescent="0.35">
      <c r="A2444" t="s">
        <v>212</v>
      </c>
      <c r="B2444" t="s">
        <v>241</v>
      </c>
      <c r="C2444" t="s">
        <v>2706</v>
      </c>
    </row>
    <row r="2445" spans="1:3" x14ac:dyDescent="0.35">
      <c r="A2445" t="s">
        <v>212</v>
      </c>
      <c r="B2445" t="s">
        <v>241</v>
      </c>
      <c r="C2445" t="s">
        <v>2707</v>
      </c>
    </row>
    <row r="2446" spans="1:3" x14ac:dyDescent="0.35">
      <c r="A2446" t="s">
        <v>212</v>
      </c>
      <c r="B2446" t="s">
        <v>241</v>
      </c>
      <c r="C2446" t="s">
        <v>2708</v>
      </c>
    </row>
    <row r="2447" spans="1:3" x14ac:dyDescent="0.35">
      <c r="A2447" t="s">
        <v>212</v>
      </c>
      <c r="B2447" t="s">
        <v>241</v>
      </c>
      <c r="C2447" t="s">
        <v>2709</v>
      </c>
    </row>
    <row r="2448" spans="1:3" x14ac:dyDescent="0.35">
      <c r="A2448" t="s">
        <v>212</v>
      </c>
      <c r="B2448" t="s">
        <v>255</v>
      </c>
      <c r="C2448" t="s">
        <v>2710</v>
      </c>
    </row>
    <row r="2449" spans="1:3" x14ac:dyDescent="0.35">
      <c r="A2449" t="s">
        <v>212</v>
      </c>
      <c r="B2449" t="s">
        <v>255</v>
      </c>
      <c r="C2449" t="s">
        <v>2711</v>
      </c>
    </row>
    <row r="2450" spans="1:3" x14ac:dyDescent="0.35">
      <c r="A2450" t="s">
        <v>212</v>
      </c>
      <c r="B2450" t="s">
        <v>255</v>
      </c>
      <c r="C2450" t="s">
        <v>2712</v>
      </c>
    </row>
    <row r="2451" spans="1:3" x14ac:dyDescent="0.35">
      <c r="A2451" t="s">
        <v>212</v>
      </c>
      <c r="B2451" t="s">
        <v>255</v>
      </c>
      <c r="C2451" t="s">
        <v>2713</v>
      </c>
    </row>
    <row r="2452" spans="1:3" x14ac:dyDescent="0.35">
      <c r="A2452" t="s">
        <v>212</v>
      </c>
      <c r="B2452" t="s">
        <v>255</v>
      </c>
      <c r="C2452" t="s">
        <v>2714</v>
      </c>
    </row>
    <row r="2453" spans="1:3" x14ac:dyDescent="0.35">
      <c r="A2453" t="s">
        <v>212</v>
      </c>
      <c r="B2453" t="s">
        <v>255</v>
      </c>
      <c r="C2453" t="s">
        <v>2715</v>
      </c>
    </row>
    <row r="2454" spans="1:3" x14ac:dyDescent="0.35">
      <c r="A2454" t="s">
        <v>212</v>
      </c>
      <c r="B2454" t="s">
        <v>255</v>
      </c>
      <c r="C2454" t="s">
        <v>2716</v>
      </c>
    </row>
    <row r="2455" spans="1:3" x14ac:dyDescent="0.35">
      <c r="A2455" t="s">
        <v>212</v>
      </c>
      <c r="B2455" t="s">
        <v>255</v>
      </c>
      <c r="C2455" t="s">
        <v>2717</v>
      </c>
    </row>
    <row r="2456" spans="1:3" x14ac:dyDescent="0.35">
      <c r="A2456" t="s">
        <v>212</v>
      </c>
      <c r="B2456" t="s">
        <v>255</v>
      </c>
      <c r="C2456" t="s">
        <v>2718</v>
      </c>
    </row>
    <row r="2457" spans="1:3" x14ac:dyDescent="0.35">
      <c r="A2457" t="s">
        <v>212</v>
      </c>
      <c r="B2457" t="s">
        <v>255</v>
      </c>
      <c r="C2457" t="s">
        <v>2719</v>
      </c>
    </row>
    <row r="2458" spans="1:3" x14ac:dyDescent="0.35">
      <c r="A2458" t="s">
        <v>212</v>
      </c>
      <c r="B2458" t="s">
        <v>255</v>
      </c>
      <c r="C2458" t="s">
        <v>2720</v>
      </c>
    </row>
    <row r="2459" spans="1:3" x14ac:dyDescent="0.35">
      <c r="A2459" t="s">
        <v>212</v>
      </c>
      <c r="B2459" t="s">
        <v>255</v>
      </c>
      <c r="C2459" t="s">
        <v>2721</v>
      </c>
    </row>
    <row r="2460" spans="1:3" x14ac:dyDescent="0.35">
      <c r="A2460" t="s">
        <v>212</v>
      </c>
      <c r="B2460" t="s">
        <v>255</v>
      </c>
      <c r="C2460" t="s">
        <v>2722</v>
      </c>
    </row>
    <row r="2461" spans="1:3" x14ac:dyDescent="0.35">
      <c r="A2461" t="s">
        <v>212</v>
      </c>
      <c r="B2461" t="s">
        <v>255</v>
      </c>
      <c r="C2461" t="s">
        <v>2723</v>
      </c>
    </row>
    <row r="2462" spans="1:3" x14ac:dyDescent="0.35">
      <c r="A2462" t="s">
        <v>212</v>
      </c>
      <c r="B2462" t="s">
        <v>255</v>
      </c>
      <c r="C2462" t="s">
        <v>255</v>
      </c>
    </row>
    <row r="2463" spans="1:3" x14ac:dyDescent="0.35">
      <c r="A2463" t="s">
        <v>212</v>
      </c>
      <c r="B2463" t="s">
        <v>255</v>
      </c>
      <c r="C2463" t="s">
        <v>2724</v>
      </c>
    </row>
    <row r="2464" spans="1:3" x14ac:dyDescent="0.35">
      <c r="A2464" t="s">
        <v>212</v>
      </c>
      <c r="B2464" t="s">
        <v>255</v>
      </c>
      <c r="C2464" t="s">
        <v>2725</v>
      </c>
    </row>
    <row r="2465" spans="1:3" x14ac:dyDescent="0.35">
      <c r="A2465" t="s">
        <v>212</v>
      </c>
      <c r="B2465" t="s">
        <v>255</v>
      </c>
      <c r="C2465" t="s">
        <v>2726</v>
      </c>
    </row>
    <row r="2466" spans="1:3" x14ac:dyDescent="0.35">
      <c r="A2466" t="s">
        <v>212</v>
      </c>
      <c r="B2466" t="s">
        <v>255</v>
      </c>
      <c r="C2466" t="s">
        <v>2727</v>
      </c>
    </row>
    <row r="2467" spans="1:3" x14ac:dyDescent="0.35">
      <c r="A2467" t="s">
        <v>212</v>
      </c>
      <c r="B2467" t="s">
        <v>255</v>
      </c>
      <c r="C2467" t="s">
        <v>2728</v>
      </c>
    </row>
    <row r="2468" spans="1:3" x14ac:dyDescent="0.35">
      <c r="A2468" t="s">
        <v>212</v>
      </c>
      <c r="B2468" t="s">
        <v>255</v>
      </c>
      <c r="C2468" t="s">
        <v>2729</v>
      </c>
    </row>
    <row r="2469" spans="1:3" x14ac:dyDescent="0.35">
      <c r="A2469" t="s">
        <v>212</v>
      </c>
      <c r="B2469" t="s">
        <v>255</v>
      </c>
      <c r="C2469" t="s">
        <v>2730</v>
      </c>
    </row>
    <row r="2470" spans="1:3" x14ac:dyDescent="0.35">
      <c r="A2470" t="s">
        <v>212</v>
      </c>
      <c r="B2470" t="s">
        <v>255</v>
      </c>
      <c r="C2470" t="s">
        <v>2731</v>
      </c>
    </row>
    <row r="2471" spans="1:3" x14ac:dyDescent="0.35">
      <c r="A2471" t="s">
        <v>212</v>
      </c>
      <c r="B2471" t="s">
        <v>255</v>
      </c>
      <c r="C2471" t="s">
        <v>2732</v>
      </c>
    </row>
    <row r="2472" spans="1:3" x14ac:dyDescent="0.35">
      <c r="A2472" t="s">
        <v>212</v>
      </c>
      <c r="B2472" t="s">
        <v>255</v>
      </c>
      <c r="C2472" t="s">
        <v>2733</v>
      </c>
    </row>
    <row r="2473" spans="1:3" x14ac:dyDescent="0.35">
      <c r="A2473" t="s">
        <v>212</v>
      </c>
      <c r="B2473" t="s">
        <v>255</v>
      </c>
      <c r="C2473" t="s">
        <v>2734</v>
      </c>
    </row>
    <row r="2474" spans="1:3" x14ac:dyDescent="0.35">
      <c r="A2474" t="s">
        <v>212</v>
      </c>
      <c r="B2474" t="s">
        <v>255</v>
      </c>
      <c r="C2474" t="s">
        <v>2735</v>
      </c>
    </row>
    <row r="2475" spans="1:3" x14ac:dyDescent="0.35">
      <c r="A2475" t="s">
        <v>212</v>
      </c>
      <c r="B2475" t="s">
        <v>255</v>
      </c>
      <c r="C2475" t="s">
        <v>2736</v>
      </c>
    </row>
    <row r="2476" spans="1:3" x14ac:dyDescent="0.35">
      <c r="A2476" t="s">
        <v>212</v>
      </c>
      <c r="B2476" t="s">
        <v>255</v>
      </c>
      <c r="C2476" t="s">
        <v>2737</v>
      </c>
    </row>
    <row r="2477" spans="1:3" x14ac:dyDescent="0.35">
      <c r="A2477" t="s">
        <v>212</v>
      </c>
      <c r="B2477" t="s">
        <v>255</v>
      </c>
      <c r="C2477" t="s">
        <v>2738</v>
      </c>
    </row>
    <row r="2478" spans="1:3" x14ac:dyDescent="0.35">
      <c r="A2478" t="s">
        <v>212</v>
      </c>
      <c r="B2478" t="s">
        <v>255</v>
      </c>
      <c r="C2478" t="s">
        <v>2739</v>
      </c>
    </row>
    <row r="2479" spans="1:3" x14ac:dyDescent="0.35">
      <c r="A2479" t="s">
        <v>212</v>
      </c>
      <c r="B2479" t="s">
        <v>255</v>
      </c>
      <c r="C2479" t="s">
        <v>2740</v>
      </c>
    </row>
    <row r="2480" spans="1:3" x14ac:dyDescent="0.35">
      <c r="A2480" t="s">
        <v>212</v>
      </c>
      <c r="B2480" t="s">
        <v>267</v>
      </c>
      <c r="C2480" t="s">
        <v>2741</v>
      </c>
    </row>
    <row r="2481" spans="1:3" x14ac:dyDescent="0.35">
      <c r="A2481" t="s">
        <v>212</v>
      </c>
      <c r="B2481" t="s">
        <v>267</v>
      </c>
      <c r="C2481" t="s">
        <v>24</v>
      </c>
    </row>
    <row r="2482" spans="1:3" x14ac:dyDescent="0.35">
      <c r="A2482" t="s">
        <v>212</v>
      </c>
      <c r="B2482" t="s">
        <v>267</v>
      </c>
      <c r="C2482" t="s">
        <v>2742</v>
      </c>
    </row>
    <row r="2483" spans="1:3" x14ac:dyDescent="0.35">
      <c r="A2483" t="s">
        <v>212</v>
      </c>
      <c r="B2483" t="s">
        <v>267</v>
      </c>
      <c r="C2483" t="s">
        <v>2743</v>
      </c>
    </row>
    <row r="2484" spans="1:3" x14ac:dyDescent="0.35">
      <c r="A2484" t="s">
        <v>212</v>
      </c>
      <c r="B2484" t="s">
        <v>267</v>
      </c>
      <c r="C2484" t="s">
        <v>2744</v>
      </c>
    </row>
    <row r="2485" spans="1:3" x14ac:dyDescent="0.35">
      <c r="A2485" t="s">
        <v>212</v>
      </c>
      <c r="B2485" t="s">
        <v>267</v>
      </c>
      <c r="C2485" t="s">
        <v>2745</v>
      </c>
    </row>
    <row r="2486" spans="1:3" x14ac:dyDescent="0.35">
      <c r="A2486" t="s">
        <v>212</v>
      </c>
      <c r="B2486" t="s">
        <v>267</v>
      </c>
      <c r="C2486" t="s">
        <v>2746</v>
      </c>
    </row>
    <row r="2487" spans="1:3" x14ac:dyDescent="0.35">
      <c r="A2487" t="s">
        <v>212</v>
      </c>
      <c r="B2487" t="s">
        <v>267</v>
      </c>
      <c r="C2487" t="s">
        <v>2747</v>
      </c>
    </row>
    <row r="2488" spans="1:3" x14ac:dyDescent="0.35">
      <c r="A2488" t="s">
        <v>212</v>
      </c>
      <c r="B2488" t="s">
        <v>267</v>
      </c>
      <c r="C2488" t="s">
        <v>2748</v>
      </c>
    </row>
    <row r="2489" spans="1:3" x14ac:dyDescent="0.35">
      <c r="A2489" t="s">
        <v>212</v>
      </c>
      <c r="B2489" t="s">
        <v>267</v>
      </c>
      <c r="C2489" t="s">
        <v>2749</v>
      </c>
    </row>
    <row r="2490" spans="1:3" x14ac:dyDescent="0.35">
      <c r="A2490" t="s">
        <v>212</v>
      </c>
      <c r="B2490" t="s">
        <v>267</v>
      </c>
      <c r="C2490" t="s">
        <v>2750</v>
      </c>
    </row>
    <row r="2491" spans="1:3" x14ac:dyDescent="0.35">
      <c r="A2491" t="s">
        <v>212</v>
      </c>
      <c r="B2491" t="s">
        <v>267</v>
      </c>
      <c r="C2491" t="s">
        <v>2751</v>
      </c>
    </row>
    <row r="2492" spans="1:3" x14ac:dyDescent="0.35">
      <c r="A2492" t="s">
        <v>212</v>
      </c>
      <c r="B2492" t="s">
        <v>267</v>
      </c>
      <c r="C2492" t="s">
        <v>2752</v>
      </c>
    </row>
    <row r="2493" spans="1:3" x14ac:dyDescent="0.35">
      <c r="A2493" t="s">
        <v>212</v>
      </c>
      <c r="B2493" t="s">
        <v>267</v>
      </c>
      <c r="C2493" t="s">
        <v>2753</v>
      </c>
    </row>
    <row r="2494" spans="1:3" x14ac:dyDescent="0.35">
      <c r="A2494" t="s">
        <v>212</v>
      </c>
      <c r="B2494" t="s">
        <v>267</v>
      </c>
      <c r="C2494" t="s">
        <v>2754</v>
      </c>
    </row>
    <row r="2495" spans="1:3" x14ac:dyDescent="0.35">
      <c r="A2495" t="s">
        <v>212</v>
      </c>
      <c r="B2495" t="s">
        <v>267</v>
      </c>
      <c r="C2495" t="s">
        <v>2755</v>
      </c>
    </row>
    <row r="2496" spans="1:3" x14ac:dyDescent="0.35">
      <c r="A2496" t="s">
        <v>212</v>
      </c>
      <c r="B2496" t="s">
        <v>267</v>
      </c>
      <c r="C2496" t="s">
        <v>2756</v>
      </c>
    </row>
    <row r="2497" spans="1:3" x14ac:dyDescent="0.35">
      <c r="A2497" t="s">
        <v>212</v>
      </c>
      <c r="B2497" t="s">
        <v>267</v>
      </c>
      <c r="C2497" t="s">
        <v>2757</v>
      </c>
    </row>
    <row r="2498" spans="1:3" x14ac:dyDescent="0.35">
      <c r="A2498" t="s">
        <v>212</v>
      </c>
      <c r="B2498" t="s">
        <v>267</v>
      </c>
      <c r="C2498" t="s">
        <v>2758</v>
      </c>
    </row>
    <row r="2499" spans="1:3" x14ac:dyDescent="0.35">
      <c r="A2499" t="s">
        <v>212</v>
      </c>
      <c r="B2499" t="s">
        <v>267</v>
      </c>
      <c r="C2499" t="s">
        <v>2759</v>
      </c>
    </row>
    <row r="2500" spans="1:3" x14ac:dyDescent="0.35">
      <c r="A2500" t="s">
        <v>212</v>
      </c>
      <c r="B2500" t="s">
        <v>267</v>
      </c>
      <c r="C2500" t="s">
        <v>2760</v>
      </c>
    </row>
    <row r="2501" spans="1:3" x14ac:dyDescent="0.35">
      <c r="A2501" t="s">
        <v>212</v>
      </c>
      <c r="B2501" t="s">
        <v>267</v>
      </c>
      <c r="C2501" t="s">
        <v>2761</v>
      </c>
    </row>
    <row r="2502" spans="1:3" x14ac:dyDescent="0.35">
      <c r="A2502" t="s">
        <v>212</v>
      </c>
      <c r="B2502" t="s">
        <v>267</v>
      </c>
      <c r="C2502" t="s">
        <v>2762</v>
      </c>
    </row>
    <row r="2503" spans="1:3" x14ac:dyDescent="0.35">
      <c r="A2503" t="s">
        <v>212</v>
      </c>
      <c r="B2503" t="s">
        <v>267</v>
      </c>
      <c r="C2503" t="s">
        <v>2763</v>
      </c>
    </row>
    <row r="2504" spans="1:3" x14ac:dyDescent="0.35">
      <c r="A2504" t="s">
        <v>212</v>
      </c>
      <c r="B2504" t="s">
        <v>267</v>
      </c>
      <c r="C2504" t="s">
        <v>2764</v>
      </c>
    </row>
    <row r="2505" spans="1:3" x14ac:dyDescent="0.35">
      <c r="A2505" t="s">
        <v>212</v>
      </c>
      <c r="B2505" t="s">
        <v>267</v>
      </c>
      <c r="C2505" t="s">
        <v>2765</v>
      </c>
    </row>
    <row r="2506" spans="1:3" x14ac:dyDescent="0.35">
      <c r="A2506" t="s">
        <v>212</v>
      </c>
      <c r="B2506" t="s">
        <v>267</v>
      </c>
      <c r="C2506" t="s">
        <v>2766</v>
      </c>
    </row>
    <row r="2507" spans="1:3" x14ac:dyDescent="0.35">
      <c r="A2507" t="s">
        <v>212</v>
      </c>
      <c r="B2507" t="s">
        <v>267</v>
      </c>
      <c r="C2507" t="s">
        <v>2767</v>
      </c>
    </row>
    <row r="2508" spans="1:3" x14ac:dyDescent="0.35">
      <c r="A2508" t="s">
        <v>212</v>
      </c>
      <c r="B2508" t="s">
        <v>267</v>
      </c>
      <c r="C2508" t="s">
        <v>2768</v>
      </c>
    </row>
    <row r="2509" spans="1:3" x14ac:dyDescent="0.35">
      <c r="A2509" t="s">
        <v>212</v>
      </c>
      <c r="B2509" t="s">
        <v>267</v>
      </c>
      <c r="C2509" t="s">
        <v>2769</v>
      </c>
    </row>
    <row r="2510" spans="1:3" x14ac:dyDescent="0.35">
      <c r="A2510" t="s">
        <v>212</v>
      </c>
      <c r="B2510" t="s">
        <v>267</v>
      </c>
      <c r="C2510" t="s">
        <v>2770</v>
      </c>
    </row>
    <row r="2511" spans="1:3" x14ac:dyDescent="0.35">
      <c r="A2511" t="s">
        <v>212</v>
      </c>
      <c r="B2511" t="s">
        <v>267</v>
      </c>
      <c r="C2511" t="s">
        <v>2771</v>
      </c>
    </row>
    <row r="2512" spans="1:3" x14ac:dyDescent="0.35">
      <c r="A2512" t="s">
        <v>212</v>
      </c>
      <c r="B2512" t="s">
        <v>267</v>
      </c>
      <c r="C2512" t="s">
        <v>2772</v>
      </c>
    </row>
    <row r="2513" spans="1:3" x14ac:dyDescent="0.35">
      <c r="A2513" t="s">
        <v>212</v>
      </c>
      <c r="B2513" t="s">
        <v>267</v>
      </c>
      <c r="C2513" t="s">
        <v>2773</v>
      </c>
    </row>
    <row r="2514" spans="1:3" x14ac:dyDescent="0.35">
      <c r="A2514" t="s">
        <v>212</v>
      </c>
      <c r="B2514" t="s">
        <v>267</v>
      </c>
      <c r="C2514" t="s">
        <v>2774</v>
      </c>
    </row>
    <row r="2515" spans="1:3" x14ac:dyDescent="0.35">
      <c r="A2515" t="s">
        <v>212</v>
      </c>
      <c r="B2515" t="s">
        <v>267</v>
      </c>
      <c r="C2515" t="s">
        <v>2775</v>
      </c>
    </row>
    <row r="2516" spans="1:3" x14ac:dyDescent="0.35">
      <c r="A2516" t="s">
        <v>212</v>
      </c>
      <c r="B2516" t="s">
        <v>267</v>
      </c>
      <c r="C2516" t="s">
        <v>2776</v>
      </c>
    </row>
    <row r="2517" spans="1:3" x14ac:dyDescent="0.35">
      <c r="A2517" t="s">
        <v>212</v>
      </c>
      <c r="B2517" t="s">
        <v>267</v>
      </c>
      <c r="C2517" t="s">
        <v>2777</v>
      </c>
    </row>
    <row r="2518" spans="1:3" x14ac:dyDescent="0.35">
      <c r="A2518" t="s">
        <v>212</v>
      </c>
      <c r="B2518" t="s">
        <v>267</v>
      </c>
      <c r="C2518" t="s">
        <v>2778</v>
      </c>
    </row>
    <row r="2519" spans="1:3" x14ac:dyDescent="0.35">
      <c r="A2519" t="s">
        <v>212</v>
      </c>
      <c r="B2519" t="s">
        <v>267</v>
      </c>
      <c r="C2519" t="s">
        <v>2779</v>
      </c>
    </row>
    <row r="2520" spans="1:3" x14ac:dyDescent="0.35">
      <c r="A2520" t="s">
        <v>212</v>
      </c>
      <c r="B2520" t="s">
        <v>267</v>
      </c>
      <c r="C2520" t="s">
        <v>2780</v>
      </c>
    </row>
    <row r="2521" spans="1:3" x14ac:dyDescent="0.35">
      <c r="A2521" t="s">
        <v>212</v>
      </c>
      <c r="B2521" t="s">
        <v>267</v>
      </c>
      <c r="C2521" t="s">
        <v>2781</v>
      </c>
    </row>
    <row r="2522" spans="1:3" x14ac:dyDescent="0.35">
      <c r="A2522" t="s">
        <v>212</v>
      </c>
      <c r="B2522" t="s">
        <v>267</v>
      </c>
      <c r="C2522" t="s">
        <v>2782</v>
      </c>
    </row>
    <row r="2523" spans="1:3" x14ac:dyDescent="0.35">
      <c r="A2523" t="s">
        <v>212</v>
      </c>
      <c r="B2523" t="s">
        <v>267</v>
      </c>
      <c r="C2523" t="s">
        <v>2783</v>
      </c>
    </row>
    <row r="2524" spans="1:3" x14ac:dyDescent="0.35">
      <c r="A2524" t="s">
        <v>212</v>
      </c>
      <c r="B2524" t="s">
        <v>267</v>
      </c>
      <c r="C2524" t="s">
        <v>2784</v>
      </c>
    </row>
    <row r="2525" spans="1:3" x14ac:dyDescent="0.35">
      <c r="A2525" t="s">
        <v>212</v>
      </c>
      <c r="B2525" t="s">
        <v>267</v>
      </c>
      <c r="C2525" t="s">
        <v>2785</v>
      </c>
    </row>
    <row r="2526" spans="1:3" x14ac:dyDescent="0.35">
      <c r="A2526" t="s">
        <v>212</v>
      </c>
      <c r="B2526" t="s">
        <v>267</v>
      </c>
      <c r="C2526" t="s">
        <v>2786</v>
      </c>
    </row>
    <row r="2527" spans="1:3" x14ac:dyDescent="0.35">
      <c r="A2527" t="s">
        <v>212</v>
      </c>
      <c r="B2527" t="s">
        <v>267</v>
      </c>
      <c r="C2527" t="s">
        <v>2787</v>
      </c>
    </row>
    <row r="2528" spans="1:3" x14ac:dyDescent="0.35">
      <c r="A2528" t="s">
        <v>212</v>
      </c>
      <c r="B2528" t="s">
        <v>267</v>
      </c>
      <c r="C2528" t="s">
        <v>2788</v>
      </c>
    </row>
    <row r="2529" spans="1:3" x14ac:dyDescent="0.35">
      <c r="A2529" t="s">
        <v>212</v>
      </c>
      <c r="B2529" t="s">
        <v>267</v>
      </c>
      <c r="C2529" t="s">
        <v>2789</v>
      </c>
    </row>
    <row r="2530" spans="1:3" x14ac:dyDescent="0.35">
      <c r="A2530" t="s">
        <v>212</v>
      </c>
      <c r="B2530" t="s">
        <v>267</v>
      </c>
      <c r="C2530" t="s">
        <v>2790</v>
      </c>
    </row>
    <row r="2531" spans="1:3" x14ac:dyDescent="0.35">
      <c r="A2531" t="s">
        <v>212</v>
      </c>
      <c r="B2531" t="s">
        <v>267</v>
      </c>
      <c r="C2531" t="s">
        <v>2791</v>
      </c>
    </row>
    <row r="2532" spans="1:3" x14ac:dyDescent="0.35">
      <c r="A2532" t="s">
        <v>212</v>
      </c>
      <c r="B2532" t="s">
        <v>267</v>
      </c>
      <c r="C2532" t="s">
        <v>2792</v>
      </c>
    </row>
    <row r="2533" spans="1:3" x14ac:dyDescent="0.35">
      <c r="A2533" t="s">
        <v>212</v>
      </c>
      <c r="B2533" t="s">
        <v>267</v>
      </c>
      <c r="C2533" t="s">
        <v>2793</v>
      </c>
    </row>
    <row r="2534" spans="1:3" x14ac:dyDescent="0.35">
      <c r="A2534" t="s">
        <v>212</v>
      </c>
      <c r="B2534" t="s">
        <v>267</v>
      </c>
      <c r="C2534" t="s">
        <v>2794</v>
      </c>
    </row>
    <row r="2535" spans="1:3" x14ac:dyDescent="0.35">
      <c r="A2535" t="s">
        <v>212</v>
      </c>
      <c r="B2535" t="s">
        <v>267</v>
      </c>
      <c r="C2535" t="s">
        <v>267</v>
      </c>
    </row>
    <row r="2536" spans="1:3" x14ac:dyDescent="0.35">
      <c r="A2536" t="s">
        <v>212</v>
      </c>
      <c r="B2536" t="s">
        <v>267</v>
      </c>
      <c r="C2536" t="s">
        <v>2795</v>
      </c>
    </row>
    <row r="2537" spans="1:3" x14ac:dyDescent="0.35">
      <c r="A2537" t="s">
        <v>212</v>
      </c>
      <c r="B2537" t="s">
        <v>267</v>
      </c>
      <c r="C2537" t="s">
        <v>2796</v>
      </c>
    </row>
    <row r="2538" spans="1:3" x14ac:dyDescent="0.35">
      <c r="A2538" t="s">
        <v>212</v>
      </c>
      <c r="B2538" t="s">
        <v>267</v>
      </c>
      <c r="C2538" t="s">
        <v>2797</v>
      </c>
    </row>
    <row r="2539" spans="1:3" x14ac:dyDescent="0.35">
      <c r="A2539" t="s">
        <v>212</v>
      </c>
      <c r="B2539" t="s">
        <v>267</v>
      </c>
      <c r="C2539" t="s">
        <v>2798</v>
      </c>
    </row>
    <row r="2540" spans="1:3" x14ac:dyDescent="0.35">
      <c r="A2540" t="s">
        <v>212</v>
      </c>
      <c r="B2540" t="s">
        <v>267</v>
      </c>
      <c r="C2540" t="s">
        <v>2799</v>
      </c>
    </row>
    <row r="2541" spans="1:3" x14ac:dyDescent="0.35">
      <c r="A2541" t="s">
        <v>212</v>
      </c>
      <c r="B2541" t="s">
        <v>267</v>
      </c>
      <c r="C2541" t="s">
        <v>2800</v>
      </c>
    </row>
    <row r="2542" spans="1:3" x14ac:dyDescent="0.35">
      <c r="A2542" t="s">
        <v>212</v>
      </c>
      <c r="B2542" t="s">
        <v>267</v>
      </c>
      <c r="C2542" t="s">
        <v>2801</v>
      </c>
    </row>
    <row r="2543" spans="1:3" x14ac:dyDescent="0.35">
      <c r="A2543" t="s">
        <v>212</v>
      </c>
      <c r="B2543" t="s">
        <v>267</v>
      </c>
      <c r="C2543" t="s">
        <v>2802</v>
      </c>
    </row>
    <row r="2544" spans="1:3" x14ac:dyDescent="0.35">
      <c r="A2544" t="s">
        <v>212</v>
      </c>
      <c r="B2544" t="s">
        <v>267</v>
      </c>
      <c r="C2544" t="s">
        <v>2803</v>
      </c>
    </row>
    <row r="2545" spans="1:3" x14ac:dyDescent="0.35">
      <c r="A2545" t="s">
        <v>212</v>
      </c>
      <c r="B2545" t="s">
        <v>267</v>
      </c>
      <c r="C2545" t="s">
        <v>2804</v>
      </c>
    </row>
    <row r="2546" spans="1:3" x14ac:dyDescent="0.35">
      <c r="A2546" t="s">
        <v>212</v>
      </c>
      <c r="B2546" t="s">
        <v>267</v>
      </c>
      <c r="C2546" t="s">
        <v>2805</v>
      </c>
    </row>
    <row r="2547" spans="1:3" x14ac:dyDescent="0.35">
      <c r="A2547" t="s">
        <v>212</v>
      </c>
      <c r="B2547" t="s">
        <v>267</v>
      </c>
      <c r="C2547" t="s">
        <v>2806</v>
      </c>
    </row>
    <row r="2548" spans="1:3" x14ac:dyDescent="0.35">
      <c r="A2548" t="s">
        <v>212</v>
      </c>
      <c r="B2548" t="s">
        <v>267</v>
      </c>
      <c r="C2548" t="s">
        <v>2807</v>
      </c>
    </row>
    <row r="2549" spans="1:3" x14ac:dyDescent="0.35">
      <c r="A2549" t="s">
        <v>213</v>
      </c>
      <c r="B2549" t="s">
        <v>35</v>
      </c>
      <c r="C2549" t="s">
        <v>2808</v>
      </c>
    </row>
    <row r="2550" spans="1:3" x14ac:dyDescent="0.35">
      <c r="A2550" t="s">
        <v>213</v>
      </c>
      <c r="B2550" t="s">
        <v>35</v>
      </c>
      <c r="C2550" t="s">
        <v>2809</v>
      </c>
    </row>
    <row r="2551" spans="1:3" x14ac:dyDescent="0.35">
      <c r="A2551" t="s">
        <v>213</v>
      </c>
      <c r="B2551" t="s">
        <v>35</v>
      </c>
      <c r="C2551" t="s">
        <v>2810</v>
      </c>
    </row>
    <row r="2552" spans="1:3" x14ac:dyDescent="0.35">
      <c r="A2552" t="s">
        <v>213</v>
      </c>
      <c r="B2552" t="s">
        <v>35</v>
      </c>
      <c r="C2552" t="s">
        <v>2811</v>
      </c>
    </row>
    <row r="2553" spans="1:3" x14ac:dyDescent="0.35">
      <c r="A2553" t="s">
        <v>213</v>
      </c>
      <c r="B2553" t="s">
        <v>35</v>
      </c>
      <c r="C2553" t="s">
        <v>2812</v>
      </c>
    </row>
    <row r="2554" spans="1:3" x14ac:dyDescent="0.35">
      <c r="A2554" t="s">
        <v>213</v>
      </c>
      <c r="B2554" t="s">
        <v>35</v>
      </c>
      <c r="C2554" t="s">
        <v>2813</v>
      </c>
    </row>
    <row r="2555" spans="1:3" x14ac:dyDescent="0.35">
      <c r="A2555" t="s">
        <v>213</v>
      </c>
      <c r="B2555" t="s">
        <v>35</v>
      </c>
      <c r="C2555" t="s">
        <v>2814</v>
      </c>
    </row>
    <row r="2556" spans="1:3" x14ac:dyDescent="0.35">
      <c r="A2556" t="s">
        <v>213</v>
      </c>
      <c r="B2556" t="s">
        <v>35</v>
      </c>
      <c r="C2556" t="s">
        <v>2815</v>
      </c>
    </row>
    <row r="2557" spans="1:3" x14ac:dyDescent="0.35">
      <c r="A2557" t="s">
        <v>213</v>
      </c>
      <c r="B2557" t="s">
        <v>35</v>
      </c>
      <c r="C2557" t="s">
        <v>2816</v>
      </c>
    </row>
    <row r="2558" spans="1:3" x14ac:dyDescent="0.35">
      <c r="A2558" t="s">
        <v>213</v>
      </c>
      <c r="B2558" t="s">
        <v>35</v>
      </c>
      <c r="C2558" t="s">
        <v>2817</v>
      </c>
    </row>
    <row r="2559" spans="1:3" x14ac:dyDescent="0.35">
      <c r="A2559" t="s">
        <v>213</v>
      </c>
      <c r="B2559" t="s">
        <v>35</v>
      </c>
      <c r="C2559" t="s">
        <v>2818</v>
      </c>
    </row>
    <row r="2560" spans="1:3" x14ac:dyDescent="0.35">
      <c r="A2560" t="s">
        <v>213</v>
      </c>
      <c r="B2560" t="s">
        <v>35</v>
      </c>
      <c r="C2560" t="s">
        <v>2819</v>
      </c>
    </row>
    <row r="2561" spans="1:3" x14ac:dyDescent="0.35">
      <c r="A2561" t="s">
        <v>213</v>
      </c>
      <c r="B2561" t="s">
        <v>35</v>
      </c>
      <c r="C2561" t="s">
        <v>2820</v>
      </c>
    </row>
    <row r="2562" spans="1:3" x14ac:dyDescent="0.35">
      <c r="A2562" t="s">
        <v>213</v>
      </c>
      <c r="B2562" t="s">
        <v>35</v>
      </c>
      <c r="C2562" t="s">
        <v>2821</v>
      </c>
    </row>
    <row r="2563" spans="1:3" x14ac:dyDescent="0.35">
      <c r="A2563" t="s">
        <v>213</v>
      </c>
      <c r="B2563" t="s">
        <v>35</v>
      </c>
      <c r="C2563" t="s">
        <v>2822</v>
      </c>
    </row>
    <row r="2564" spans="1:3" x14ac:dyDescent="0.35">
      <c r="A2564" t="s">
        <v>213</v>
      </c>
      <c r="B2564" t="s">
        <v>35</v>
      </c>
      <c r="C2564" t="s">
        <v>2823</v>
      </c>
    </row>
    <row r="2565" spans="1:3" x14ac:dyDescent="0.35">
      <c r="A2565" t="s">
        <v>213</v>
      </c>
      <c r="B2565" t="s">
        <v>35</v>
      </c>
      <c r="C2565" t="s">
        <v>2824</v>
      </c>
    </row>
    <row r="2566" spans="1:3" x14ac:dyDescent="0.35">
      <c r="A2566" t="s">
        <v>213</v>
      </c>
      <c r="B2566" t="s">
        <v>35</v>
      </c>
      <c r="C2566" t="s">
        <v>2825</v>
      </c>
    </row>
    <row r="2567" spans="1:3" x14ac:dyDescent="0.35">
      <c r="A2567" t="s">
        <v>213</v>
      </c>
      <c r="B2567" t="s">
        <v>35</v>
      </c>
      <c r="C2567" t="s">
        <v>2826</v>
      </c>
    </row>
    <row r="2568" spans="1:3" x14ac:dyDescent="0.35">
      <c r="A2568" t="s">
        <v>213</v>
      </c>
      <c r="B2568" t="s">
        <v>35</v>
      </c>
      <c r="C2568" t="s">
        <v>2827</v>
      </c>
    </row>
    <row r="2569" spans="1:3" x14ac:dyDescent="0.35">
      <c r="A2569" t="s">
        <v>213</v>
      </c>
      <c r="B2569" t="s">
        <v>35</v>
      </c>
      <c r="C2569" t="s">
        <v>2828</v>
      </c>
    </row>
    <row r="2570" spans="1:3" x14ac:dyDescent="0.35">
      <c r="A2570" t="s">
        <v>213</v>
      </c>
      <c r="B2570" t="s">
        <v>35</v>
      </c>
      <c r="C2570" t="s">
        <v>2829</v>
      </c>
    </row>
    <row r="2571" spans="1:3" x14ac:dyDescent="0.35">
      <c r="A2571" t="s">
        <v>213</v>
      </c>
      <c r="B2571" t="s">
        <v>35</v>
      </c>
      <c r="C2571" t="s">
        <v>2830</v>
      </c>
    </row>
    <row r="2572" spans="1:3" x14ac:dyDescent="0.35">
      <c r="A2572" t="s">
        <v>213</v>
      </c>
      <c r="B2572" t="s">
        <v>35</v>
      </c>
      <c r="C2572" t="s">
        <v>2831</v>
      </c>
    </row>
    <row r="2573" spans="1:3" x14ac:dyDescent="0.35">
      <c r="A2573" t="s">
        <v>213</v>
      </c>
      <c r="B2573" t="s">
        <v>35</v>
      </c>
      <c r="C2573" t="s">
        <v>35</v>
      </c>
    </row>
    <row r="2574" spans="1:3" x14ac:dyDescent="0.35">
      <c r="A2574" t="s">
        <v>213</v>
      </c>
      <c r="B2574" t="s">
        <v>35</v>
      </c>
      <c r="C2574" t="s">
        <v>2832</v>
      </c>
    </row>
    <row r="2575" spans="1:3" x14ac:dyDescent="0.35">
      <c r="A2575" t="s">
        <v>213</v>
      </c>
      <c r="B2575" t="s">
        <v>35</v>
      </c>
      <c r="C2575" t="s">
        <v>2833</v>
      </c>
    </row>
    <row r="2576" spans="1:3" x14ac:dyDescent="0.35">
      <c r="A2576" t="s">
        <v>213</v>
      </c>
      <c r="B2576" t="s">
        <v>35</v>
      </c>
      <c r="C2576" t="s">
        <v>2834</v>
      </c>
    </row>
    <row r="2577" spans="1:3" x14ac:dyDescent="0.35">
      <c r="A2577" t="s">
        <v>213</v>
      </c>
      <c r="B2577" t="s">
        <v>35</v>
      </c>
      <c r="C2577" t="s">
        <v>2835</v>
      </c>
    </row>
    <row r="2578" spans="1:3" x14ac:dyDescent="0.35">
      <c r="A2578" t="s">
        <v>213</v>
      </c>
      <c r="B2578" t="s">
        <v>35</v>
      </c>
      <c r="C2578" t="s">
        <v>2836</v>
      </c>
    </row>
    <row r="2579" spans="1:3" x14ac:dyDescent="0.35">
      <c r="A2579" t="s">
        <v>213</v>
      </c>
      <c r="B2579" t="s">
        <v>35</v>
      </c>
      <c r="C2579" t="s">
        <v>2837</v>
      </c>
    </row>
    <row r="2580" spans="1:3" x14ac:dyDescent="0.35">
      <c r="A2580" t="s">
        <v>213</v>
      </c>
      <c r="B2580" t="s">
        <v>35</v>
      </c>
      <c r="C2580" t="s">
        <v>2838</v>
      </c>
    </row>
    <row r="2581" spans="1:3" x14ac:dyDescent="0.35">
      <c r="A2581" t="s">
        <v>213</v>
      </c>
      <c r="B2581" t="s">
        <v>35</v>
      </c>
      <c r="C2581" t="s">
        <v>2839</v>
      </c>
    </row>
    <row r="2582" spans="1:3" x14ac:dyDescent="0.35">
      <c r="A2582" t="s">
        <v>213</v>
      </c>
      <c r="B2582" t="s">
        <v>35</v>
      </c>
      <c r="C2582" t="s">
        <v>2840</v>
      </c>
    </row>
    <row r="2583" spans="1:3" x14ac:dyDescent="0.35">
      <c r="A2583" t="s">
        <v>213</v>
      </c>
      <c r="B2583" t="s">
        <v>35</v>
      </c>
      <c r="C2583" t="s">
        <v>2841</v>
      </c>
    </row>
    <row r="2584" spans="1:3" x14ac:dyDescent="0.35">
      <c r="A2584" t="s">
        <v>213</v>
      </c>
      <c r="B2584" t="s">
        <v>35</v>
      </c>
      <c r="C2584" t="s">
        <v>2842</v>
      </c>
    </row>
    <row r="2585" spans="1:3" x14ac:dyDescent="0.35">
      <c r="A2585" t="s">
        <v>213</v>
      </c>
      <c r="B2585" t="s">
        <v>35</v>
      </c>
      <c r="C2585" t="s">
        <v>2843</v>
      </c>
    </row>
    <row r="2586" spans="1:3" x14ac:dyDescent="0.35">
      <c r="A2586" t="s">
        <v>213</v>
      </c>
      <c r="B2586" t="s">
        <v>35</v>
      </c>
      <c r="C2586" t="s">
        <v>2844</v>
      </c>
    </row>
    <row r="2587" spans="1:3" x14ac:dyDescent="0.35">
      <c r="A2587" t="s">
        <v>213</v>
      </c>
      <c r="B2587" t="s">
        <v>35</v>
      </c>
      <c r="C2587" t="s">
        <v>2845</v>
      </c>
    </row>
    <row r="2588" spans="1:3" x14ac:dyDescent="0.35">
      <c r="A2588" t="s">
        <v>213</v>
      </c>
      <c r="B2588" t="s">
        <v>35</v>
      </c>
      <c r="C2588" t="s">
        <v>2846</v>
      </c>
    </row>
    <row r="2589" spans="1:3" x14ac:dyDescent="0.35">
      <c r="A2589" t="s">
        <v>213</v>
      </c>
      <c r="B2589" t="s">
        <v>35</v>
      </c>
      <c r="C2589" t="s">
        <v>2847</v>
      </c>
    </row>
    <row r="2590" spans="1:3" x14ac:dyDescent="0.35">
      <c r="A2590" t="s">
        <v>213</v>
      </c>
      <c r="B2590" t="s">
        <v>35</v>
      </c>
      <c r="C2590" t="s">
        <v>2848</v>
      </c>
    </row>
    <row r="2591" spans="1:3" x14ac:dyDescent="0.35">
      <c r="A2591" t="s">
        <v>213</v>
      </c>
      <c r="B2591" t="s">
        <v>35</v>
      </c>
      <c r="C2591" t="s">
        <v>2849</v>
      </c>
    </row>
    <row r="2592" spans="1:3" x14ac:dyDescent="0.35">
      <c r="A2592" t="s">
        <v>213</v>
      </c>
      <c r="B2592" t="s">
        <v>35</v>
      </c>
      <c r="C2592" t="s">
        <v>2850</v>
      </c>
    </row>
    <row r="2593" spans="1:3" x14ac:dyDescent="0.35">
      <c r="A2593" t="s">
        <v>213</v>
      </c>
      <c r="B2593" t="s">
        <v>35</v>
      </c>
      <c r="C2593" t="s">
        <v>2851</v>
      </c>
    </row>
    <row r="2594" spans="1:3" x14ac:dyDescent="0.35">
      <c r="A2594" t="s">
        <v>213</v>
      </c>
      <c r="B2594" t="s">
        <v>35</v>
      </c>
      <c r="C2594" t="s">
        <v>2852</v>
      </c>
    </row>
    <row r="2595" spans="1:3" x14ac:dyDescent="0.35">
      <c r="A2595" t="s">
        <v>213</v>
      </c>
      <c r="B2595" t="s">
        <v>35</v>
      </c>
      <c r="C2595" t="s">
        <v>2853</v>
      </c>
    </row>
    <row r="2596" spans="1:3" x14ac:dyDescent="0.35">
      <c r="A2596" t="s">
        <v>213</v>
      </c>
      <c r="B2596" t="s">
        <v>35</v>
      </c>
      <c r="C2596" t="s">
        <v>2854</v>
      </c>
    </row>
    <row r="2597" spans="1:3" x14ac:dyDescent="0.35">
      <c r="A2597" t="s">
        <v>213</v>
      </c>
      <c r="B2597" t="s">
        <v>35</v>
      </c>
      <c r="C2597" t="s">
        <v>2855</v>
      </c>
    </row>
    <row r="2598" spans="1:3" x14ac:dyDescent="0.35">
      <c r="A2598" t="s">
        <v>213</v>
      </c>
      <c r="B2598" t="s">
        <v>35</v>
      </c>
      <c r="C2598" t="s">
        <v>2856</v>
      </c>
    </row>
    <row r="2599" spans="1:3" x14ac:dyDescent="0.35">
      <c r="A2599" t="s">
        <v>213</v>
      </c>
      <c r="B2599" t="s">
        <v>35</v>
      </c>
      <c r="C2599" t="s">
        <v>2857</v>
      </c>
    </row>
    <row r="2600" spans="1:3" x14ac:dyDescent="0.35">
      <c r="A2600" t="s">
        <v>213</v>
      </c>
      <c r="B2600" t="s">
        <v>35</v>
      </c>
      <c r="C2600" t="s">
        <v>2858</v>
      </c>
    </row>
    <row r="2601" spans="1:3" x14ac:dyDescent="0.35">
      <c r="A2601" t="s">
        <v>213</v>
      </c>
      <c r="B2601" t="s">
        <v>35</v>
      </c>
      <c r="C2601" t="s">
        <v>2859</v>
      </c>
    </row>
    <row r="2602" spans="1:3" x14ac:dyDescent="0.35">
      <c r="A2602" t="s">
        <v>213</v>
      </c>
      <c r="B2602" t="s">
        <v>35</v>
      </c>
      <c r="C2602" t="s">
        <v>2860</v>
      </c>
    </row>
    <row r="2603" spans="1:3" x14ac:dyDescent="0.35">
      <c r="A2603" t="s">
        <v>213</v>
      </c>
      <c r="B2603" t="s">
        <v>35</v>
      </c>
      <c r="C2603" t="s">
        <v>2861</v>
      </c>
    </row>
    <row r="2604" spans="1:3" x14ac:dyDescent="0.35">
      <c r="A2604" t="s">
        <v>213</v>
      </c>
      <c r="B2604" t="s">
        <v>35</v>
      </c>
      <c r="C2604" t="s">
        <v>2862</v>
      </c>
    </row>
    <row r="2605" spans="1:3" x14ac:dyDescent="0.35">
      <c r="A2605" t="s">
        <v>213</v>
      </c>
      <c r="B2605" t="s">
        <v>35</v>
      </c>
      <c r="C2605" t="s">
        <v>2863</v>
      </c>
    </row>
    <row r="2606" spans="1:3" x14ac:dyDescent="0.35">
      <c r="A2606" t="s">
        <v>213</v>
      </c>
      <c r="B2606" t="s">
        <v>35</v>
      </c>
      <c r="C2606" t="s">
        <v>2864</v>
      </c>
    </row>
    <row r="2607" spans="1:3" x14ac:dyDescent="0.35">
      <c r="A2607" t="s">
        <v>213</v>
      </c>
      <c r="B2607" t="s">
        <v>35</v>
      </c>
      <c r="C2607" t="s">
        <v>2865</v>
      </c>
    </row>
    <row r="2608" spans="1:3" x14ac:dyDescent="0.35">
      <c r="A2608" t="s">
        <v>213</v>
      </c>
      <c r="B2608" t="s">
        <v>35</v>
      </c>
      <c r="C2608" t="s">
        <v>2866</v>
      </c>
    </row>
    <row r="2609" spans="1:3" x14ac:dyDescent="0.35">
      <c r="A2609" t="s">
        <v>213</v>
      </c>
      <c r="B2609" t="s">
        <v>35</v>
      </c>
      <c r="C2609" t="s">
        <v>2867</v>
      </c>
    </row>
    <row r="2610" spans="1:3" x14ac:dyDescent="0.35">
      <c r="A2610" t="s">
        <v>213</v>
      </c>
      <c r="B2610" t="s">
        <v>35</v>
      </c>
      <c r="C2610" t="s">
        <v>2868</v>
      </c>
    </row>
    <row r="2611" spans="1:3" x14ac:dyDescent="0.35">
      <c r="A2611" t="s">
        <v>213</v>
      </c>
      <c r="B2611" t="s">
        <v>35</v>
      </c>
      <c r="C2611" t="s">
        <v>2869</v>
      </c>
    </row>
    <row r="2612" spans="1:3" x14ac:dyDescent="0.35">
      <c r="A2612" t="s">
        <v>213</v>
      </c>
      <c r="B2612" t="s">
        <v>35</v>
      </c>
      <c r="C2612" t="s">
        <v>2870</v>
      </c>
    </row>
    <row r="2613" spans="1:3" x14ac:dyDescent="0.35">
      <c r="A2613" t="s">
        <v>213</v>
      </c>
      <c r="B2613" t="s">
        <v>35</v>
      </c>
      <c r="C2613" t="s">
        <v>2871</v>
      </c>
    </row>
    <row r="2614" spans="1:3" x14ac:dyDescent="0.35">
      <c r="A2614" t="s">
        <v>213</v>
      </c>
      <c r="B2614" t="s">
        <v>35</v>
      </c>
      <c r="C2614" t="s">
        <v>2872</v>
      </c>
    </row>
    <row r="2615" spans="1:3" x14ac:dyDescent="0.35">
      <c r="A2615" t="s">
        <v>213</v>
      </c>
      <c r="B2615" t="s">
        <v>35</v>
      </c>
      <c r="C2615" t="s">
        <v>2873</v>
      </c>
    </row>
    <row r="2616" spans="1:3" x14ac:dyDescent="0.35">
      <c r="A2616" t="s">
        <v>213</v>
      </c>
      <c r="B2616" t="s">
        <v>35</v>
      </c>
      <c r="C2616" t="s">
        <v>2874</v>
      </c>
    </row>
    <row r="2617" spans="1:3" x14ac:dyDescent="0.35">
      <c r="A2617" t="s">
        <v>213</v>
      </c>
      <c r="B2617" t="s">
        <v>35</v>
      </c>
      <c r="C2617" t="s">
        <v>2875</v>
      </c>
    </row>
    <row r="2618" spans="1:3" x14ac:dyDescent="0.35">
      <c r="A2618" t="s">
        <v>213</v>
      </c>
      <c r="B2618" t="s">
        <v>35</v>
      </c>
      <c r="C2618" t="s">
        <v>2876</v>
      </c>
    </row>
    <row r="2619" spans="1:3" x14ac:dyDescent="0.35">
      <c r="A2619" t="s">
        <v>213</v>
      </c>
      <c r="B2619" t="s">
        <v>35</v>
      </c>
      <c r="C2619" t="s">
        <v>2877</v>
      </c>
    </row>
    <row r="2620" spans="1:3" x14ac:dyDescent="0.35">
      <c r="A2620" t="s">
        <v>213</v>
      </c>
      <c r="B2620" t="s">
        <v>35</v>
      </c>
      <c r="C2620" t="s">
        <v>2878</v>
      </c>
    </row>
    <row r="2621" spans="1:3" x14ac:dyDescent="0.35">
      <c r="A2621" t="s">
        <v>213</v>
      </c>
      <c r="B2621" t="s">
        <v>35</v>
      </c>
      <c r="C2621" t="s">
        <v>2879</v>
      </c>
    </row>
    <row r="2622" spans="1:3" x14ac:dyDescent="0.35">
      <c r="A2622" t="s">
        <v>213</v>
      </c>
      <c r="B2622" t="s">
        <v>35</v>
      </c>
      <c r="C2622" t="s">
        <v>2880</v>
      </c>
    </row>
    <row r="2623" spans="1:3" x14ac:dyDescent="0.35">
      <c r="A2623" t="s">
        <v>213</v>
      </c>
      <c r="B2623" t="s">
        <v>35</v>
      </c>
      <c r="C2623" t="s">
        <v>2881</v>
      </c>
    </row>
    <row r="2624" spans="1:3" x14ac:dyDescent="0.35">
      <c r="A2624" t="s">
        <v>213</v>
      </c>
      <c r="B2624" t="s">
        <v>35</v>
      </c>
      <c r="C2624" t="s">
        <v>2882</v>
      </c>
    </row>
    <row r="2625" spans="1:3" x14ac:dyDescent="0.35">
      <c r="A2625" t="s">
        <v>213</v>
      </c>
      <c r="B2625" t="s">
        <v>35</v>
      </c>
      <c r="C2625" t="s">
        <v>2883</v>
      </c>
    </row>
    <row r="2626" spans="1:3" x14ac:dyDescent="0.35">
      <c r="A2626" t="s">
        <v>213</v>
      </c>
      <c r="B2626" t="s">
        <v>35</v>
      </c>
      <c r="C2626" t="s">
        <v>2884</v>
      </c>
    </row>
    <row r="2627" spans="1:3" x14ac:dyDescent="0.35">
      <c r="A2627" t="s">
        <v>213</v>
      </c>
      <c r="B2627" t="s">
        <v>35</v>
      </c>
      <c r="C2627" t="s">
        <v>2885</v>
      </c>
    </row>
    <row r="2628" spans="1:3" x14ac:dyDescent="0.35">
      <c r="A2628" t="s">
        <v>213</v>
      </c>
      <c r="B2628" t="s">
        <v>35</v>
      </c>
      <c r="C2628" t="s">
        <v>2886</v>
      </c>
    </row>
    <row r="2629" spans="1:3" x14ac:dyDescent="0.35">
      <c r="A2629" t="s">
        <v>213</v>
      </c>
      <c r="B2629" t="s">
        <v>35</v>
      </c>
      <c r="C2629" t="s">
        <v>2887</v>
      </c>
    </row>
    <row r="2630" spans="1:3" x14ac:dyDescent="0.35">
      <c r="A2630" t="s">
        <v>213</v>
      </c>
      <c r="B2630" t="s">
        <v>35</v>
      </c>
      <c r="C2630" t="s">
        <v>2888</v>
      </c>
    </row>
    <row r="2631" spans="1:3" x14ac:dyDescent="0.35">
      <c r="A2631" t="s">
        <v>213</v>
      </c>
      <c r="B2631" t="s">
        <v>35</v>
      </c>
      <c r="C2631" t="s">
        <v>2889</v>
      </c>
    </row>
    <row r="2632" spans="1:3" x14ac:dyDescent="0.35">
      <c r="A2632" t="s">
        <v>213</v>
      </c>
      <c r="B2632" t="s">
        <v>35</v>
      </c>
      <c r="C2632" t="s">
        <v>2890</v>
      </c>
    </row>
    <row r="2633" spans="1:3" x14ac:dyDescent="0.35">
      <c r="A2633" t="s">
        <v>213</v>
      </c>
      <c r="B2633" t="s">
        <v>35</v>
      </c>
      <c r="C2633" t="s">
        <v>2891</v>
      </c>
    </row>
    <row r="2634" spans="1:3" x14ac:dyDescent="0.35">
      <c r="A2634" t="s">
        <v>213</v>
      </c>
      <c r="B2634" t="s">
        <v>35</v>
      </c>
      <c r="C2634" t="s">
        <v>2892</v>
      </c>
    </row>
    <row r="2635" spans="1:3" x14ac:dyDescent="0.35">
      <c r="A2635" t="s">
        <v>213</v>
      </c>
      <c r="B2635" t="s">
        <v>35</v>
      </c>
      <c r="C2635" t="s">
        <v>2893</v>
      </c>
    </row>
    <row r="2636" spans="1:3" x14ac:dyDescent="0.35">
      <c r="A2636" t="s">
        <v>213</v>
      </c>
      <c r="B2636" t="s">
        <v>35</v>
      </c>
      <c r="C2636" t="s">
        <v>2894</v>
      </c>
    </row>
    <row r="2637" spans="1:3" x14ac:dyDescent="0.35">
      <c r="A2637" t="s">
        <v>213</v>
      </c>
      <c r="B2637" t="s">
        <v>35</v>
      </c>
      <c r="C2637" t="s">
        <v>2895</v>
      </c>
    </row>
    <row r="2638" spans="1:3" x14ac:dyDescent="0.35">
      <c r="A2638" t="s">
        <v>213</v>
      </c>
      <c r="B2638" t="s">
        <v>35</v>
      </c>
      <c r="C2638" t="s">
        <v>2896</v>
      </c>
    </row>
    <row r="2639" spans="1:3" x14ac:dyDescent="0.35">
      <c r="A2639" t="s">
        <v>213</v>
      </c>
      <c r="B2639" t="s">
        <v>35</v>
      </c>
      <c r="C2639" t="s">
        <v>2897</v>
      </c>
    </row>
    <row r="2640" spans="1:3" x14ac:dyDescent="0.35">
      <c r="A2640" t="s">
        <v>213</v>
      </c>
      <c r="B2640" t="s">
        <v>35</v>
      </c>
      <c r="C2640" t="s">
        <v>2898</v>
      </c>
    </row>
    <row r="2641" spans="1:3" x14ac:dyDescent="0.35">
      <c r="A2641" t="s">
        <v>213</v>
      </c>
      <c r="B2641" t="s">
        <v>35</v>
      </c>
      <c r="C2641" t="s">
        <v>2899</v>
      </c>
    </row>
    <row r="2642" spans="1:3" x14ac:dyDescent="0.35">
      <c r="A2642" t="s">
        <v>213</v>
      </c>
      <c r="B2642" t="s">
        <v>35</v>
      </c>
      <c r="C2642" t="s">
        <v>2900</v>
      </c>
    </row>
    <row r="2643" spans="1:3" x14ac:dyDescent="0.35">
      <c r="A2643" t="s">
        <v>213</v>
      </c>
      <c r="B2643" t="s">
        <v>35</v>
      </c>
      <c r="C2643" t="s">
        <v>2901</v>
      </c>
    </row>
    <row r="2644" spans="1:3" x14ac:dyDescent="0.35">
      <c r="A2644" t="s">
        <v>213</v>
      </c>
      <c r="B2644" t="s">
        <v>35</v>
      </c>
      <c r="C2644" t="s">
        <v>2902</v>
      </c>
    </row>
    <row r="2645" spans="1:3" x14ac:dyDescent="0.35">
      <c r="A2645" t="s">
        <v>213</v>
      </c>
      <c r="B2645" t="s">
        <v>35</v>
      </c>
      <c r="C2645" t="s">
        <v>2903</v>
      </c>
    </row>
    <row r="2646" spans="1:3" x14ac:dyDescent="0.35">
      <c r="A2646" t="s">
        <v>213</v>
      </c>
      <c r="B2646" t="s">
        <v>35</v>
      </c>
      <c r="C2646" t="s">
        <v>2904</v>
      </c>
    </row>
    <row r="2647" spans="1:3" x14ac:dyDescent="0.35">
      <c r="A2647" t="s">
        <v>213</v>
      </c>
      <c r="B2647" t="s">
        <v>35</v>
      </c>
      <c r="C2647" t="s">
        <v>2905</v>
      </c>
    </row>
    <row r="2648" spans="1:3" x14ac:dyDescent="0.35">
      <c r="A2648" t="s">
        <v>213</v>
      </c>
      <c r="B2648" t="s">
        <v>35</v>
      </c>
      <c r="C2648" t="s">
        <v>2906</v>
      </c>
    </row>
    <row r="2649" spans="1:3" x14ac:dyDescent="0.35">
      <c r="A2649" t="s">
        <v>213</v>
      </c>
      <c r="B2649" t="s">
        <v>35</v>
      </c>
      <c r="C2649" t="s">
        <v>2907</v>
      </c>
    </row>
    <row r="2650" spans="1:3" x14ac:dyDescent="0.35">
      <c r="A2650" t="s">
        <v>213</v>
      </c>
      <c r="B2650" t="s">
        <v>35</v>
      </c>
      <c r="C2650" t="s">
        <v>2908</v>
      </c>
    </row>
    <row r="2651" spans="1:3" x14ac:dyDescent="0.35">
      <c r="A2651" t="s">
        <v>213</v>
      </c>
      <c r="B2651" t="s">
        <v>35</v>
      </c>
      <c r="C2651" t="s">
        <v>2909</v>
      </c>
    </row>
    <row r="2652" spans="1:3" x14ac:dyDescent="0.35">
      <c r="A2652" t="s">
        <v>213</v>
      </c>
      <c r="B2652" t="s">
        <v>35</v>
      </c>
      <c r="C2652" t="s">
        <v>2910</v>
      </c>
    </row>
    <row r="2653" spans="1:3" x14ac:dyDescent="0.35">
      <c r="A2653" t="s">
        <v>213</v>
      </c>
      <c r="B2653" t="s">
        <v>35</v>
      </c>
      <c r="C2653" t="s">
        <v>2911</v>
      </c>
    </row>
    <row r="2654" spans="1:3" x14ac:dyDescent="0.35">
      <c r="A2654" t="s">
        <v>213</v>
      </c>
      <c r="B2654" t="s">
        <v>35</v>
      </c>
      <c r="C2654" t="s">
        <v>2912</v>
      </c>
    </row>
    <row r="2655" spans="1:3" x14ac:dyDescent="0.35">
      <c r="A2655" t="s">
        <v>213</v>
      </c>
      <c r="B2655" t="s">
        <v>35</v>
      </c>
      <c r="C2655" t="s">
        <v>2913</v>
      </c>
    </row>
    <row r="2656" spans="1:3" x14ac:dyDescent="0.35">
      <c r="A2656" t="s">
        <v>213</v>
      </c>
      <c r="B2656" t="s">
        <v>35</v>
      </c>
      <c r="C2656" t="s">
        <v>2914</v>
      </c>
    </row>
    <row r="2657" spans="1:3" x14ac:dyDescent="0.35">
      <c r="A2657" t="s">
        <v>213</v>
      </c>
      <c r="B2657" t="s">
        <v>35</v>
      </c>
      <c r="C2657" t="s">
        <v>2915</v>
      </c>
    </row>
    <row r="2658" spans="1:3" x14ac:dyDescent="0.35">
      <c r="A2658" t="s">
        <v>213</v>
      </c>
      <c r="B2658" t="s">
        <v>35</v>
      </c>
      <c r="C2658" t="s">
        <v>2916</v>
      </c>
    </row>
    <row r="2659" spans="1:3" x14ac:dyDescent="0.35">
      <c r="A2659" t="s">
        <v>213</v>
      </c>
      <c r="B2659" t="s">
        <v>35</v>
      </c>
      <c r="C2659" t="s">
        <v>2917</v>
      </c>
    </row>
    <row r="2660" spans="1:3" x14ac:dyDescent="0.35">
      <c r="A2660" t="s">
        <v>213</v>
      </c>
      <c r="B2660" t="s">
        <v>35</v>
      </c>
      <c r="C2660" t="s">
        <v>2918</v>
      </c>
    </row>
    <row r="2661" spans="1:3" x14ac:dyDescent="0.35">
      <c r="A2661" t="s">
        <v>213</v>
      </c>
      <c r="B2661" t="s">
        <v>35</v>
      </c>
      <c r="C2661" t="s">
        <v>2919</v>
      </c>
    </row>
    <row r="2662" spans="1:3" x14ac:dyDescent="0.35">
      <c r="A2662" t="s">
        <v>213</v>
      </c>
      <c r="B2662" t="s">
        <v>35</v>
      </c>
      <c r="C2662" t="s">
        <v>2920</v>
      </c>
    </row>
    <row r="2663" spans="1:3" x14ac:dyDescent="0.35">
      <c r="A2663" t="s">
        <v>213</v>
      </c>
      <c r="B2663" t="s">
        <v>35</v>
      </c>
      <c r="C2663" t="s">
        <v>2921</v>
      </c>
    </row>
    <row r="2664" spans="1:3" x14ac:dyDescent="0.35">
      <c r="A2664" t="s">
        <v>213</v>
      </c>
      <c r="B2664" t="s">
        <v>35</v>
      </c>
      <c r="C2664" t="s">
        <v>2922</v>
      </c>
    </row>
    <row r="2665" spans="1:3" x14ac:dyDescent="0.35">
      <c r="A2665" t="s">
        <v>213</v>
      </c>
      <c r="B2665" t="s">
        <v>35</v>
      </c>
      <c r="C2665" t="s">
        <v>2923</v>
      </c>
    </row>
    <row r="2666" spans="1:3" x14ac:dyDescent="0.35">
      <c r="A2666" t="s">
        <v>213</v>
      </c>
      <c r="B2666" t="s">
        <v>35</v>
      </c>
      <c r="C2666" t="s">
        <v>2924</v>
      </c>
    </row>
    <row r="2667" spans="1:3" x14ac:dyDescent="0.35">
      <c r="A2667" t="s">
        <v>213</v>
      </c>
      <c r="B2667" t="s">
        <v>35</v>
      </c>
      <c r="C2667" t="s">
        <v>2925</v>
      </c>
    </row>
    <row r="2668" spans="1:3" x14ac:dyDescent="0.35">
      <c r="A2668" t="s">
        <v>213</v>
      </c>
      <c r="B2668" t="s">
        <v>35</v>
      </c>
      <c r="C2668" t="s">
        <v>2926</v>
      </c>
    </row>
    <row r="2669" spans="1:3" x14ac:dyDescent="0.35">
      <c r="A2669" t="s">
        <v>213</v>
      </c>
      <c r="B2669" t="s">
        <v>35</v>
      </c>
      <c r="C2669" t="s">
        <v>2927</v>
      </c>
    </row>
    <row r="2670" spans="1:3" x14ac:dyDescent="0.35">
      <c r="A2670" t="s">
        <v>213</v>
      </c>
      <c r="B2670" t="s">
        <v>35</v>
      </c>
      <c r="C2670" t="s">
        <v>2928</v>
      </c>
    </row>
    <row r="2671" spans="1:3" x14ac:dyDescent="0.35">
      <c r="A2671" t="s">
        <v>213</v>
      </c>
      <c r="B2671" t="s">
        <v>35</v>
      </c>
      <c r="C2671" t="s">
        <v>2929</v>
      </c>
    </row>
    <row r="2672" spans="1:3" x14ac:dyDescent="0.35">
      <c r="A2672" t="s">
        <v>213</v>
      </c>
      <c r="B2672" t="s">
        <v>35</v>
      </c>
      <c r="C2672" t="s">
        <v>2930</v>
      </c>
    </row>
    <row r="2673" spans="1:3" x14ac:dyDescent="0.35">
      <c r="A2673" t="s">
        <v>213</v>
      </c>
      <c r="B2673" t="s">
        <v>35</v>
      </c>
      <c r="C2673" t="s">
        <v>2931</v>
      </c>
    </row>
    <row r="2674" spans="1:3" x14ac:dyDescent="0.35">
      <c r="A2674" t="s">
        <v>213</v>
      </c>
      <c r="B2674" t="s">
        <v>35</v>
      </c>
      <c r="C2674" t="s">
        <v>2932</v>
      </c>
    </row>
    <row r="2675" spans="1:3" x14ac:dyDescent="0.35">
      <c r="A2675" t="s">
        <v>213</v>
      </c>
      <c r="B2675" t="s">
        <v>35</v>
      </c>
      <c r="C2675" t="s">
        <v>2933</v>
      </c>
    </row>
    <row r="2676" spans="1:3" x14ac:dyDescent="0.35">
      <c r="A2676" t="s">
        <v>213</v>
      </c>
      <c r="B2676" t="s">
        <v>35</v>
      </c>
      <c r="C2676" t="s">
        <v>2934</v>
      </c>
    </row>
    <row r="2677" spans="1:3" x14ac:dyDescent="0.35">
      <c r="A2677" t="s">
        <v>213</v>
      </c>
      <c r="B2677" t="s">
        <v>35</v>
      </c>
      <c r="C2677" t="s">
        <v>2935</v>
      </c>
    </row>
    <row r="2678" spans="1:3" x14ac:dyDescent="0.35">
      <c r="A2678" t="s">
        <v>213</v>
      </c>
      <c r="B2678" t="s">
        <v>35</v>
      </c>
      <c r="C2678" t="s">
        <v>2936</v>
      </c>
    </row>
    <row r="2679" spans="1:3" x14ac:dyDescent="0.35">
      <c r="A2679" t="s">
        <v>213</v>
      </c>
      <c r="B2679" t="s">
        <v>35</v>
      </c>
      <c r="C2679" t="s">
        <v>2937</v>
      </c>
    </row>
    <row r="2680" spans="1:3" x14ac:dyDescent="0.35">
      <c r="A2680" t="s">
        <v>213</v>
      </c>
      <c r="B2680" t="s">
        <v>35</v>
      </c>
      <c r="C2680" t="s">
        <v>2938</v>
      </c>
    </row>
    <row r="2681" spans="1:3" x14ac:dyDescent="0.35">
      <c r="A2681" t="s">
        <v>213</v>
      </c>
      <c r="B2681" t="s">
        <v>35</v>
      </c>
      <c r="C2681" t="s">
        <v>2939</v>
      </c>
    </row>
    <row r="2682" spans="1:3" x14ac:dyDescent="0.35">
      <c r="A2682" t="s">
        <v>213</v>
      </c>
      <c r="B2682" t="s">
        <v>35</v>
      </c>
      <c r="C2682" t="s">
        <v>2940</v>
      </c>
    </row>
    <row r="2683" spans="1:3" x14ac:dyDescent="0.35">
      <c r="A2683" t="s">
        <v>213</v>
      </c>
      <c r="B2683" t="s">
        <v>35</v>
      </c>
      <c r="C2683" t="s">
        <v>2941</v>
      </c>
    </row>
    <row r="2684" spans="1:3" x14ac:dyDescent="0.35">
      <c r="A2684" t="s">
        <v>213</v>
      </c>
      <c r="B2684" t="s">
        <v>35</v>
      </c>
      <c r="C2684" t="s">
        <v>2942</v>
      </c>
    </row>
    <row r="2685" spans="1:3" x14ac:dyDescent="0.35">
      <c r="A2685" t="s">
        <v>213</v>
      </c>
      <c r="B2685" t="s">
        <v>35</v>
      </c>
      <c r="C2685" t="s">
        <v>2943</v>
      </c>
    </row>
    <row r="2686" spans="1:3" x14ac:dyDescent="0.35">
      <c r="A2686" t="s">
        <v>213</v>
      </c>
      <c r="B2686" t="s">
        <v>35</v>
      </c>
      <c r="C2686" t="s">
        <v>2944</v>
      </c>
    </row>
    <row r="2687" spans="1:3" x14ac:dyDescent="0.35">
      <c r="A2687" t="s">
        <v>213</v>
      </c>
      <c r="B2687" t="s">
        <v>35</v>
      </c>
      <c r="C2687" t="s">
        <v>2945</v>
      </c>
    </row>
    <row r="2688" spans="1:3" x14ac:dyDescent="0.35">
      <c r="A2688" t="s">
        <v>213</v>
      </c>
      <c r="B2688" t="s">
        <v>35</v>
      </c>
      <c r="C2688" t="s">
        <v>2946</v>
      </c>
    </row>
    <row r="2689" spans="1:3" x14ac:dyDescent="0.35">
      <c r="A2689" t="s">
        <v>213</v>
      </c>
      <c r="B2689" t="s">
        <v>35</v>
      </c>
      <c r="C2689" t="s">
        <v>2947</v>
      </c>
    </row>
    <row r="2690" spans="1:3" x14ac:dyDescent="0.35">
      <c r="A2690" t="s">
        <v>213</v>
      </c>
      <c r="B2690" t="s">
        <v>35</v>
      </c>
      <c r="C2690" t="s">
        <v>2948</v>
      </c>
    </row>
    <row r="2691" spans="1:3" x14ac:dyDescent="0.35">
      <c r="A2691" t="s">
        <v>213</v>
      </c>
      <c r="B2691" t="s">
        <v>35</v>
      </c>
      <c r="C2691" t="s">
        <v>2949</v>
      </c>
    </row>
    <row r="2692" spans="1:3" x14ac:dyDescent="0.35">
      <c r="A2692" t="s">
        <v>213</v>
      </c>
      <c r="B2692" t="s">
        <v>35</v>
      </c>
      <c r="C2692" t="s">
        <v>2950</v>
      </c>
    </row>
    <row r="2693" spans="1:3" x14ac:dyDescent="0.35">
      <c r="A2693" t="s">
        <v>213</v>
      </c>
      <c r="B2693" t="s">
        <v>35</v>
      </c>
      <c r="C2693" t="s">
        <v>2951</v>
      </c>
    </row>
    <row r="2694" spans="1:3" x14ac:dyDescent="0.35">
      <c r="A2694" t="s">
        <v>213</v>
      </c>
      <c r="B2694" t="s">
        <v>35</v>
      </c>
      <c r="C2694" t="s">
        <v>2952</v>
      </c>
    </row>
    <row r="2695" spans="1:3" x14ac:dyDescent="0.35">
      <c r="A2695" t="s">
        <v>213</v>
      </c>
      <c r="B2695" t="s">
        <v>35</v>
      </c>
      <c r="C2695" t="s">
        <v>2953</v>
      </c>
    </row>
    <row r="2696" spans="1:3" x14ac:dyDescent="0.35">
      <c r="A2696" t="s">
        <v>213</v>
      </c>
      <c r="B2696" t="s">
        <v>35</v>
      </c>
      <c r="C2696" t="s">
        <v>2954</v>
      </c>
    </row>
    <row r="2697" spans="1:3" x14ac:dyDescent="0.35">
      <c r="A2697" t="s">
        <v>213</v>
      </c>
      <c r="B2697" t="s">
        <v>35</v>
      </c>
      <c r="C2697" t="s">
        <v>2955</v>
      </c>
    </row>
    <row r="2698" spans="1:3" x14ac:dyDescent="0.35">
      <c r="A2698" t="s">
        <v>213</v>
      </c>
      <c r="B2698" t="s">
        <v>35</v>
      </c>
      <c r="C2698" t="s">
        <v>2956</v>
      </c>
    </row>
    <row r="2699" spans="1:3" x14ac:dyDescent="0.35">
      <c r="A2699" t="s">
        <v>213</v>
      </c>
      <c r="B2699" t="s">
        <v>35</v>
      </c>
      <c r="C2699" t="s">
        <v>2957</v>
      </c>
    </row>
    <row r="2700" spans="1:3" x14ac:dyDescent="0.35">
      <c r="A2700" t="s">
        <v>213</v>
      </c>
      <c r="B2700" t="s">
        <v>35</v>
      </c>
      <c r="C2700" t="s">
        <v>2958</v>
      </c>
    </row>
    <row r="2701" spans="1:3" x14ac:dyDescent="0.35">
      <c r="A2701" t="s">
        <v>213</v>
      </c>
      <c r="B2701" t="s">
        <v>35</v>
      </c>
      <c r="C2701" t="s">
        <v>2959</v>
      </c>
    </row>
    <row r="2702" spans="1:3" x14ac:dyDescent="0.35">
      <c r="A2702" t="s">
        <v>213</v>
      </c>
      <c r="B2702" t="s">
        <v>35</v>
      </c>
      <c r="C2702" t="s">
        <v>2960</v>
      </c>
    </row>
    <row r="2703" spans="1:3" x14ac:dyDescent="0.35">
      <c r="A2703" t="s">
        <v>213</v>
      </c>
      <c r="B2703" t="s">
        <v>35</v>
      </c>
      <c r="C2703" t="s">
        <v>2961</v>
      </c>
    </row>
    <row r="2704" spans="1:3" x14ac:dyDescent="0.35">
      <c r="A2704" t="s">
        <v>213</v>
      </c>
      <c r="B2704" t="s">
        <v>35</v>
      </c>
      <c r="C2704" t="s">
        <v>2962</v>
      </c>
    </row>
    <row r="2705" spans="1:3" x14ac:dyDescent="0.35">
      <c r="A2705" t="s">
        <v>213</v>
      </c>
      <c r="B2705" t="s">
        <v>35</v>
      </c>
      <c r="C2705" t="s">
        <v>2963</v>
      </c>
    </row>
    <row r="2706" spans="1:3" x14ac:dyDescent="0.35">
      <c r="A2706" t="s">
        <v>213</v>
      </c>
      <c r="B2706" t="s">
        <v>35</v>
      </c>
      <c r="C2706" t="s">
        <v>2964</v>
      </c>
    </row>
    <row r="2707" spans="1:3" x14ac:dyDescent="0.35">
      <c r="A2707" t="s">
        <v>213</v>
      </c>
      <c r="B2707" t="s">
        <v>35</v>
      </c>
      <c r="C2707" t="s">
        <v>2965</v>
      </c>
    </row>
    <row r="2708" spans="1:3" x14ac:dyDescent="0.35">
      <c r="A2708" t="s">
        <v>213</v>
      </c>
      <c r="B2708" t="s">
        <v>35</v>
      </c>
      <c r="C2708" t="s">
        <v>2966</v>
      </c>
    </row>
    <row r="2709" spans="1:3" x14ac:dyDescent="0.35">
      <c r="A2709" t="s">
        <v>213</v>
      </c>
      <c r="B2709" t="s">
        <v>35</v>
      </c>
      <c r="C2709" t="s">
        <v>2967</v>
      </c>
    </row>
    <row r="2710" spans="1:3" x14ac:dyDescent="0.35">
      <c r="A2710" t="s">
        <v>213</v>
      </c>
      <c r="B2710" t="s">
        <v>35</v>
      </c>
      <c r="C2710" t="s">
        <v>2968</v>
      </c>
    </row>
    <row r="2711" spans="1:3" x14ac:dyDescent="0.35">
      <c r="A2711" t="s">
        <v>213</v>
      </c>
      <c r="B2711" t="s">
        <v>35</v>
      </c>
      <c r="C2711" t="s">
        <v>2969</v>
      </c>
    </row>
    <row r="2712" spans="1:3" x14ac:dyDescent="0.35">
      <c r="A2712" t="s">
        <v>213</v>
      </c>
      <c r="B2712" t="s">
        <v>35</v>
      </c>
      <c r="C2712" t="s">
        <v>2970</v>
      </c>
    </row>
    <row r="2713" spans="1:3" x14ac:dyDescent="0.35">
      <c r="A2713" t="s">
        <v>213</v>
      </c>
      <c r="B2713" t="s">
        <v>35</v>
      </c>
      <c r="C2713" t="s">
        <v>2971</v>
      </c>
    </row>
    <row r="2714" spans="1:3" x14ac:dyDescent="0.35">
      <c r="A2714" t="s">
        <v>213</v>
      </c>
      <c r="B2714" t="s">
        <v>35</v>
      </c>
      <c r="C2714" t="s">
        <v>2972</v>
      </c>
    </row>
    <row r="2715" spans="1:3" x14ac:dyDescent="0.35">
      <c r="A2715" t="s">
        <v>213</v>
      </c>
      <c r="B2715" t="s">
        <v>35</v>
      </c>
      <c r="C2715" t="s">
        <v>2973</v>
      </c>
    </row>
    <row r="2716" spans="1:3" x14ac:dyDescent="0.35">
      <c r="A2716" t="s">
        <v>213</v>
      </c>
      <c r="B2716" t="s">
        <v>35</v>
      </c>
      <c r="C2716" t="s">
        <v>2974</v>
      </c>
    </row>
    <row r="2717" spans="1:3" x14ac:dyDescent="0.35">
      <c r="A2717" t="s">
        <v>213</v>
      </c>
      <c r="B2717" t="s">
        <v>35</v>
      </c>
      <c r="C2717" t="s">
        <v>2975</v>
      </c>
    </row>
    <row r="2718" spans="1:3" x14ac:dyDescent="0.35">
      <c r="A2718" t="s">
        <v>213</v>
      </c>
      <c r="B2718" t="s">
        <v>35</v>
      </c>
      <c r="C2718" t="s">
        <v>2976</v>
      </c>
    </row>
    <row r="2719" spans="1:3" x14ac:dyDescent="0.35">
      <c r="A2719" t="s">
        <v>213</v>
      </c>
      <c r="B2719" t="s">
        <v>35</v>
      </c>
      <c r="C2719" t="s">
        <v>2977</v>
      </c>
    </row>
    <row r="2720" spans="1:3" x14ac:dyDescent="0.35">
      <c r="A2720" t="s">
        <v>213</v>
      </c>
      <c r="B2720" t="s">
        <v>35</v>
      </c>
      <c r="C2720" t="s">
        <v>2978</v>
      </c>
    </row>
    <row r="2721" spans="1:3" x14ac:dyDescent="0.35">
      <c r="A2721" t="s">
        <v>213</v>
      </c>
      <c r="B2721" t="s">
        <v>35</v>
      </c>
      <c r="C2721" t="s">
        <v>2979</v>
      </c>
    </row>
    <row r="2722" spans="1:3" x14ac:dyDescent="0.35">
      <c r="A2722" t="s">
        <v>213</v>
      </c>
      <c r="B2722" t="s">
        <v>35</v>
      </c>
      <c r="C2722" t="s">
        <v>2980</v>
      </c>
    </row>
    <row r="2723" spans="1:3" x14ac:dyDescent="0.35">
      <c r="A2723" t="s">
        <v>213</v>
      </c>
      <c r="B2723" t="s">
        <v>35</v>
      </c>
      <c r="C2723" t="s">
        <v>2981</v>
      </c>
    </row>
    <row r="2724" spans="1:3" x14ac:dyDescent="0.35">
      <c r="A2724" t="s">
        <v>213</v>
      </c>
      <c r="B2724" t="s">
        <v>35</v>
      </c>
      <c r="C2724" t="s">
        <v>2982</v>
      </c>
    </row>
    <row r="2725" spans="1:3" x14ac:dyDescent="0.35">
      <c r="A2725" t="s">
        <v>213</v>
      </c>
      <c r="B2725" t="s">
        <v>35</v>
      </c>
      <c r="C2725" t="s">
        <v>2983</v>
      </c>
    </row>
    <row r="2726" spans="1:3" x14ac:dyDescent="0.35">
      <c r="A2726" t="s">
        <v>213</v>
      </c>
      <c r="B2726" t="s">
        <v>35</v>
      </c>
      <c r="C2726" t="s">
        <v>2984</v>
      </c>
    </row>
    <row r="2727" spans="1:3" x14ac:dyDescent="0.35">
      <c r="A2727" t="s">
        <v>213</v>
      </c>
      <c r="B2727" t="s">
        <v>35</v>
      </c>
      <c r="C2727" t="s">
        <v>2985</v>
      </c>
    </row>
    <row r="2728" spans="1:3" x14ac:dyDescent="0.35">
      <c r="A2728" t="s">
        <v>213</v>
      </c>
      <c r="B2728" t="s">
        <v>35</v>
      </c>
      <c r="C2728" t="s">
        <v>2986</v>
      </c>
    </row>
    <row r="2729" spans="1:3" x14ac:dyDescent="0.35">
      <c r="A2729" t="s">
        <v>213</v>
      </c>
      <c r="B2729" t="s">
        <v>35</v>
      </c>
      <c r="C2729" t="s">
        <v>2987</v>
      </c>
    </row>
    <row r="2730" spans="1:3" x14ac:dyDescent="0.35">
      <c r="A2730" t="s">
        <v>213</v>
      </c>
      <c r="B2730" t="s">
        <v>35</v>
      </c>
      <c r="C2730" t="s">
        <v>2988</v>
      </c>
    </row>
    <row r="2731" spans="1:3" x14ac:dyDescent="0.35">
      <c r="A2731" t="s">
        <v>213</v>
      </c>
      <c r="B2731" t="s">
        <v>35</v>
      </c>
      <c r="C2731" t="s">
        <v>2989</v>
      </c>
    </row>
    <row r="2732" spans="1:3" x14ac:dyDescent="0.35">
      <c r="A2732" t="s">
        <v>213</v>
      </c>
      <c r="B2732" t="s">
        <v>35</v>
      </c>
      <c r="C2732" t="s">
        <v>2990</v>
      </c>
    </row>
    <row r="2733" spans="1:3" x14ac:dyDescent="0.35">
      <c r="A2733" t="s">
        <v>213</v>
      </c>
      <c r="B2733" t="s">
        <v>35</v>
      </c>
      <c r="C2733" t="s">
        <v>2991</v>
      </c>
    </row>
    <row r="2734" spans="1:3" x14ac:dyDescent="0.35">
      <c r="A2734" t="s">
        <v>213</v>
      </c>
      <c r="B2734" t="s">
        <v>35</v>
      </c>
      <c r="C2734" t="s">
        <v>2992</v>
      </c>
    </row>
    <row r="2735" spans="1:3" x14ac:dyDescent="0.35">
      <c r="A2735" t="s">
        <v>213</v>
      </c>
      <c r="B2735" t="s">
        <v>35</v>
      </c>
      <c r="C2735" t="s">
        <v>2993</v>
      </c>
    </row>
    <row r="2736" spans="1:3" x14ac:dyDescent="0.35">
      <c r="A2736" t="s">
        <v>213</v>
      </c>
      <c r="B2736" t="s">
        <v>35</v>
      </c>
      <c r="C2736" t="s">
        <v>2994</v>
      </c>
    </row>
    <row r="2737" spans="1:3" x14ac:dyDescent="0.35">
      <c r="A2737" t="s">
        <v>213</v>
      </c>
      <c r="B2737" t="s">
        <v>35</v>
      </c>
      <c r="C2737" t="s">
        <v>2995</v>
      </c>
    </row>
    <row r="2738" spans="1:3" x14ac:dyDescent="0.35">
      <c r="A2738" t="s">
        <v>213</v>
      </c>
      <c r="B2738" t="s">
        <v>35</v>
      </c>
      <c r="C2738" t="s">
        <v>2996</v>
      </c>
    </row>
    <row r="2739" spans="1:3" x14ac:dyDescent="0.35">
      <c r="A2739" t="s">
        <v>213</v>
      </c>
      <c r="B2739" t="s">
        <v>35</v>
      </c>
      <c r="C2739" t="s">
        <v>2997</v>
      </c>
    </row>
    <row r="2740" spans="1:3" x14ac:dyDescent="0.35">
      <c r="A2740" t="s">
        <v>213</v>
      </c>
      <c r="B2740" t="s">
        <v>35</v>
      </c>
      <c r="C2740" t="s">
        <v>2998</v>
      </c>
    </row>
    <row r="2741" spans="1:3" x14ac:dyDescent="0.35">
      <c r="A2741" t="s">
        <v>213</v>
      </c>
      <c r="B2741" t="s">
        <v>35</v>
      </c>
      <c r="C2741" t="s">
        <v>2999</v>
      </c>
    </row>
    <row r="2742" spans="1:3" x14ac:dyDescent="0.35">
      <c r="A2742" t="s">
        <v>213</v>
      </c>
      <c r="B2742" t="s">
        <v>35</v>
      </c>
      <c r="C2742" t="s">
        <v>3000</v>
      </c>
    </row>
    <row r="2743" spans="1:3" x14ac:dyDescent="0.35">
      <c r="A2743" t="s">
        <v>213</v>
      </c>
      <c r="B2743" t="s">
        <v>35</v>
      </c>
      <c r="C2743" t="s">
        <v>3001</v>
      </c>
    </row>
    <row r="2744" spans="1:3" x14ac:dyDescent="0.35">
      <c r="A2744" t="s">
        <v>213</v>
      </c>
      <c r="B2744" t="s">
        <v>35</v>
      </c>
      <c r="C2744" t="s">
        <v>3002</v>
      </c>
    </row>
    <row r="2745" spans="1:3" x14ac:dyDescent="0.35">
      <c r="A2745" t="s">
        <v>213</v>
      </c>
      <c r="B2745" t="s">
        <v>35</v>
      </c>
      <c r="C2745" t="s">
        <v>3003</v>
      </c>
    </row>
    <row r="2746" spans="1:3" x14ac:dyDescent="0.35">
      <c r="A2746" t="s">
        <v>213</v>
      </c>
      <c r="B2746" t="s">
        <v>35</v>
      </c>
      <c r="C2746" t="s">
        <v>3004</v>
      </c>
    </row>
    <row r="2747" spans="1:3" x14ac:dyDescent="0.35">
      <c r="A2747" t="s">
        <v>213</v>
      </c>
      <c r="B2747" t="s">
        <v>35</v>
      </c>
      <c r="C2747" t="s">
        <v>3005</v>
      </c>
    </row>
    <row r="2748" spans="1:3" x14ac:dyDescent="0.35">
      <c r="A2748" t="s">
        <v>213</v>
      </c>
      <c r="B2748" t="s">
        <v>35</v>
      </c>
      <c r="C2748" t="s">
        <v>3006</v>
      </c>
    </row>
    <row r="2749" spans="1:3" x14ac:dyDescent="0.35">
      <c r="A2749" t="s">
        <v>213</v>
      </c>
      <c r="B2749" t="s">
        <v>35</v>
      </c>
      <c r="C2749" t="s">
        <v>3007</v>
      </c>
    </row>
    <row r="2750" spans="1:3" x14ac:dyDescent="0.35">
      <c r="A2750" t="s">
        <v>213</v>
      </c>
      <c r="B2750" t="s">
        <v>35</v>
      </c>
      <c r="C2750" t="s">
        <v>3008</v>
      </c>
    </row>
    <row r="2751" spans="1:3" x14ac:dyDescent="0.35">
      <c r="A2751" t="s">
        <v>213</v>
      </c>
      <c r="B2751" t="s">
        <v>35</v>
      </c>
      <c r="C2751" t="s">
        <v>3009</v>
      </c>
    </row>
    <row r="2752" spans="1:3" x14ac:dyDescent="0.35">
      <c r="A2752" t="s">
        <v>213</v>
      </c>
      <c r="B2752" t="s">
        <v>35</v>
      </c>
      <c r="C2752" t="s">
        <v>3010</v>
      </c>
    </row>
    <row r="2753" spans="1:3" x14ac:dyDescent="0.35">
      <c r="A2753" t="s">
        <v>213</v>
      </c>
      <c r="B2753" t="s">
        <v>35</v>
      </c>
      <c r="C2753" t="s">
        <v>3011</v>
      </c>
    </row>
    <row r="2754" spans="1:3" x14ac:dyDescent="0.35">
      <c r="A2754" t="s">
        <v>213</v>
      </c>
      <c r="B2754" t="s">
        <v>35</v>
      </c>
      <c r="C2754" t="s">
        <v>3012</v>
      </c>
    </row>
    <row r="2755" spans="1:3" x14ac:dyDescent="0.35">
      <c r="A2755" t="s">
        <v>213</v>
      </c>
      <c r="B2755" t="s">
        <v>35</v>
      </c>
      <c r="C2755" t="s">
        <v>3013</v>
      </c>
    </row>
    <row r="2756" spans="1:3" x14ac:dyDescent="0.35">
      <c r="A2756" t="s">
        <v>213</v>
      </c>
      <c r="B2756" t="s">
        <v>35</v>
      </c>
      <c r="C2756" t="s">
        <v>3014</v>
      </c>
    </row>
    <row r="2757" spans="1:3" x14ac:dyDescent="0.35">
      <c r="A2757" t="s">
        <v>213</v>
      </c>
      <c r="B2757" t="s">
        <v>35</v>
      </c>
      <c r="C2757" t="s">
        <v>3015</v>
      </c>
    </row>
    <row r="2758" spans="1:3" x14ac:dyDescent="0.35">
      <c r="A2758" t="s">
        <v>213</v>
      </c>
      <c r="B2758" t="s">
        <v>35</v>
      </c>
      <c r="C2758" t="s">
        <v>3016</v>
      </c>
    </row>
    <row r="2759" spans="1:3" x14ac:dyDescent="0.35">
      <c r="A2759" t="s">
        <v>213</v>
      </c>
      <c r="B2759" t="s">
        <v>35</v>
      </c>
      <c r="C2759" t="s">
        <v>3017</v>
      </c>
    </row>
    <row r="2760" spans="1:3" x14ac:dyDescent="0.35">
      <c r="A2760" t="s">
        <v>213</v>
      </c>
      <c r="B2760" t="s">
        <v>35</v>
      </c>
      <c r="C2760" t="s">
        <v>3018</v>
      </c>
    </row>
    <row r="2761" spans="1:3" x14ac:dyDescent="0.35">
      <c r="A2761" t="s">
        <v>213</v>
      </c>
      <c r="B2761" t="s">
        <v>35</v>
      </c>
      <c r="C2761" t="s">
        <v>3019</v>
      </c>
    </row>
    <row r="2762" spans="1:3" x14ac:dyDescent="0.35">
      <c r="A2762" t="s">
        <v>213</v>
      </c>
      <c r="B2762" t="s">
        <v>35</v>
      </c>
      <c r="C2762" t="s">
        <v>3020</v>
      </c>
    </row>
    <row r="2763" spans="1:3" x14ac:dyDescent="0.35">
      <c r="A2763" t="s">
        <v>213</v>
      </c>
      <c r="B2763" t="s">
        <v>35</v>
      </c>
      <c r="C2763" t="s">
        <v>3021</v>
      </c>
    </row>
    <row r="2764" spans="1:3" x14ac:dyDescent="0.35">
      <c r="A2764" t="s">
        <v>213</v>
      </c>
      <c r="B2764" t="s">
        <v>35</v>
      </c>
      <c r="C2764" t="s">
        <v>3022</v>
      </c>
    </row>
    <row r="2765" spans="1:3" x14ac:dyDescent="0.35">
      <c r="A2765" t="s">
        <v>213</v>
      </c>
      <c r="B2765" t="s">
        <v>35</v>
      </c>
      <c r="C2765" t="s">
        <v>3023</v>
      </c>
    </row>
    <row r="2766" spans="1:3" x14ac:dyDescent="0.35">
      <c r="A2766" t="s">
        <v>213</v>
      </c>
      <c r="B2766" t="s">
        <v>35</v>
      </c>
      <c r="C2766" t="s">
        <v>3024</v>
      </c>
    </row>
    <row r="2767" spans="1:3" x14ac:dyDescent="0.35">
      <c r="A2767" t="s">
        <v>213</v>
      </c>
      <c r="B2767" t="s">
        <v>35</v>
      </c>
      <c r="C2767" t="s">
        <v>3025</v>
      </c>
    </row>
    <row r="2768" spans="1:3" x14ac:dyDescent="0.35">
      <c r="A2768" t="s">
        <v>213</v>
      </c>
      <c r="B2768" t="s">
        <v>35</v>
      </c>
      <c r="C2768" t="s">
        <v>3026</v>
      </c>
    </row>
    <row r="2769" spans="1:3" x14ac:dyDescent="0.35">
      <c r="A2769" t="s">
        <v>213</v>
      </c>
      <c r="B2769" t="s">
        <v>35</v>
      </c>
      <c r="C2769" t="s">
        <v>3027</v>
      </c>
    </row>
    <row r="2770" spans="1:3" x14ac:dyDescent="0.35">
      <c r="A2770" t="s">
        <v>213</v>
      </c>
      <c r="B2770" t="s">
        <v>35</v>
      </c>
      <c r="C2770" t="s">
        <v>3028</v>
      </c>
    </row>
    <row r="2771" spans="1:3" x14ac:dyDescent="0.35">
      <c r="A2771" t="s">
        <v>213</v>
      </c>
      <c r="B2771" t="s">
        <v>35</v>
      </c>
      <c r="C2771" t="s">
        <v>3029</v>
      </c>
    </row>
    <row r="2772" spans="1:3" x14ac:dyDescent="0.35">
      <c r="A2772" t="s">
        <v>213</v>
      </c>
      <c r="B2772" t="s">
        <v>35</v>
      </c>
      <c r="C2772" t="s">
        <v>3030</v>
      </c>
    </row>
    <row r="2773" spans="1:3" x14ac:dyDescent="0.35">
      <c r="A2773" t="s">
        <v>213</v>
      </c>
      <c r="B2773" t="s">
        <v>35</v>
      </c>
      <c r="C2773" t="s">
        <v>3031</v>
      </c>
    </row>
    <row r="2774" spans="1:3" x14ac:dyDescent="0.35">
      <c r="A2774" t="s">
        <v>213</v>
      </c>
      <c r="B2774" t="s">
        <v>35</v>
      </c>
      <c r="C2774" t="s">
        <v>3032</v>
      </c>
    </row>
    <row r="2775" spans="1:3" x14ac:dyDescent="0.35">
      <c r="A2775" t="s">
        <v>213</v>
      </c>
      <c r="B2775" t="s">
        <v>35</v>
      </c>
      <c r="C2775" t="s">
        <v>3033</v>
      </c>
    </row>
    <row r="2776" spans="1:3" x14ac:dyDescent="0.35">
      <c r="A2776" t="s">
        <v>213</v>
      </c>
      <c r="B2776" t="s">
        <v>35</v>
      </c>
      <c r="C2776" t="s">
        <v>3034</v>
      </c>
    </row>
    <row r="2777" spans="1:3" x14ac:dyDescent="0.35">
      <c r="A2777" t="s">
        <v>213</v>
      </c>
      <c r="B2777" t="s">
        <v>35</v>
      </c>
      <c r="C2777" t="s">
        <v>3035</v>
      </c>
    </row>
    <row r="2778" spans="1:3" x14ac:dyDescent="0.35">
      <c r="A2778" t="s">
        <v>213</v>
      </c>
      <c r="B2778" t="s">
        <v>35</v>
      </c>
      <c r="C2778" t="s">
        <v>3036</v>
      </c>
    </row>
    <row r="2779" spans="1:3" x14ac:dyDescent="0.35">
      <c r="A2779" t="s">
        <v>213</v>
      </c>
      <c r="B2779" t="s">
        <v>35</v>
      </c>
      <c r="C2779" t="s">
        <v>3037</v>
      </c>
    </row>
    <row r="2780" spans="1:3" x14ac:dyDescent="0.35">
      <c r="A2780" t="s">
        <v>213</v>
      </c>
      <c r="B2780" t="s">
        <v>35</v>
      </c>
      <c r="C2780" t="s">
        <v>3038</v>
      </c>
    </row>
    <row r="2781" spans="1:3" x14ac:dyDescent="0.35">
      <c r="A2781" t="s">
        <v>213</v>
      </c>
      <c r="B2781" t="s">
        <v>35</v>
      </c>
      <c r="C2781" t="s">
        <v>3039</v>
      </c>
    </row>
    <row r="2782" spans="1:3" x14ac:dyDescent="0.35">
      <c r="A2782" t="s">
        <v>213</v>
      </c>
      <c r="B2782" t="s">
        <v>35</v>
      </c>
      <c r="C2782" t="s">
        <v>3040</v>
      </c>
    </row>
    <row r="2783" spans="1:3" x14ac:dyDescent="0.35">
      <c r="A2783" t="s">
        <v>213</v>
      </c>
      <c r="B2783" t="s">
        <v>35</v>
      </c>
      <c r="C2783" t="s">
        <v>3041</v>
      </c>
    </row>
    <row r="2784" spans="1:3" x14ac:dyDescent="0.35">
      <c r="A2784" t="s">
        <v>213</v>
      </c>
      <c r="B2784" t="s">
        <v>35</v>
      </c>
      <c r="C2784" t="s">
        <v>3042</v>
      </c>
    </row>
    <row r="2785" spans="1:3" x14ac:dyDescent="0.35">
      <c r="A2785" t="s">
        <v>213</v>
      </c>
      <c r="B2785" t="s">
        <v>35</v>
      </c>
      <c r="C2785" t="s">
        <v>3043</v>
      </c>
    </row>
    <row r="2786" spans="1:3" x14ac:dyDescent="0.35">
      <c r="A2786" t="s">
        <v>213</v>
      </c>
      <c r="B2786" t="s">
        <v>35</v>
      </c>
      <c r="C2786" t="s">
        <v>3044</v>
      </c>
    </row>
    <row r="2787" spans="1:3" x14ac:dyDescent="0.35">
      <c r="A2787" t="s">
        <v>213</v>
      </c>
      <c r="B2787" t="s">
        <v>35</v>
      </c>
      <c r="C2787" t="s">
        <v>3045</v>
      </c>
    </row>
    <row r="2788" spans="1:3" x14ac:dyDescent="0.35">
      <c r="A2788" t="s">
        <v>213</v>
      </c>
      <c r="B2788" t="s">
        <v>35</v>
      </c>
      <c r="C2788" t="s">
        <v>3046</v>
      </c>
    </row>
    <row r="2789" spans="1:3" x14ac:dyDescent="0.35">
      <c r="A2789" t="s">
        <v>213</v>
      </c>
      <c r="B2789" t="s">
        <v>35</v>
      </c>
      <c r="C2789" t="s">
        <v>3047</v>
      </c>
    </row>
    <row r="2790" spans="1:3" x14ac:dyDescent="0.35">
      <c r="A2790" t="s">
        <v>213</v>
      </c>
      <c r="B2790" t="s">
        <v>35</v>
      </c>
      <c r="C2790" t="s">
        <v>3048</v>
      </c>
    </row>
    <row r="2791" spans="1:3" x14ac:dyDescent="0.35">
      <c r="A2791" t="s">
        <v>213</v>
      </c>
      <c r="B2791" t="s">
        <v>35</v>
      </c>
      <c r="C2791" t="s">
        <v>3049</v>
      </c>
    </row>
    <row r="2792" spans="1:3" x14ac:dyDescent="0.35">
      <c r="A2792" t="s">
        <v>213</v>
      </c>
      <c r="B2792" t="s">
        <v>46</v>
      </c>
      <c r="C2792" t="s">
        <v>3050</v>
      </c>
    </row>
    <row r="2793" spans="1:3" x14ac:dyDescent="0.35">
      <c r="A2793" t="s">
        <v>213</v>
      </c>
      <c r="B2793" t="s">
        <v>46</v>
      </c>
      <c r="C2793" t="s">
        <v>3051</v>
      </c>
    </row>
    <row r="2794" spans="1:3" x14ac:dyDescent="0.35">
      <c r="A2794" t="s">
        <v>213</v>
      </c>
      <c r="B2794" t="s">
        <v>46</v>
      </c>
      <c r="C2794" t="s">
        <v>3052</v>
      </c>
    </row>
    <row r="2795" spans="1:3" x14ac:dyDescent="0.35">
      <c r="A2795" t="s">
        <v>213</v>
      </c>
      <c r="B2795" t="s">
        <v>46</v>
      </c>
      <c r="C2795" t="s">
        <v>3053</v>
      </c>
    </row>
    <row r="2796" spans="1:3" x14ac:dyDescent="0.35">
      <c r="A2796" t="s">
        <v>213</v>
      </c>
      <c r="B2796" t="s">
        <v>46</v>
      </c>
      <c r="C2796" t="s">
        <v>3054</v>
      </c>
    </row>
    <row r="2797" spans="1:3" x14ac:dyDescent="0.35">
      <c r="A2797" t="s">
        <v>213</v>
      </c>
      <c r="B2797" t="s">
        <v>46</v>
      </c>
      <c r="C2797" t="s">
        <v>3055</v>
      </c>
    </row>
    <row r="2798" spans="1:3" x14ac:dyDescent="0.35">
      <c r="A2798" t="s">
        <v>213</v>
      </c>
      <c r="B2798" t="s">
        <v>46</v>
      </c>
      <c r="C2798" t="s">
        <v>3056</v>
      </c>
    </row>
    <row r="2799" spans="1:3" x14ac:dyDescent="0.35">
      <c r="A2799" t="s">
        <v>213</v>
      </c>
      <c r="B2799" t="s">
        <v>46</v>
      </c>
      <c r="C2799" t="s">
        <v>3057</v>
      </c>
    </row>
    <row r="2800" spans="1:3" x14ac:dyDescent="0.35">
      <c r="A2800" t="s">
        <v>213</v>
      </c>
      <c r="B2800" t="s">
        <v>46</v>
      </c>
      <c r="C2800" t="s">
        <v>3058</v>
      </c>
    </row>
    <row r="2801" spans="1:3" x14ac:dyDescent="0.35">
      <c r="A2801" t="s">
        <v>213</v>
      </c>
      <c r="B2801" t="s">
        <v>46</v>
      </c>
      <c r="C2801" t="s">
        <v>3059</v>
      </c>
    </row>
    <row r="2802" spans="1:3" x14ac:dyDescent="0.35">
      <c r="A2802" t="s">
        <v>213</v>
      </c>
      <c r="B2802" t="s">
        <v>46</v>
      </c>
      <c r="C2802" t="s">
        <v>3060</v>
      </c>
    </row>
    <row r="2803" spans="1:3" x14ac:dyDescent="0.35">
      <c r="A2803" t="s">
        <v>213</v>
      </c>
      <c r="B2803" t="s">
        <v>46</v>
      </c>
      <c r="C2803" t="s">
        <v>3061</v>
      </c>
    </row>
    <row r="2804" spans="1:3" x14ac:dyDescent="0.35">
      <c r="A2804" t="s">
        <v>213</v>
      </c>
      <c r="B2804" t="s">
        <v>46</v>
      </c>
      <c r="C2804" t="s">
        <v>3062</v>
      </c>
    </row>
    <row r="2805" spans="1:3" x14ac:dyDescent="0.35">
      <c r="A2805" t="s">
        <v>213</v>
      </c>
      <c r="B2805" t="s">
        <v>46</v>
      </c>
      <c r="C2805" t="s">
        <v>3063</v>
      </c>
    </row>
    <row r="2806" spans="1:3" x14ac:dyDescent="0.35">
      <c r="A2806" t="s">
        <v>213</v>
      </c>
      <c r="B2806" t="s">
        <v>46</v>
      </c>
      <c r="C2806" t="s">
        <v>3064</v>
      </c>
    </row>
    <row r="2807" spans="1:3" x14ac:dyDescent="0.35">
      <c r="A2807" t="s">
        <v>213</v>
      </c>
      <c r="B2807" t="s">
        <v>46</v>
      </c>
      <c r="C2807" t="s">
        <v>3065</v>
      </c>
    </row>
    <row r="2808" spans="1:3" x14ac:dyDescent="0.35">
      <c r="A2808" t="s">
        <v>213</v>
      </c>
      <c r="B2808" t="s">
        <v>46</v>
      </c>
      <c r="C2808" t="s">
        <v>3066</v>
      </c>
    </row>
    <row r="2809" spans="1:3" x14ac:dyDescent="0.35">
      <c r="A2809" t="s">
        <v>213</v>
      </c>
      <c r="B2809" t="s">
        <v>46</v>
      </c>
      <c r="C2809" t="s">
        <v>3067</v>
      </c>
    </row>
    <row r="2810" spans="1:3" x14ac:dyDescent="0.35">
      <c r="A2810" t="s">
        <v>213</v>
      </c>
      <c r="B2810" t="s">
        <v>46</v>
      </c>
      <c r="C2810" t="s">
        <v>3068</v>
      </c>
    </row>
    <row r="2811" spans="1:3" x14ac:dyDescent="0.35">
      <c r="A2811" t="s">
        <v>213</v>
      </c>
      <c r="B2811" t="s">
        <v>46</v>
      </c>
      <c r="C2811" t="s">
        <v>3069</v>
      </c>
    </row>
    <row r="2812" spans="1:3" x14ac:dyDescent="0.35">
      <c r="A2812" t="s">
        <v>213</v>
      </c>
      <c r="B2812" t="s">
        <v>46</v>
      </c>
      <c r="C2812" t="s">
        <v>3070</v>
      </c>
    </row>
    <row r="2813" spans="1:3" x14ac:dyDescent="0.35">
      <c r="A2813" t="s">
        <v>213</v>
      </c>
      <c r="B2813" t="s">
        <v>46</v>
      </c>
      <c r="C2813" t="s">
        <v>3071</v>
      </c>
    </row>
    <row r="2814" spans="1:3" x14ac:dyDescent="0.35">
      <c r="A2814" t="s">
        <v>213</v>
      </c>
      <c r="B2814" t="s">
        <v>46</v>
      </c>
      <c r="C2814" t="s">
        <v>3072</v>
      </c>
    </row>
    <row r="2815" spans="1:3" x14ac:dyDescent="0.35">
      <c r="A2815" t="s">
        <v>213</v>
      </c>
      <c r="B2815" t="s">
        <v>46</v>
      </c>
      <c r="C2815" t="s">
        <v>3073</v>
      </c>
    </row>
    <row r="2816" spans="1:3" x14ac:dyDescent="0.35">
      <c r="A2816" t="s">
        <v>213</v>
      </c>
      <c r="B2816" t="s">
        <v>46</v>
      </c>
      <c r="C2816" t="s">
        <v>3074</v>
      </c>
    </row>
    <row r="2817" spans="1:3" x14ac:dyDescent="0.35">
      <c r="A2817" t="s">
        <v>213</v>
      </c>
      <c r="B2817" t="s">
        <v>46</v>
      </c>
      <c r="C2817" t="s">
        <v>3075</v>
      </c>
    </row>
    <row r="2818" spans="1:3" x14ac:dyDescent="0.35">
      <c r="A2818" t="s">
        <v>213</v>
      </c>
      <c r="B2818" t="s">
        <v>46</v>
      </c>
      <c r="C2818" t="s">
        <v>3076</v>
      </c>
    </row>
    <row r="2819" spans="1:3" x14ac:dyDescent="0.35">
      <c r="A2819" t="s">
        <v>213</v>
      </c>
      <c r="B2819" t="s">
        <v>46</v>
      </c>
      <c r="C2819" t="s">
        <v>3077</v>
      </c>
    </row>
    <row r="2820" spans="1:3" x14ac:dyDescent="0.35">
      <c r="A2820" t="s">
        <v>213</v>
      </c>
      <c r="B2820" t="s">
        <v>46</v>
      </c>
      <c r="C2820" t="s">
        <v>46</v>
      </c>
    </row>
    <row r="2821" spans="1:3" x14ac:dyDescent="0.35">
      <c r="A2821" t="s">
        <v>213</v>
      </c>
      <c r="B2821" t="s">
        <v>46</v>
      </c>
      <c r="C2821" t="s">
        <v>3078</v>
      </c>
    </row>
    <row r="2822" spans="1:3" x14ac:dyDescent="0.35">
      <c r="A2822" t="s">
        <v>213</v>
      </c>
      <c r="B2822" t="s">
        <v>46</v>
      </c>
      <c r="C2822" t="s">
        <v>3079</v>
      </c>
    </row>
    <row r="2823" spans="1:3" x14ac:dyDescent="0.35">
      <c r="A2823" t="s">
        <v>213</v>
      </c>
      <c r="B2823" t="s">
        <v>46</v>
      </c>
      <c r="C2823" t="s">
        <v>3080</v>
      </c>
    </row>
    <row r="2824" spans="1:3" x14ac:dyDescent="0.35">
      <c r="A2824" t="s">
        <v>213</v>
      </c>
      <c r="B2824" t="s">
        <v>46</v>
      </c>
      <c r="C2824" t="s">
        <v>3081</v>
      </c>
    </row>
    <row r="2825" spans="1:3" x14ac:dyDescent="0.35">
      <c r="A2825" t="s">
        <v>213</v>
      </c>
      <c r="B2825" t="s">
        <v>46</v>
      </c>
      <c r="C2825" t="s">
        <v>3082</v>
      </c>
    </row>
    <row r="2826" spans="1:3" x14ac:dyDescent="0.35">
      <c r="A2826" t="s">
        <v>213</v>
      </c>
      <c r="B2826" t="s">
        <v>46</v>
      </c>
      <c r="C2826" t="s">
        <v>3083</v>
      </c>
    </row>
    <row r="2827" spans="1:3" x14ac:dyDescent="0.35">
      <c r="A2827" t="s">
        <v>213</v>
      </c>
      <c r="B2827" t="s">
        <v>46</v>
      </c>
      <c r="C2827" t="s">
        <v>3084</v>
      </c>
    </row>
    <row r="2828" spans="1:3" x14ac:dyDescent="0.35">
      <c r="A2828" t="s">
        <v>213</v>
      </c>
      <c r="B2828" t="s">
        <v>46</v>
      </c>
      <c r="C2828" t="s">
        <v>3085</v>
      </c>
    </row>
    <row r="2829" spans="1:3" x14ac:dyDescent="0.35">
      <c r="A2829" t="s">
        <v>213</v>
      </c>
      <c r="B2829" t="s">
        <v>46</v>
      </c>
      <c r="C2829" t="s">
        <v>3086</v>
      </c>
    </row>
    <row r="2830" spans="1:3" x14ac:dyDescent="0.35">
      <c r="A2830" t="s">
        <v>213</v>
      </c>
      <c r="B2830" t="s">
        <v>46</v>
      </c>
      <c r="C2830" t="s">
        <v>3087</v>
      </c>
    </row>
    <row r="2831" spans="1:3" x14ac:dyDescent="0.35">
      <c r="A2831" t="s">
        <v>213</v>
      </c>
      <c r="B2831" t="s">
        <v>46</v>
      </c>
      <c r="C2831" t="s">
        <v>3088</v>
      </c>
    </row>
    <row r="2832" spans="1:3" x14ac:dyDescent="0.35">
      <c r="A2832" t="s">
        <v>213</v>
      </c>
      <c r="B2832" t="s">
        <v>46</v>
      </c>
      <c r="C2832" t="s">
        <v>3089</v>
      </c>
    </row>
    <row r="2833" spans="1:3" x14ac:dyDescent="0.35">
      <c r="A2833" t="s">
        <v>213</v>
      </c>
      <c r="B2833" t="s">
        <v>46</v>
      </c>
      <c r="C2833" t="s">
        <v>3090</v>
      </c>
    </row>
    <row r="2834" spans="1:3" x14ac:dyDescent="0.35">
      <c r="A2834" t="s">
        <v>213</v>
      </c>
      <c r="B2834" t="s">
        <v>46</v>
      </c>
      <c r="C2834" t="s">
        <v>3091</v>
      </c>
    </row>
    <row r="2835" spans="1:3" x14ac:dyDescent="0.35">
      <c r="A2835" t="s">
        <v>213</v>
      </c>
      <c r="B2835" t="s">
        <v>46</v>
      </c>
      <c r="C2835" t="s">
        <v>3092</v>
      </c>
    </row>
    <row r="2836" spans="1:3" x14ac:dyDescent="0.35">
      <c r="A2836" t="s">
        <v>213</v>
      </c>
      <c r="B2836" t="s">
        <v>46</v>
      </c>
      <c r="C2836" t="s">
        <v>3093</v>
      </c>
    </row>
    <row r="2837" spans="1:3" x14ac:dyDescent="0.35">
      <c r="A2837" t="s">
        <v>213</v>
      </c>
      <c r="B2837" t="s">
        <v>46</v>
      </c>
      <c r="C2837" t="s">
        <v>3094</v>
      </c>
    </row>
    <row r="2838" spans="1:3" x14ac:dyDescent="0.35">
      <c r="A2838" t="s">
        <v>213</v>
      </c>
      <c r="B2838" t="s">
        <v>46</v>
      </c>
      <c r="C2838" t="s">
        <v>3095</v>
      </c>
    </row>
    <row r="2839" spans="1:3" x14ac:dyDescent="0.35">
      <c r="A2839" t="s">
        <v>213</v>
      </c>
      <c r="B2839" t="s">
        <v>46</v>
      </c>
      <c r="C2839" t="s">
        <v>3096</v>
      </c>
    </row>
    <row r="2840" spans="1:3" x14ac:dyDescent="0.35">
      <c r="A2840" t="s">
        <v>213</v>
      </c>
      <c r="B2840" t="s">
        <v>46</v>
      </c>
      <c r="C2840" t="s">
        <v>3097</v>
      </c>
    </row>
    <row r="2841" spans="1:3" x14ac:dyDescent="0.35">
      <c r="A2841" t="s">
        <v>213</v>
      </c>
      <c r="B2841" t="s">
        <v>46</v>
      </c>
      <c r="C2841" t="s">
        <v>3098</v>
      </c>
    </row>
    <row r="2842" spans="1:3" x14ac:dyDescent="0.35">
      <c r="A2842" t="s">
        <v>213</v>
      </c>
      <c r="B2842" t="s">
        <v>46</v>
      </c>
      <c r="C2842" t="s">
        <v>3099</v>
      </c>
    </row>
    <row r="2843" spans="1:3" x14ac:dyDescent="0.35">
      <c r="A2843" t="s">
        <v>213</v>
      </c>
      <c r="B2843" t="s">
        <v>46</v>
      </c>
      <c r="C2843" t="s">
        <v>3100</v>
      </c>
    </row>
    <row r="2844" spans="1:3" x14ac:dyDescent="0.35">
      <c r="A2844" t="s">
        <v>213</v>
      </c>
      <c r="B2844" t="s">
        <v>46</v>
      </c>
      <c r="C2844" t="s">
        <v>3101</v>
      </c>
    </row>
    <row r="2845" spans="1:3" x14ac:dyDescent="0.35">
      <c r="A2845" t="s">
        <v>213</v>
      </c>
      <c r="B2845" t="s">
        <v>46</v>
      </c>
      <c r="C2845" t="s">
        <v>3102</v>
      </c>
    </row>
    <row r="2846" spans="1:3" x14ac:dyDescent="0.35">
      <c r="A2846" t="s">
        <v>213</v>
      </c>
      <c r="B2846" t="s">
        <v>46</v>
      </c>
      <c r="C2846" t="s">
        <v>3103</v>
      </c>
    </row>
    <row r="2847" spans="1:3" x14ac:dyDescent="0.35">
      <c r="A2847" t="s">
        <v>213</v>
      </c>
      <c r="B2847" t="s">
        <v>46</v>
      </c>
      <c r="C2847" t="s">
        <v>3104</v>
      </c>
    </row>
    <row r="2848" spans="1:3" x14ac:dyDescent="0.35">
      <c r="A2848" t="s">
        <v>213</v>
      </c>
      <c r="B2848" t="s">
        <v>46</v>
      </c>
      <c r="C2848" t="s">
        <v>3105</v>
      </c>
    </row>
    <row r="2849" spans="1:3" x14ac:dyDescent="0.35">
      <c r="A2849" t="s">
        <v>213</v>
      </c>
      <c r="B2849" t="s">
        <v>46</v>
      </c>
      <c r="C2849" t="s">
        <v>3106</v>
      </c>
    </row>
    <row r="2850" spans="1:3" x14ac:dyDescent="0.35">
      <c r="A2850" t="s">
        <v>213</v>
      </c>
      <c r="B2850" t="s">
        <v>46</v>
      </c>
      <c r="C2850" t="s">
        <v>3107</v>
      </c>
    </row>
    <row r="2851" spans="1:3" x14ac:dyDescent="0.35">
      <c r="A2851" t="s">
        <v>213</v>
      </c>
      <c r="B2851" t="s">
        <v>46</v>
      </c>
      <c r="C2851" t="s">
        <v>3108</v>
      </c>
    </row>
    <row r="2852" spans="1:3" x14ac:dyDescent="0.35">
      <c r="A2852" t="s">
        <v>213</v>
      </c>
      <c r="B2852" t="s">
        <v>46</v>
      </c>
      <c r="C2852" t="s">
        <v>3109</v>
      </c>
    </row>
    <row r="2853" spans="1:3" x14ac:dyDescent="0.35">
      <c r="A2853" t="s">
        <v>213</v>
      </c>
      <c r="B2853" t="s">
        <v>46</v>
      </c>
      <c r="C2853" t="s">
        <v>3110</v>
      </c>
    </row>
    <row r="2854" spans="1:3" x14ac:dyDescent="0.35">
      <c r="A2854" t="s">
        <v>213</v>
      </c>
      <c r="B2854" t="s">
        <v>46</v>
      </c>
      <c r="C2854" t="s">
        <v>3111</v>
      </c>
    </row>
    <row r="2855" spans="1:3" x14ac:dyDescent="0.35">
      <c r="A2855" t="s">
        <v>213</v>
      </c>
      <c r="B2855" t="s">
        <v>46</v>
      </c>
      <c r="C2855" t="s">
        <v>3112</v>
      </c>
    </row>
    <row r="2856" spans="1:3" x14ac:dyDescent="0.35">
      <c r="A2856" t="s">
        <v>213</v>
      </c>
      <c r="B2856" t="s">
        <v>46</v>
      </c>
      <c r="C2856" t="s">
        <v>3113</v>
      </c>
    </row>
    <row r="2857" spans="1:3" x14ac:dyDescent="0.35">
      <c r="A2857" t="s">
        <v>213</v>
      </c>
      <c r="B2857" t="s">
        <v>46</v>
      </c>
      <c r="C2857" t="s">
        <v>3114</v>
      </c>
    </row>
    <row r="2858" spans="1:3" x14ac:dyDescent="0.35">
      <c r="A2858" t="s">
        <v>213</v>
      </c>
      <c r="B2858" t="s">
        <v>46</v>
      </c>
      <c r="C2858" t="s">
        <v>3115</v>
      </c>
    </row>
    <row r="2859" spans="1:3" x14ac:dyDescent="0.35">
      <c r="A2859" t="s">
        <v>213</v>
      </c>
      <c r="B2859" t="s">
        <v>46</v>
      </c>
      <c r="C2859" t="s">
        <v>3116</v>
      </c>
    </row>
    <row r="2860" spans="1:3" x14ac:dyDescent="0.35">
      <c r="A2860" t="s">
        <v>213</v>
      </c>
      <c r="B2860" t="s">
        <v>46</v>
      </c>
      <c r="C2860" t="s">
        <v>3117</v>
      </c>
    </row>
    <row r="2861" spans="1:3" x14ac:dyDescent="0.35">
      <c r="A2861" t="s">
        <v>213</v>
      </c>
      <c r="B2861" t="s">
        <v>46</v>
      </c>
      <c r="C2861" t="s">
        <v>3118</v>
      </c>
    </row>
    <row r="2862" spans="1:3" x14ac:dyDescent="0.35">
      <c r="A2862" t="s">
        <v>213</v>
      </c>
      <c r="B2862" t="s">
        <v>46</v>
      </c>
      <c r="C2862" t="s">
        <v>3119</v>
      </c>
    </row>
    <row r="2863" spans="1:3" x14ac:dyDescent="0.35">
      <c r="A2863" t="s">
        <v>213</v>
      </c>
      <c r="B2863" t="s">
        <v>46</v>
      </c>
      <c r="C2863" t="s">
        <v>3120</v>
      </c>
    </row>
    <row r="2864" spans="1:3" x14ac:dyDescent="0.35">
      <c r="A2864" t="s">
        <v>213</v>
      </c>
      <c r="B2864" t="s">
        <v>46</v>
      </c>
      <c r="C2864" t="s">
        <v>3121</v>
      </c>
    </row>
    <row r="2865" spans="1:3" x14ac:dyDescent="0.35">
      <c r="A2865" t="s">
        <v>213</v>
      </c>
      <c r="B2865" t="s">
        <v>46</v>
      </c>
      <c r="C2865" t="s">
        <v>3122</v>
      </c>
    </row>
    <row r="2866" spans="1:3" x14ac:dyDescent="0.35">
      <c r="A2866" t="s">
        <v>213</v>
      </c>
      <c r="B2866" t="s">
        <v>46</v>
      </c>
      <c r="C2866" t="s">
        <v>3123</v>
      </c>
    </row>
    <row r="2867" spans="1:3" x14ac:dyDescent="0.35">
      <c r="A2867" t="s">
        <v>213</v>
      </c>
      <c r="B2867" t="s">
        <v>46</v>
      </c>
      <c r="C2867" t="s">
        <v>3124</v>
      </c>
    </row>
    <row r="2868" spans="1:3" x14ac:dyDescent="0.35">
      <c r="A2868" t="s">
        <v>213</v>
      </c>
      <c r="B2868" t="s">
        <v>46</v>
      </c>
      <c r="C2868" t="s">
        <v>3125</v>
      </c>
    </row>
    <row r="2869" spans="1:3" x14ac:dyDescent="0.35">
      <c r="A2869" t="s">
        <v>213</v>
      </c>
      <c r="B2869" t="s">
        <v>46</v>
      </c>
      <c r="C2869" t="s">
        <v>3126</v>
      </c>
    </row>
    <row r="2870" spans="1:3" x14ac:dyDescent="0.35">
      <c r="A2870" t="s">
        <v>213</v>
      </c>
      <c r="B2870" t="s">
        <v>46</v>
      </c>
      <c r="C2870" t="s">
        <v>3127</v>
      </c>
    </row>
    <row r="2871" spans="1:3" x14ac:dyDescent="0.35">
      <c r="A2871" t="s">
        <v>213</v>
      </c>
      <c r="B2871" t="s">
        <v>46</v>
      </c>
      <c r="C2871" t="s">
        <v>3128</v>
      </c>
    </row>
    <row r="2872" spans="1:3" x14ac:dyDescent="0.35">
      <c r="A2872" t="s">
        <v>213</v>
      </c>
      <c r="B2872" t="s">
        <v>46</v>
      </c>
      <c r="C2872" t="s">
        <v>3129</v>
      </c>
    </row>
    <row r="2873" spans="1:3" x14ac:dyDescent="0.35">
      <c r="A2873" t="s">
        <v>213</v>
      </c>
      <c r="B2873" t="s">
        <v>46</v>
      </c>
      <c r="C2873" t="s">
        <v>3130</v>
      </c>
    </row>
    <row r="2874" spans="1:3" x14ac:dyDescent="0.35">
      <c r="A2874" t="s">
        <v>213</v>
      </c>
      <c r="B2874" t="s">
        <v>46</v>
      </c>
      <c r="C2874" t="s">
        <v>3131</v>
      </c>
    </row>
    <row r="2875" spans="1:3" x14ac:dyDescent="0.35">
      <c r="A2875" t="s">
        <v>213</v>
      </c>
      <c r="B2875" t="s">
        <v>46</v>
      </c>
      <c r="C2875" t="s">
        <v>3132</v>
      </c>
    </row>
    <row r="2876" spans="1:3" x14ac:dyDescent="0.35">
      <c r="A2876" t="s">
        <v>213</v>
      </c>
      <c r="B2876" t="s">
        <v>46</v>
      </c>
      <c r="C2876" t="s">
        <v>3133</v>
      </c>
    </row>
    <row r="2877" spans="1:3" x14ac:dyDescent="0.35">
      <c r="A2877" t="s">
        <v>213</v>
      </c>
      <c r="B2877" t="s">
        <v>46</v>
      </c>
      <c r="C2877" t="s">
        <v>3134</v>
      </c>
    </row>
    <row r="2878" spans="1:3" x14ac:dyDescent="0.35">
      <c r="A2878" t="s">
        <v>213</v>
      </c>
      <c r="B2878" t="s">
        <v>46</v>
      </c>
      <c r="C2878" t="s">
        <v>3135</v>
      </c>
    </row>
    <row r="2879" spans="1:3" x14ac:dyDescent="0.35">
      <c r="A2879" t="s">
        <v>213</v>
      </c>
      <c r="B2879" t="s">
        <v>46</v>
      </c>
      <c r="C2879" t="s">
        <v>3136</v>
      </c>
    </row>
    <row r="2880" spans="1:3" x14ac:dyDescent="0.35">
      <c r="A2880" t="s">
        <v>213</v>
      </c>
      <c r="B2880" t="s">
        <v>46</v>
      </c>
      <c r="C2880" t="s">
        <v>3137</v>
      </c>
    </row>
    <row r="2881" spans="1:3" x14ac:dyDescent="0.35">
      <c r="A2881" t="s">
        <v>213</v>
      </c>
      <c r="B2881" t="s">
        <v>46</v>
      </c>
      <c r="C2881" t="s">
        <v>3138</v>
      </c>
    </row>
    <row r="2882" spans="1:3" x14ac:dyDescent="0.35">
      <c r="A2882" t="s">
        <v>213</v>
      </c>
      <c r="B2882" t="s">
        <v>46</v>
      </c>
      <c r="C2882" t="s">
        <v>3139</v>
      </c>
    </row>
    <row r="2883" spans="1:3" x14ac:dyDescent="0.35">
      <c r="A2883" t="s">
        <v>213</v>
      </c>
      <c r="B2883" t="s">
        <v>46</v>
      </c>
      <c r="C2883" t="s">
        <v>3140</v>
      </c>
    </row>
    <row r="2884" spans="1:3" x14ac:dyDescent="0.35">
      <c r="A2884" t="s">
        <v>213</v>
      </c>
      <c r="B2884" t="s">
        <v>46</v>
      </c>
      <c r="C2884" t="s">
        <v>3141</v>
      </c>
    </row>
    <row r="2885" spans="1:3" x14ac:dyDescent="0.35">
      <c r="A2885" t="s">
        <v>213</v>
      </c>
      <c r="B2885" t="s">
        <v>46</v>
      </c>
      <c r="C2885" t="s">
        <v>3142</v>
      </c>
    </row>
    <row r="2886" spans="1:3" x14ac:dyDescent="0.35">
      <c r="A2886" t="s">
        <v>213</v>
      </c>
      <c r="B2886" t="s">
        <v>46</v>
      </c>
      <c r="C2886" t="s">
        <v>3143</v>
      </c>
    </row>
    <row r="2887" spans="1:3" x14ac:dyDescent="0.35">
      <c r="A2887" t="s">
        <v>213</v>
      </c>
      <c r="B2887" t="s">
        <v>46</v>
      </c>
      <c r="C2887" t="s">
        <v>3144</v>
      </c>
    </row>
    <row r="2888" spans="1:3" x14ac:dyDescent="0.35">
      <c r="A2888" t="s">
        <v>213</v>
      </c>
      <c r="B2888" t="s">
        <v>46</v>
      </c>
      <c r="C2888" t="s">
        <v>3145</v>
      </c>
    </row>
    <row r="2889" spans="1:3" x14ac:dyDescent="0.35">
      <c r="A2889" t="s">
        <v>213</v>
      </c>
      <c r="B2889" t="s">
        <v>46</v>
      </c>
      <c r="C2889" t="s">
        <v>3146</v>
      </c>
    </row>
    <row r="2890" spans="1:3" x14ac:dyDescent="0.35">
      <c r="A2890" t="s">
        <v>213</v>
      </c>
      <c r="B2890" t="s">
        <v>46</v>
      </c>
      <c r="C2890" t="s">
        <v>3147</v>
      </c>
    </row>
    <row r="2891" spans="1:3" x14ac:dyDescent="0.35">
      <c r="A2891" t="s">
        <v>213</v>
      </c>
      <c r="B2891" t="s">
        <v>46</v>
      </c>
      <c r="C2891" t="s">
        <v>3148</v>
      </c>
    </row>
    <row r="2892" spans="1:3" x14ac:dyDescent="0.35">
      <c r="A2892" t="s">
        <v>213</v>
      </c>
      <c r="B2892" t="s">
        <v>46</v>
      </c>
      <c r="C2892" t="s">
        <v>3149</v>
      </c>
    </row>
    <row r="2893" spans="1:3" x14ac:dyDescent="0.35">
      <c r="A2893" t="s">
        <v>213</v>
      </c>
      <c r="B2893" t="s">
        <v>46</v>
      </c>
      <c r="C2893" t="s">
        <v>3150</v>
      </c>
    </row>
    <row r="2894" spans="1:3" x14ac:dyDescent="0.35">
      <c r="A2894" t="s">
        <v>213</v>
      </c>
      <c r="B2894" t="s">
        <v>46</v>
      </c>
      <c r="C2894" t="s">
        <v>3151</v>
      </c>
    </row>
    <row r="2895" spans="1:3" x14ac:dyDescent="0.35">
      <c r="A2895" t="s">
        <v>213</v>
      </c>
      <c r="B2895" t="s">
        <v>46</v>
      </c>
      <c r="C2895" t="s">
        <v>3152</v>
      </c>
    </row>
    <row r="2896" spans="1:3" x14ac:dyDescent="0.35">
      <c r="A2896" t="s">
        <v>213</v>
      </c>
      <c r="B2896" t="s">
        <v>46</v>
      </c>
      <c r="C2896" t="s">
        <v>3153</v>
      </c>
    </row>
    <row r="2897" spans="1:3" x14ac:dyDescent="0.35">
      <c r="A2897" t="s">
        <v>213</v>
      </c>
      <c r="B2897" t="s">
        <v>46</v>
      </c>
      <c r="C2897" t="s">
        <v>3154</v>
      </c>
    </row>
    <row r="2898" spans="1:3" x14ac:dyDescent="0.35">
      <c r="A2898" t="s">
        <v>213</v>
      </c>
      <c r="B2898" t="s">
        <v>46</v>
      </c>
      <c r="C2898" t="s">
        <v>3155</v>
      </c>
    </row>
    <row r="2899" spans="1:3" x14ac:dyDescent="0.35">
      <c r="A2899" t="s">
        <v>213</v>
      </c>
      <c r="B2899" t="s">
        <v>46</v>
      </c>
      <c r="C2899" t="s">
        <v>3156</v>
      </c>
    </row>
    <row r="2900" spans="1:3" x14ac:dyDescent="0.35">
      <c r="A2900" t="s">
        <v>213</v>
      </c>
      <c r="B2900" t="s">
        <v>46</v>
      </c>
      <c r="C2900" t="s">
        <v>3157</v>
      </c>
    </row>
    <row r="2901" spans="1:3" x14ac:dyDescent="0.35">
      <c r="A2901" t="s">
        <v>213</v>
      </c>
      <c r="B2901" t="s">
        <v>46</v>
      </c>
      <c r="C2901" t="s">
        <v>3158</v>
      </c>
    </row>
    <row r="2902" spans="1:3" x14ac:dyDescent="0.35">
      <c r="A2902" t="s">
        <v>213</v>
      </c>
      <c r="B2902" t="s">
        <v>46</v>
      </c>
      <c r="C2902" t="s">
        <v>3159</v>
      </c>
    </row>
    <row r="2903" spans="1:3" x14ac:dyDescent="0.35">
      <c r="A2903" t="s">
        <v>213</v>
      </c>
      <c r="B2903" t="s">
        <v>46</v>
      </c>
      <c r="C2903" t="s">
        <v>3160</v>
      </c>
    </row>
    <row r="2904" spans="1:3" x14ac:dyDescent="0.35">
      <c r="A2904" t="s">
        <v>213</v>
      </c>
      <c r="B2904" t="s">
        <v>46</v>
      </c>
      <c r="C2904" t="s">
        <v>3161</v>
      </c>
    </row>
    <row r="2905" spans="1:3" x14ac:dyDescent="0.35">
      <c r="A2905" t="s">
        <v>213</v>
      </c>
      <c r="B2905" t="s">
        <v>46</v>
      </c>
      <c r="C2905" t="s">
        <v>3162</v>
      </c>
    </row>
    <row r="2906" spans="1:3" x14ac:dyDescent="0.35">
      <c r="A2906" t="s">
        <v>213</v>
      </c>
      <c r="B2906" t="s">
        <v>46</v>
      </c>
      <c r="C2906" t="s">
        <v>3163</v>
      </c>
    </row>
    <row r="2907" spans="1:3" x14ac:dyDescent="0.35">
      <c r="A2907" t="s">
        <v>213</v>
      </c>
      <c r="B2907" t="s">
        <v>46</v>
      </c>
      <c r="C2907" t="s">
        <v>3164</v>
      </c>
    </row>
    <row r="2908" spans="1:3" x14ac:dyDescent="0.35">
      <c r="A2908" t="s">
        <v>213</v>
      </c>
      <c r="B2908" t="s">
        <v>46</v>
      </c>
      <c r="C2908" t="s">
        <v>3165</v>
      </c>
    </row>
    <row r="2909" spans="1:3" x14ac:dyDescent="0.35">
      <c r="A2909" t="s">
        <v>213</v>
      </c>
      <c r="B2909" t="s">
        <v>46</v>
      </c>
      <c r="C2909" t="s">
        <v>3166</v>
      </c>
    </row>
    <row r="2910" spans="1:3" x14ac:dyDescent="0.35">
      <c r="A2910" t="s">
        <v>213</v>
      </c>
      <c r="B2910" t="s">
        <v>46</v>
      </c>
      <c r="C2910" t="s">
        <v>3167</v>
      </c>
    </row>
    <row r="2911" spans="1:3" x14ac:dyDescent="0.35">
      <c r="A2911" t="s">
        <v>213</v>
      </c>
      <c r="B2911" t="s">
        <v>46</v>
      </c>
      <c r="C2911" t="s">
        <v>3168</v>
      </c>
    </row>
    <row r="2912" spans="1:3" x14ac:dyDescent="0.35">
      <c r="A2912" t="s">
        <v>213</v>
      </c>
      <c r="B2912" t="s">
        <v>46</v>
      </c>
      <c r="C2912" t="s">
        <v>3169</v>
      </c>
    </row>
    <row r="2913" spans="1:3" x14ac:dyDescent="0.35">
      <c r="A2913" t="s">
        <v>213</v>
      </c>
      <c r="B2913" t="s">
        <v>46</v>
      </c>
      <c r="C2913" t="s">
        <v>3170</v>
      </c>
    </row>
    <row r="2914" spans="1:3" x14ac:dyDescent="0.35">
      <c r="A2914" t="s">
        <v>213</v>
      </c>
      <c r="B2914" t="s">
        <v>46</v>
      </c>
      <c r="C2914" t="s">
        <v>3171</v>
      </c>
    </row>
    <row r="2915" spans="1:3" x14ac:dyDescent="0.35">
      <c r="A2915" t="s">
        <v>213</v>
      </c>
      <c r="B2915" t="s">
        <v>46</v>
      </c>
      <c r="C2915" t="s">
        <v>3172</v>
      </c>
    </row>
    <row r="2916" spans="1:3" x14ac:dyDescent="0.35">
      <c r="A2916" t="s">
        <v>213</v>
      </c>
      <c r="B2916" t="s">
        <v>46</v>
      </c>
      <c r="C2916" t="s">
        <v>3173</v>
      </c>
    </row>
    <row r="2917" spans="1:3" x14ac:dyDescent="0.35">
      <c r="A2917" t="s">
        <v>213</v>
      </c>
      <c r="B2917" t="s">
        <v>46</v>
      </c>
      <c r="C2917" t="s">
        <v>3174</v>
      </c>
    </row>
    <row r="2918" spans="1:3" x14ac:dyDescent="0.35">
      <c r="A2918" t="s">
        <v>213</v>
      </c>
      <c r="B2918" t="s">
        <v>46</v>
      </c>
      <c r="C2918" t="s">
        <v>3175</v>
      </c>
    </row>
    <row r="2919" spans="1:3" x14ac:dyDescent="0.35">
      <c r="A2919" t="s">
        <v>213</v>
      </c>
      <c r="B2919" t="s">
        <v>46</v>
      </c>
      <c r="C2919" t="s">
        <v>3176</v>
      </c>
    </row>
    <row r="2920" spans="1:3" x14ac:dyDescent="0.35">
      <c r="A2920" t="s">
        <v>213</v>
      </c>
      <c r="B2920" t="s">
        <v>46</v>
      </c>
      <c r="C2920" t="s">
        <v>3177</v>
      </c>
    </row>
    <row r="2921" spans="1:3" x14ac:dyDescent="0.35">
      <c r="A2921" t="s">
        <v>213</v>
      </c>
      <c r="B2921" t="s">
        <v>46</v>
      </c>
      <c r="C2921" t="s">
        <v>3178</v>
      </c>
    </row>
    <row r="2922" spans="1:3" x14ac:dyDescent="0.35">
      <c r="A2922" t="s">
        <v>213</v>
      </c>
      <c r="B2922" t="s">
        <v>46</v>
      </c>
      <c r="C2922" t="s">
        <v>3179</v>
      </c>
    </row>
    <row r="2923" spans="1:3" x14ac:dyDescent="0.35">
      <c r="A2923" t="s">
        <v>213</v>
      </c>
      <c r="B2923" t="s">
        <v>46</v>
      </c>
      <c r="C2923" t="s">
        <v>3180</v>
      </c>
    </row>
    <row r="2924" spans="1:3" x14ac:dyDescent="0.35">
      <c r="A2924" t="s">
        <v>213</v>
      </c>
      <c r="B2924" t="s">
        <v>46</v>
      </c>
      <c r="C2924" t="s">
        <v>3181</v>
      </c>
    </row>
    <row r="2925" spans="1:3" x14ac:dyDescent="0.35">
      <c r="A2925" t="s">
        <v>213</v>
      </c>
      <c r="B2925" t="s">
        <v>46</v>
      </c>
      <c r="C2925" t="s">
        <v>3182</v>
      </c>
    </row>
    <row r="2926" spans="1:3" x14ac:dyDescent="0.35">
      <c r="A2926" t="s">
        <v>213</v>
      </c>
      <c r="B2926" t="s">
        <v>46</v>
      </c>
      <c r="C2926" t="s">
        <v>3183</v>
      </c>
    </row>
    <row r="2927" spans="1:3" x14ac:dyDescent="0.35">
      <c r="A2927" t="s">
        <v>213</v>
      </c>
      <c r="B2927" t="s">
        <v>46</v>
      </c>
      <c r="C2927" t="s">
        <v>3184</v>
      </c>
    </row>
    <row r="2928" spans="1:3" x14ac:dyDescent="0.35">
      <c r="A2928" t="s">
        <v>213</v>
      </c>
      <c r="B2928" t="s">
        <v>46</v>
      </c>
      <c r="C2928" t="s">
        <v>3185</v>
      </c>
    </row>
    <row r="2929" spans="1:3" x14ac:dyDescent="0.35">
      <c r="A2929" t="s">
        <v>213</v>
      </c>
      <c r="B2929" t="s">
        <v>46</v>
      </c>
      <c r="C2929" t="s">
        <v>3186</v>
      </c>
    </row>
    <row r="2930" spans="1:3" x14ac:dyDescent="0.35">
      <c r="A2930" t="s">
        <v>213</v>
      </c>
      <c r="B2930" t="s">
        <v>46</v>
      </c>
      <c r="C2930" t="s">
        <v>3187</v>
      </c>
    </row>
    <row r="2931" spans="1:3" x14ac:dyDescent="0.35">
      <c r="A2931" t="s">
        <v>213</v>
      </c>
      <c r="B2931" t="s">
        <v>46</v>
      </c>
      <c r="C2931" t="s">
        <v>3188</v>
      </c>
    </row>
    <row r="2932" spans="1:3" x14ac:dyDescent="0.35">
      <c r="A2932" t="s">
        <v>213</v>
      </c>
      <c r="B2932" t="s">
        <v>46</v>
      </c>
      <c r="C2932" t="s">
        <v>3189</v>
      </c>
    </row>
    <row r="2933" spans="1:3" x14ac:dyDescent="0.35">
      <c r="A2933" t="s">
        <v>213</v>
      </c>
      <c r="B2933" t="s">
        <v>46</v>
      </c>
      <c r="C2933" t="s">
        <v>3190</v>
      </c>
    </row>
    <row r="2934" spans="1:3" x14ac:dyDescent="0.35">
      <c r="A2934" t="s">
        <v>213</v>
      </c>
      <c r="B2934" t="s">
        <v>46</v>
      </c>
      <c r="C2934" t="s">
        <v>3191</v>
      </c>
    </row>
    <row r="2935" spans="1:3" x14ac:dyDescent="0.35">
      <c r="A2935" t="s">
        <v>213</v>
      </c>
      <c r="B2935" t="s">
        <v>46</v>
      </c>
      <c r="C2935" t="s">
        <v>3192</v>
      </c>
    </row>
    <row r="2936" spans="1:3" x14ac:dyDescent="0.35">
      <c r="A2936" t="s">
        <v>213</v>
      </c>
      <c r="B2936" t="s">
        <v>46</v>
      </c>
      <c r="C2936" t="s">
        <v>3193</v>
      </c>
    </row>
    <row r="2937" spans="1:3" x14ac:dyDescent="0.35">
      <c r="A2937" t="s">
        <v>213</v>
      </c>
      <c r="B2937" t="s">
        <v>46</v>
      </c>
      <c r="C2937" t="s">
        <v>3194</v>
      </c>
    </row>
    <row r="2938" spans="1:3" x14ac:dyDescent="0.35">
      <c r="A2938" t="s">
        <v>213</v>
      </c>
      <c r="B2938" t="s">
        <v>46</v>
      </c>
      <c r="C2938" t="s">
        <v>3195</v>
      </c>
    </row>
    <row r="2939" spans="1:3" x14ac:dyDescent="0.35">
      <c r="A2939" t="s">
        <v>213</v>
      </c>
      <c r="B2939" t="s">
        <v>46</v>
      </c>
      <c r="C2939" t="s">
        <v>3196</v>
      </c>
    </row>
    <row r="2940" spans="1:3" x14ac:dyDescent="0.35">
      <c r="A2940" t="s">
        <v>213</v>
      </c>
      <c r="B2940" t="s">
        <v>46</v>
      </c>
      <c r="C2940" t="s">
        <v>3197</v>
      </c>
    </row>
    <row r="2941" spans="1:3" x14ac:dyDescent="0.35">
      <c r="A2941" t="s">
        <v>213</v>
      </c>
      <c r="B2941" t="s">
        <v>46</v>
      </c>
      <c r="C2941" t="s">
        <v>3198</v>
      </c>
    </row>
    <row r="2942" spans="1:3" x14ac:dyDescent="0.35">
      <c r="A2942" t="s">
        <v>213</v>
      </c>
      <c r="B2942" t="s">
        <v>46</v>
      </c>
      <c r="C2942" t="s">
        <v>3199</v>
      </c>
    </row>
    <row r="2943" spans="1:3" x14ac:dyDescent="0.35">
      <c r="A2943" t="s">
        <v>213</v>
      </c>
      <c r="B2943" t="s">
        <v>46</v>
      </c>
      <c r="C2943" t="s">
        <v>3200</v>
      </c>
    </row>
    <row r="2944" spans="1:3" x14ac:dyDescent="0.35">
      <c r="A2944" t="s">
        <v>213</v>
      </c>
      <c r="B2944" t="s">
        <v>46</v>
      </c>
      <c r="C2944" t="s">
        <v>3201</v>
      </c>
    </row>
    <row r="2945" spans="1:3" x14ac:dyDescent="0.35">
      <c r="A2945" t="s">
        <v>213</v>
      </c>
      <c r="B2945" t="s">
        <v>46</v>
      </c>
      <c r="C2945" t="s">
        <v>3202</v>
      </c>
    </row>
    <row r="2946" spans="1:3" x14ac:dyDescent="0.35">
      <c r="A2946" t="s">
        <v>213</v>
      </c>
      <c r="B2946" t="s">
        <v>46</v>
      </c>
      <c r="C2946" t="s">
        <v>3203</v>
      </c>
    </row>
    <row r="2947" spans="1:3" x14ac:dyDescent="0.35">
      <c r="A2947" t="s">
        <v>213</v>
      </c>
      <c r="B2947" t="s">
        <v>46</v>
      </c>
      <c r="C2947" t="s">
        <v>3204</v>
      </c>
    </row>
    <row r="2948" spans="1:3" x14ac:dyDescent="0.35">
      <c r="A2948" t="s">
        <v>213</v>
      </c>
      <c r="B2948" t="s">
        <v>46</v>
      </c>
      <c r="C2948" t="s">
        <v>3205</v>
      </c>
    </row>
    <row r="2949" spans="1:3" x14ac:dyDescent="0.35">
      <c r="A2949" t="s">
        <v>213</v>
      </c>
      <c r="B2949" t="s">
        <v>46</v>
      </c>
      <c r="C2949" t="s">
        <v>3206</v>
      </c>
    </row>
    <row r="2950" spans="1:3" x14ac:dyDescent="0.35">
      <c r="A2950" t="s">
        <v>213</v>
      </c>
      <c r="B2950" t="s">
        <v>46</v>
      </c>
      <c r="C2950" t="s">
        <v>3207</v>
      </c>
    </row>
    <row r="2951" spans="1:3" x14ac:dyDescent="0.35">
      <c r="A2951" t="s">
        <v>213</v>
      </c>
      <c r="B2951" t="s">
        <v>46</v>
      </c>
      <c r="C2951" t="s">
        <v>3208</v>
      </c>
    </row>
    <row r="2952" spans="1:3" x14ac:dyDescent="0.35">
      <c r="A2952" t="s">
        <v>213</v>
      </c>
      <c r="B2952" t="s">
        <v>46</v>
      </c>
      <c r="C2952" t="s">
        <v>3209</v>
      </c>
    </row>
    <row r="2953" spans="1:3" x14ac:dyDescent="0.35">
      <c r="A2953" t="s">
        <v>213</v>
      </c>
      <c r="B2953" t="s">
        <v>46</v>
      </c>
      <c r="C2953" t="s">
        <v>3210</v>
      </c>
    </row>
    <row r="2954" spans="1:3" x14ac:dyDescent="0.35">
      <c r="A2954" t="s">
        <v>213</v>
      </c>
      <c r="B2954" t="s">
        <v>46</v>
      </c>
      <c r="C2954" t="s">
        <v>3211</v>
      </c>
    </row>
    <row r="2955" spans="1:3" x14ac:dyDescent="0.35">
      <c r="A2955" t="s">
        <v>213</v>
      </c>
      <c r="B2955" t="s">
        <v>46</v>
      </c>
      <c r="C2955" t="s">
        <v>3212</v>
      </c>
    </row>
    <row r="2956" spans="1:3" x14ac:dyDescent="0.35">
      <c r="A2956" t="s">
        <v>213</v>
      </c>
      <c r="B2956" t="s">
        <v>46</v>
      </c>
      <c r="C2956" t="s">
        <v>3213</v>
      </c>
    </row>
    <row r="2957" spans="1:3" x14ac:dyDescent="0.35">
      <c r="A2957" t="s">
        <v>213</v>
      </c>
      <c r="B2957" t="s">
        <v>46</v>
      </c>
      <c r="C2957" t="s">
        <v>3214</v>
      </c>
    </row>
    <row r="2958" spans="1:3" x14ac:dyDescent="0.35">
      <c r="A2958" t="s">
        <v>213</v>
      </c>
      <c r="B2958" t="s">
        <v>46</v>
      </c>
      <c r="C2958" t="s">
        <v>3215</v>
      </c>
    </row>
    <row r="2959" spans="1:3" x14ac:dyDescent="0.35">
      <c r="A2959" t="s">
        <v>213</v>
      </c>
      <c r="B2959" t="s">
        <v>46</v>
      </c>
      <c r="C2959" t="s">
        <v>3216</v>
      </c>
    </row>
    <row r="2960" spans="1:3" x14ac:dyDescent="0.35">
      <c r="A2960" t="s">
        <v>213</v>
      </c>
      <c r="B2960" t="s">
        <v>46</v>
      </c>
      <c r="C2960" t="s">
        <v>3217</v>
      </c>
    </row>
    <row r="2961" spans="1:3" x14ac:dyDescent="0.35">
      <c r="A2961" t="s">
        <v>213</v>
      </c>
      <c r="B2961" t="s">
        <v>46</v>
      </c>
      <c r="C2961" t="s">
        <v>3218</v>
      </c>
    </row>
    <row r="2962" spans="1:3" x14ac:dyDescent="0.35">
      <c r="A2962" t="s">
        <v>213</v>
      </c>
      <c r="B2962" t="s">
        <v>46</v>
      </c>
      <c r="C2962" t="s">
        <v>3219</v>
      </c>
    </row>
    <row r="2963" spans="1:3" x14ac:dyDescent="0.35">
      <c r="A2963" t="s">
        <v>213</v>
      </c>
      <c r="B2963" t="s">
        <v>46</v>
      </c>
      <c r="C2963" t="s">
        <v>3220</v>
      </c>
    </row>
    <row r="2964" spans="1:3" x14ac:dyDescent="0.35">
      <c r="A2964" t="s">
        <v>213</v>
      </c>
      <c r="B2964" t="s">
        <v>46</v>
      </c>
      <c r="C2964" t="s">
        <v>3221</v>
      </c>
    </row>
    <row r="2965" spans="1:3" x14ac:dyDescent="0.35">
      <c r="A2965" t="s">
        <v>213</v>
      </c>
      <c r="B2965" t="s">
        <v>46</v>
      </c>
      <c r="C2965" t="s">
        <v>3222</v>
      </c>
    </row>
    <row r="2966" spans="1:3" x14ac:dyDescent="0.35">
      <c r="A2966" t="s">
        <v>213</v>
      </c>
      <c r="B2966" t="s">
        <v>46</v>
      </c>
      <c r="C2966" t="s">
        <v>3223</v>
      </c>
    </row>
    <row r="2967" spans="1:3" x14ac:dyDescent="0.35">
      <c r="A2967" t="s">
        <v>213</v>
      </c>
      <c r="B2967" t="s">
        <v>46</v>
      </c>
      <c r="C2967" t="s">
        <v>3224</v>
      </c>
    </row>
    <row r="2968" spans="1:3" x14ac:dyDescent="0.35">
      <c r="A2968" t="s">
        <v>213</v>
      </c>
      <c r="B2968" t="s">
        <v>46</v>
      </c>
      <c r="C2968" t="s">
        <v>3225</v>
      </c>
    </row>
    <row r="2969" spans="1:3" x14ac:dyDescent="0.35">
      <c r="A2969" t="s">
        <v>213</v>
      </c>
      <c r="B2969" t="s">
        <v>46</v>
      </c>
      <c r="C2969" t="s">
        <v>3226</v>
      </c>
    </row>
    <row r="2970" spans="1:3" x14ac:dyDescent="0.35">
      <c r="A2970" t="s">
        <v>213</v>
      </c>
      <c r="B2970" t="s">
        <v>46</v>
      </c>
      <c r="C2970" t="s">
        <v>3227</v>
      </c>
    </row>
    <row r="2971" spans="1:3" x14ac:dyDescent="0.35">
      <c r="A2971" t="s">
        <v>213</v>
      </c>
      <c r="B2971" t="s">
        <v>46</v>
      </c>
      <c r="C2971" t="s">
        <v>3228</v>
      </c>
    </row>
    <row r="2972" spans="1:3" x14ac:dyDescent="0.35">
      <c r="A2972" t="s">
        <v>213</v>
      </c>
      <c r="B2972" t="s">
        <v>46</v>
      </c>
      <c r="C2972" t="s">
        <v>3229</v>
      </c>
    </row>
    <row r="2973" spans="1:3" x14ac:dyDescent="0.35">
      <c r="A2973" t="s">
        <v>213</v>
      </c>
      <c r="B2973" t="s">
        <v>46</v>
      </c>
      <c r="C2973" t="s">
        <v>3230</v>
      </c>
    </row>
    <row r="2974" spans="1:3" x14ac:dyDescent="0.35">
      <c r="A2974" t="s">
        <v>213</v>
      </c>
      <c r="B2974" t="s">
        <v>46</v>
      </c>
      <c r="C2974" t="s">
        <v>3231</v>
      </c>
    </row>
    <row r="2975" spans="1:3" x14ac:dyDescent="0.35">
      <c r="A2975" t="s">
        <v>213</v>
      </c>
      <c r="B2975" t="s">
        <v>46</v>
      </c>
      <c r="C2975" t="s">
        <v>3232</v>
      </c>
    </row>
    <row r="2976" spans="1:3" x14ac:dyDescent="0.35">
      <c r="A2976" t="s">
        <v>213</v>
      </c>
      <c r="B2976" t="s">
        <v>46</v>
      </c>
      <c r="C2976" t="s">
        <v>3233</v>
      </c>
    </row>
    <row r="2977" spans="1:3" x14ac:dyDescent="0.35">
      <c r="A2977" t="s">
        <v>213</v>
      </c>
      <c r="B2977" t="s">
        <v>46</v>
      </c>
      <c r="C2977" t="s">
        <v>3234</v>
      </c>
    </row>
    <row r="2978" spans="1:3" x14ac:dyDescent="0.35">
      <c r="A2978" t="s">
        <v>213</v>
      </c>
      <c r="B2978" t="s">
        <v>46</v>
      </c>
      <c r="C2978" t="s">
        <v>3235</v>
      </c>
    </row>
    <row r="2979" spans="1:3" x14ac:dyDescent="0.35">
      <c r="A2979" t="s">
        <v>213</v>
      </c>
      <c r="B2979" t="s">
        <v>46</v>
      </c>
      <c r="C2979" t="s">
        <v>3236</v>
      </c>
    </row>
    <row r="2980" spans="1:3" x14ac:dyDescent="0.35">
      <c r="A2980" t="s">
        <v>213</v>
      </c>
      <c r="B2980" t="s">
        <v>46</v>
      </c>
      <c r="C2980" t="s">
        <v>3237</v>
      </c>
    </row>
    <row r="2981" spans="1:3" x14ac:dyDescent="0.35">
      <c r="A2981" t="s">
        <v>213</v>
      </c>
      <c r="B2981" t="s">
        <v>46</v>
      </c>
      <c r="C2981" t="s">
        <v>3238</v>
      </c>
    </row>
    <row r="2982" spans="1:3" x14ac:dyDescent="0.35">
      <c r="A2982" t="s">
        <v>213</v>
      </c>
      <c r="B2982" t="s">
        <v>46</v>
      </c>
      <c r="C2982" t="s">
        <v>3239</v>
      </c>
    </row>
    <row r="2983" spans="1:3" x14ac:dyDescent="0.35">
      <c r="A2983" t="s">
        <v>213</v>
      </c>
      <c r="B2983" t="s">
        <v>46</v>
      </c>
      <c r="C2983" t="s">
        <v>3240</v>
      </c>
    </row>
    <row r="2984" spans="1:3" x14ac:dyDescent="0.35">
      <c r="A2984" t="s">
        <v>213</v>
      </c>
      <c r="B2984" t="s">
        <v>46</v>
      </c>
      <c r="C2984" t="s">
        <v>3241</v>
      </c>
    </row>
    <row r="2985" spans="1:3" x14ac:dyDescent="0.35">
      <c r="A2985" t="s">
        <v>213</v>
      </c>
      <c r="B2985" t="s">
        <v>46</v>
      </c>
      <c r="C2985" t="s">
        <v>3242</v>
      </c>
    </row>
    <row r="2986" spans="1:3" x14ac:dyDescent="0.35">
      <c r="A2986" t="s">
        <v>213</v>
      </c>
      <c r="B2986" t="s">
        <v>46</v>
      </c>
      <c r="C2986" t="s">
        <v>3243</v>
      </c>
    </row>
    <row r="2987" spans="1:3" x14ac:dyDescent="0.35">
      <c r="A2987" t="s">
        <v>213</v>
      </c>
      <c r="B2987" t="s">
        <v>46</v>
      </c>
      <c r="C2987" t="s">
        <v>3244</v>
      </c>
    </row>
    <row r="2988" spans="1:3" x14ac:dyDescent="0.35">
      <c r="A2988" t="s">
        <v>213</v>
      </c>
      <c r="B2988" t="s">
        <v>46</v>
      </c>
      <c r="C2988" t="s">
        <v>3245</v>
      </c>
    </row>
    <row r="2989" spans="1:3" x14ac:dyDescent="0.35">
      <c r="A2989" t="s">
        <v>213</v>
      </c>
      <c r="B2989" t="s">
        <v>46</v>
      </c>
      <c r="C2989" t="s">
        <v>3246</v>
      </c>
    </row>
    <row r="2990" spans="1:3" x14ac:dyDescent="0.35">
      <c r="A2990" t="s">
        <v>213</v>
      </c>
      <c r="B2990" t="s">
        <v>46</v>
      </c>
      <c r="C2990" t="s">
        <v>3247</v>
      </c>
    </row>
    <row r="2991" spans="1:3" x14ac:dyDescent="0.35">
      <c r="A2991" t="s">
        <v>213</v>
      </c>
      <c r="B2991" t="s">
        <v>46</v>
      </c>
      <c r="C2991" t="s">
        <v>3248</v>
      </c>
    </row>
    <row r="2992" spans="1:3" x14ac:dyDescent="0.35">
      <c r="A2992" t="s">
        <v>213</v>
      </c>
      <c r="B2992" t="s">
        <v>46</v>
      </c>
      <c r="C2992" t="s">
        <v>3249</v>
      </c>
    </row>
    <row r="2993" spans="1:3" x14ac:dyDescent="0.35">
      <c r="A2993" t="s">
        <v>213</v>
      </c>
      <c r="B2993" t="s">
        <v>46</v>
      </c>
      <c r="C2993" t="s">
        <v>3250</v>
      </c>
    </row>
    <row r="2994" spans="1:3" x14ac:dyDescent="0.35">
      <c r="A2994" t="s">
        <v>213</v>
      </c>
      <c r="B2994" t="s">
        <v>46</v>
      </c>
      <c r="C2994" t="s">
        <v>3251</v>
      </c>
    </row>
    <row r="2995" spans="1:3" x14ac:dyDescent="0.35">
      <c r="A2995" t="s">
        <v>213</v>
      </c>
      <c r="B2995" t="s">
        <v>46</v>
      </c>
      <c r="C2995" t="s">
        <v>3252</v>
      </c>
    </row>
    <row r="2996" spans="1:3" x14ac:dyDescent="0.35">
      <c r="A2996" t="s">
        <v>213</v>
      </c>
      <c r="B2996" t="s">
        <v>46</v>
      </c>
      <c r="C2996" t="s">
        <v>3253</v>
      </c>
    </row>
    <row r="2997" spans="1:3" x14ac:dyDescent="0.35">
      <c r="A2997" t="s">
        <v>213</v>
      </c>
      <c r="B2997" t="s">
        <v>256</v>
      </c>
      <c r="C2997" t="s">
        <v>3254</v>
      </c>
    </row>
    <row r="2998" spans="1:3" x14ac:dyDescent="0.35">
      <c r="A2998" t="s">
        <v>213</v>
      </c>
      <c r="B2998" t="s">
        <v>256</v>
      </c>
      <c r="C2998" t="s">
        <v>3255</v>
      </c>
    </row>
    <row r="2999" spans="1:3" x14ac:dyDescent="0.35">
      <c r="A2999" t="s">
        <v>213</v>
      </c>
      <c r="B2999" t="s">
        <v>256</v>
      </c>
      <c r="C2999" t="s">
        <v>3256</v>
      </c>
    </row>
    <row r="3000" spans="1:3" x14ac:dyDescent="0.35">
      <c r="A3000" t="s">
        <v>213</v>
      </c>
      <c r="B3000" t="s">
        <v>256</v>
      </c>
      <c r="C3000" t="s">
        <v>3257</v>
      </c>
    </row>
    <row r="3001" spans="1:3" x14ac:dyDescent="0.35">
      <c r="A3001" t="s">
        <v>213</v>
      </c>
      <c r="B3001" t="s">
        <v>256</v>
      </c>
      <c r="C3001" t="s">
        <v>3258</v>
      </c>
    </row>
    <row r="3002" spans="1:3" x14ac:dyDescent="0.35">
      <c r="A3002" t="s">
        <v>213</v>
      </c>
      <c r="B3002" t="s">
        <v>256</v>
      </c>
      <c r="C3002" t="s">
        <v>3259</v>
      </c>
    </row>
    <row r="3003" spans="1:3" x14ac:dyDescent="0.35">
      <c r="A3003" t="s">
        <v>213</v>
      </c>
      <c r="B3003" t="s">
        <v>256</v>
      </c>
      <c r="C3003" t="s">
        <v>3260</v>
      </c>
    </row>
    <row r="3004" spans="1:3" x14ac:dyDescent="0.35">
      <c r="A3004" t="s">
        <v>213</v>
      </c>
      <c r="B3004" t="s">
        <v>256</v>
      </c>
      <c r="C3004" t="s">
        <v>3261</v>
      </c>
    </row>
    <row r="3005" spans="1:3" x14ac:dyDescent="0.35">
      <c r="A3005" t="s">
        <v>213</v>
      </c>
      <c r="B3005" t="s">
        <v>256</v>
      </c>
      <c r="C3005" t="s">
        <v>3262</v>
      </c>
    </row>
    <row r="3006" spans="1:3" x14ac:dyDescent="0.35">
      <c r="A3006" t="s">
        <v>213</v>
      </c>
      <c r="B3006" t="s">
        <v>256</v>
      </c>
      <c r="C3006" t="s">
        <v>3263</v>
      </c>
    </row>
    <row r="3007" spans="1:3" x14ac:dyDescent="0.35">
      <c r="A3007" t="s">
        <v>213</v>
      </c>
      <c r="B3007" t="s">
        <v>256</v>
      </c>
      <c r="C3007" t="s">
        <v>3264</v>
      </c>
    </row>
    <row r="3008" spans="1:3" x14ac:dyDescent="0.35">
      <c r="A3008" t="s">
        <v>213</v>
      </c>
      <c r="B3008" t="s">
        <v>256</v>
      </c>
      <c r="C3008" t="s">
        <v>3265</v>
      </c>
    </row>
    <row r="3009" spans="1:3" x14ac:dyDescent="0.35">
      <c r="A3009" t="s">
        <v>213</v>
      </c>
      <c r="B3009" t="s">
        <v>256</v>
      </c>
      <c r="C3009" t="s">
        <v>3266</v>
      </c>
    </row>
    <row r="3010" spans="1:3" x14ac:dyDescent="0.35">
      <c r="A3010" t="s">
        <v>213</v>
      </c>
      <c r="B3010" t="s">
        <v>256</v>
      </c>
      <c r="C3010" t="s">
        <v>3267</v>
      </c>
    </row>
    <row r="3011" spans="1:3" x14ac:dyDescent="0.35">
      <c r="A3011" t="s">
        <v>213</v>
      </c>
      <c r="B3011" t="s">
        <v>256</v>
      </c>
      <c r="C3011" t="s">
        <v>3268</v>
      </c>
    </row>
    <row r="3012" spans="1:3" x14ac:dyDescent="0.35">
      <c r="A3012" t="s">
        <v>213</v>
      </c>
      <c r="B3012" t="s">
        <v>256</v>
      </c>
      <c r="C3012" t="s">
        <v>3269</v>
      </c>
    </row>
    <row r="3013" spans="1:3" x14ac:dyDescent="0.35">
      <c r="A3013" t="s">
        <v>213</v>
      </c>
      <c r="B3013" t="s">
        <v>256</v>
      </c>
      <c r="C3013" t="s">
        <v>3270</v>
      </c>
    </row>
    <row r="3014" spans="1:3" x14ac:dyDescent="0.35">
      <c r="A3014" t="s">
        <v>213</v>
      </c>
      <c r="B3014" t="s">
        <v>256</v>
      </c>
      <c r="C3014" t="s">
        <v>3271</v>
      </c>
    </row>
    <row r="3015" spans="1:3" x14ac:dyDescent="0.35">
      <c r="A3015" t="s">
        <v>213</v>
      </c>
      <c r="B3015" t="s">
        <v>256</v>
      </c>
      <c r="C3015" t="s">
        <v>3272</v>
      </c>
    </row>
    <row r="3016" spans="1:3" x14ac:dyDescent="0.35">
      <c r="A3016" t="s">
        <v>213</v>
      </c>
      <c r="B3016" t="s">
        <v>256</v>
      </c>
      <c r="C3016" t="s">
        <v>3273</v>
      </c>
    </row>
    <row r="3017" spans="1:3" x14ac:dyDescent="0.35">
      <c r="A3017" t="s">
        <v>213</v>
      </c>
      <c r="B3017" t="s">
        <v>256</v>
      </c>
      <c r="C3017" t="s">
        <v>3274</v>
      </c>
    </row>
    <row r="3018" spans="1:3" x14ac:dyDescent="0.35">
      <c r="A3018" t="s">
        <v>213</v>
      </c>
      <c r="B3018" t="s">
        <v>256</v>
      </c>
      <c r="C3018" t="s">
        <v>3275</v>
      </c>
    </row>
    <row r="3019" spans="1:3" x14ac:dyDescent="0.35">
      <c r="A3019" t="s">
        <v>213</v>
      </c>
      <c r="B3019" t="s">
        <v>256</v>
      </c>
      <c r="C3019" t="s">
        <v>3276</v>
      </c>
    </row>
    <row r="3020" spans="1:3" x14ac:dyDescent="0.35">
      <c r="A3020" t="s">
        <v>213</v>
      </c>
      <c r="B3020" t="s">
        <v>256</v>
      </c>
      <c r="C3020" t="s">
        <v>3277</v>
      </c>
    </row>
    <row r="3021" spans="1:3" x14ac:dyDescent="0.35">
      <c r="A3021" t="s">
        <v>213</v>
      </c>
      <c r="B3021" t="s">
        <v>256</v>
      </c>
      <c r="C3021" t="s">
        <v>3278</v>
      </c>
    </row>
    <row r="3022" spans="1:3" x14ac:dyDescent="0.35">
      <c r="A3022" t="s">
        <v>213</v>
      </c>
      <c r="B3022" t="s">
        <v>256</v>
      </c>
      <c r="C3022" t="s">
        <v>3279</v>
      </c>
    </row>
    <row r="3023" spans="1:3" x14ac:dyDescent="0.35">
      <c r="A3023" t="s">
        <v>213</v>
      </c>
      <c r="B3023" t="s">
        <v>256</v>
      </c>
      <c r="C3023" t="s">
        <v>3280</v>
      </c>
    </row>
    <row r="3024" spans="1:3" x14ac:dyDescent="0.35">
      <c r="A3024" t="s">
        <v>213</v>
      </c>
      <c r="B3024" t="s">
        <v>256</v>
      </c>
      <c r="C3024" t="s">
        <v>3281</v>
      </c>
    </row>
    <row r="3025" spans="1:3" x14ac:dyDescent="0.35">
      <c r="A3025" t="s">
        <v>213</v>
      </c>
      <c r="B3025" t="s">
        <v>256</v>
      </c>
      <c r="C3025" t="s">
        <v>3282</v>
      </c>
    </row>
    <row r="3026" spans="1:3" x14ac:dyDescent="0.35">
      <c r="A3026" t="s">
        <v>213</v>
      </c>
      <c r="B3026" t="s">
        <v>256</v>
      </c>
      <c r="C3026" t="s">
        <v>3283</v>
      </c>
    </row>
    <row r="3027" spans="1:3" x14ac:dyDescent="0.35">
      <c r="A3027" t="s">
        <v>213</v>
      </c>
      <c r="B3027" t="s">
        <v>256</v>
      </c>
      <c r="C3027" t="s">
        <v>3284</v>
      </c>
    </row>
    <row r="3028" spans="1:3" x14ac:dyDescent="0.35">
      <c r="A3028" t="s">
        <v>213</v>
      </c>
      <c r="B3028" t="s">
        <v>256</v>
      </c>
      <c r="C3028" t="s">
        <v>3285</v>
      </c>
    </row>
    <row r="3029" spans="1:3" x14ac:dyDescent="0.35">
      <c r="A3029" t="s">
        <v>213</v>
      </c>
      <c r="B3029" t="s">
        <v>256</v>
      </c>
      <c r="C3029" t="s">
        <v>3286</v>
      </c>
    </row>
    <row r="3030" spans="1:3" x14ac:dyDescent="0.35">
      <c r="A3030" t="s">
        <v>213</v>
      </c>
      <c r="B3030" t="s">
        <v>256</v>
      </c>
      <c r="C3030" t="s">
        <v>3287</v>
      </c>
    </row>
    <row r="3031" spans="1:3" x14ac:dyDescent="0.35">
      <c r="A3031" t="s">
        <v>213</v>
      </c>
      <c r="B3031" t="s">
        <v>256</v>
      </c>
      <c r="C3031" t="s">
        <v>3288</v>
      </c>
    </row>
    <row r="3032" spans="1:3" x14ac:dyDescent="0.35">
      <c r="A3032" t="s">
        <v>213</v>
      </c>
      <c r="B3032" t="s">
        <v>256</v>
      </c>
      <c r="C3032" t="s">
        <v>3289</v>
      </c>
    </row>
    <row r="3033" spans="1:3" x14ac:dyDescent="0.35">
      <c r="A3033" t="s">
        <v>213</v>
      </c>
      <c r="B3033" t="s">
        <v>256</v>
      </c>
      <c r="C3033" t="s">
        <v>3290</v>
      </c>
    </row>
    <row r="3034" spans="1:3" x14ac:dyDescent="0.35">
      <c r="A3034" t="s">
        <v>213</v>
      </c>
      <c r="B3034" t="s">
        <v>256</v>
      </c>
      <c r="C3034" t="s">
        <v>3291</v>
      </c>
    </row>
    <row r="3035" spans="1:3" x14ac:dyDescent="0.35">
      <c r="A3035" t="s">
        <v>213</v>
      </c>
      <c r="B3035" t="s">
        <v>256</v>
      </c>
      <c r="C3035" t="s">
        <v>3292</v>
      </c>
    </row>
    <row r="3036" spans="1:3" x14ac:dyDescent="0.35">
      <c r="A3036" t="s">
        <v>213</v>
      </c>
      <c r="B3036" t="s">
        <v>256</v>
      </c>
      <c r="C3036" t="s">
        <v>3293</v>
      </c>
    </row>
    <row r="3037" spans="1:3" x14ac:dyDescent="0.35">
      <c r="A3037" t="s">
        <v>213</v>
      </c>
      <c r="B3037" t="s">
        <v>256</v>
      </c>
      <c r="C3037" t="s">
        <v>3294</v>
      </c>
    </row>
    <row r="3038" spans="1:3" x14ac:dyDescent="0.35">
      <c r="A3038" t="s">
        <v>213</v>
      </c>
      <c r="B3038" t="s">
        <v>256</v>
      </c>
      <c r="C3038" t="s">
        <v>3295</v>
      </c>
    </row>
    <row r="3039" spans="1:3" x14ac:dyDescent="0.35">
      <c r="A3039" t="s">
        <v>213</v>
      </c>
      <c r="B3039" t="s">
        <v>256</v>
      </c>
      <c r="C3039" t="s">
        <v>3296</v>
      </c>
    </row>
    <row r="3040" spans="1:3" x14ac:dyDescent="0.35">
      <c r="A3040" t="s">
        <v>213</v>
      </c>
      <c r="B3040" t="s">
        <v>256</v>
      </c>
      <c r="C3040" t="s">
        <v>3297</v>
      </c>
    </row>
    <row r="3041" spans="1:3" x14ac:dyDescent="0.35">
      <c r="A3041" t="s">
        <v>213</v>
      </c>
      <c r="B3041" t="s">
        <v>256</v>
      </c>
      <c r="C3041" t="s">
        <v>3298</v>
      </c>
    </row>
    <row r="3042" spans="1:3" x14ac:dyDescent="0.35">
      <c r="A3042" t="s">
        <v>213</v>
      </c>
      <c r="B3042" t="s">
        <v>256</v>
      </c>
      <c r="C3042" t="s">
        <v>3299</v>
      </c>
    </row>
    <row r="3043" spans="1:3" x14ac:dyDescent="0.35">
      <c r="A3043" t="s">
        <v>213</v>
      </c>
      <c r="B3043" t="s">
        <v>256</v>
      </c>
      <c r="C3043" t="s">
        <v>3300</v>
      </c>
    </row>
    <row r="3044" spans="1:3" x14ac:dyDescent="0.35">
      <c r="A3044" t="s">
        <v>213</v>
      </c>
      <c r="B3044" t="s">
        <v>256</v>
      </c>
      <c r="C3044" t="s">
        <v>3301</v>
      </c>
    </row>
    <row r="3045" spans="1:3" x14ac:dyDescent="0.35">
      <c r="A3045" t="s">
        <v>213</v>
      </c>
      <c r="B3045" t="s">
        <v>256</v>
      </c>
      <c r="C3045" t="s">
        <v>3302</v>
      </c>
    </row>
    <row r="3046" spans="1:3" x14ac:dyDescent="0.35">
      <c r="A3046" t="s">
        <v>213</v>
      </c>
      <c r="B3046" t="s">
        <v>256</v>
      </c>
      <c r="C3046" t="s">
        <v>3303</v>
      </c>
    </row>
    <row r="3047" spans="1:3" x14ac:dyDescent="0.35">
      <c r="A3047" t="s">
        <v>213</v>
      </c>
      <c r="B3047" t="s">
        <v>256</v>
      </c>
      <c r="C3047" t="s">
        <v>256</v>
      </c>
    </row>
    <row r="3048" spans="1:3" x14ac:dyDescent="0.35">
      <c r="A3048" t="s">
        <v>213</v>
      </c>
      <c r="B3048" t="s">
        <v>256</v>
      </c>
      <c r="C3048" t="s">
        <v>3304</v>
      </c>
    </row>
    <row r="3049" spans="1:3" x14ac:dyDescent="0.35">
      <c r="A3049" t="s">
        <v>213</v>
      </c>
      <c r="B3049" t="s">
        <v>256</v>
      </c>
      <c r="C3049" t="s">
        <v>3305</v>
      </c>
    </row>
    <row r="3050" spans="1:3" x14ac:dyDescent="0.35">
      <c r="A3050" t="s">
        <v>213</v>
      </c>
      <c r="B3050" t="s">
        <v>256</v>
      </c>
      <c r="C3050" t="s">
        <v>3306</v>
      </c>
    </row>
    <row r="3051" spans="1:3" x14ac:dyDescent="0.35">
      <c r="A3051" t="s">
        <v>213</v>
      </c>
      <c r="B3051" t="s">
        <v>256</v>
      </c>
      <c r="C3051" t="s">
        <v>3307</v>
      </c>
    </row>
    <row r="3052" spans="1:3" x14ac:dyDescent="0.35">
      <c r="A3052" t="s">
        <v>213</v>
      </c>
      <c r="B3052" t="s">
        <v>256</v>
      </c>
      <c r="C3052" t="s">
        <v>3308</v>
      </c>
    </row>
    <row r="3053" spans="1:3" x14ac:dyDescent="0.35">
      <c r="A3053" t="s">
        <v>213</v>
      </c>
      <c r="B3053" t="s">
        <v>256</v>
      </c>
      <c r="C3053" t="s">
        <v>3309</v>
      </c>
    </row>
    <row r="3054" spans="1:3" x14ac:dyDescent="0.35">
      <c r="A3054" t="s">
        <v>213</v>
      </c>
      <c r="B3054" t="s">
        <v>256</v>
      </c>
      <c r="C3054" t="s">
        <v>3310</v>
      </c>
    </row>
    <row r="3055" spans="1:3" x14ac:dyDescent="0.35">
      <c r="A3055" t="s">
        <v>213</v>
      </c>
      <c r="B3055" t="s">
        <v>256</v>
      </c>
      <c r="C3055" t="s">
        <v>3311</v>
      </c>
    </row>
    <row r="3056" spans="1:3" x14ac:dyDescent="0.35">
      <c r="A3056" t="s">
        <v>213</v>
      </c>
      <c r="B3056" t="s">
        <v>256</v>
      </c>
      <c r="C3056" t="s">
        <v>3312</v>
      </c>
    </row>
    <row r="3057" spans="1:3" x14ac:dyDescent="0.35">
      <c r="A3057" t="s">
        <v>213</v>
      </c>
      <c r="B3057" t="s">
        <v>256</v>
      </c>
      <c r="C3057" t="s">
        <v>3313</v>
      </c>
    </row>
    <row r="3058" spans="1:3" x14ac:dyDescent="0.35">
      <c r="A3058" t="s">
        <v>213</v>
      </c>
      <c r="B3058" t="s">
        <v>256</v>
      </c>
      <c r="C3058" t="s">
        <v>3314</v>
      </c>
    </row>
    <row r="3059" spans="1:3" x14ac:dyDescent="0.35">
      <c r="A3059" t="s">
        <v>213</v>
      </c>
      <c r="B3059" t="s">
        <v>256</v>
      </c>
      <c r="C3059" t="s">
        <v>3315</v>
      </c>
    </row>
    <row r="3060" spans="1:3" x14ac:dyDescent="0.35">
      <c r="A3060" t="s">
        <v>213</v>
      </c>
      <c r="B3060" t="s">
        <v>256</v>
      </c>
      <c r="C3060" t="s">
        <v>3316</v>
      </c>
    </row>
    <row r="3061" spans="1:3" x14ac:dyDescent="0.35">
      <c r="A3061" t="s">
        <v>213</v>
      </c>
      <c r="B3061" t="s">
        <v>256</v>
      </c>
      <c r="C3061" t="s">
        <v>3317</v>
      </c>
    </row>
    <row r="3062" spans="1:3" x14ac:dyDescent="0.35">
      <c r="A3062" t="s">
        <v>213</v>
      </c>
      <c r="B3062" t="s">
        <v>256</v>
      </c>
      <c r="C3062" t="s">
        <v>3318</v>
      </c>
    </row>
    <row r="3063" spans="1:3" x14ac:dyDescent="0.35">
      <c r="A3063" t="s">
        <v>213</v>
      </c>
      <c r="B3063" t="s">
        <v>256</v>
      </c>
      <c r="C3063" t="s">
        <v>3319</v>
      </c>
    </row>
    <row r="3064" spans="1:3" x14ac:dyDescent="0.35">
      <c r="A3064" t="s">
        <v>213</v>
      </c>
      <c r="B3064" t="s">
        <v>256</v>
      </c>
      <c r="C3064" t="s">
        <v>3320</v>
      </c>
    </row>
    <row r="3065" spans="1:3" x14ac:dyDescent="0.35">
      <c r="A3065" t="s">
        <v>213</v>
      </c>
      <c r="B3065" t="s">
        <v>256</v>
      </c>
      <c r="C3065" t="s">
        <v>3321</v>
      </c>
    </row>
    <row r="3066" spans="1:3" x14ac:dyDescent="0.35">
      <c r="A3066" t="s">
        <v>213</v>
      </c>
      <c r="B3066" t="s">
        <v>256</v>
      </c>
      <c r="C3066" t="s">
        <v>3322</v>
      </c>
    </row>
    <row r="3067" spans="1:3" x14ac:dyDescent="0.35">
      <c r="A3067" t="s">
        <v>213</v>
      </c>
      <c r="B3067" t="s">
        <v>256</v>
      </c>
      <c r="C3067" t="s">
        <v>3323</v>
      </c>
    </row>
    <row r="3068" spans="1:3" x14ac:dyDescent="0.35">
      <c r="A3068" t="s">
        <v>213</v>
      </c>
      <c r="B3068" t="s">
        <v>256</v>
      </c>
      <c r="C3068" t="s">
        <v>3324</v>
      </c>
    </row>
    <row r="3069" spans="1:3" x14ac:dyDescent="0.35">
      <c r="A3069" t="s">
        <v>213</v>
      </c>
      <c r="B3069" t="s">
        <v>256</v>
      </c>
      <c r="C3069" t="s">
        <v>3325</v>
      </c>
    </row>
    <row r="3070" spans="1:3" x14ac:dyDescent="0.35">
      <c r="A3070" t="s">
        <v>213</v>
      </c>
      <c r="B3070" t="s">
        <v>256</v>
      </c>
      <c r="C3070" t="s">
        <v>3326</v>
      </c>
    </row>
    <row r="3071" spans="1:3" x14ac:dyDescent="0.35">
      <c r="A3071" t="s">
        <v>213</v>
      </c>
      <c r="B3071" t="s">
        <v>256</v>
      </c>
      <c r="C3071" t="s">
        <v>3327</v>
      </c>
    </row>
    <row r="3072" spans="1:3" x14ac:dyDescent="0.35">
      <c r="A3072" t="s">
        <v>213</v>
      </c>
      <c r="B3072" t="s">
        <v>256</v>
      </c>
      <c r="C3072" t="s">
        <v>3328</v>
      </c>
    </row>
    <row r="3073" spans="1:3" x14ac:dyDescent="0.35">
      <c r="A3073" t="s">
        <v>213</v>
      </c>
      <c r="B3073" t="s">
        <v>256</v>
      </c>
      <c r="C3073" t="s">
        <v>3329</v>
      </c>
    </row>
    <row r="3074" spans="1:3" x14ac:dyDescent="0.35">
      <c r="A3074" t="s">
        <v>213</v>
      </c>
      <c r="B3074" t="s">
        <v>256</v>
      </c>
      <c r="C3074" t="s">
        <v>3330</v>
      </c>
    </row>
    <row r="3075" spans="1:3" x14ac:dyDescent="0.35">
      <c r="A3075" t="s">
        <v>213</v>
      </c>
      <c r="B3075" t="s">
        <v>256</v>
      </c>
      <c r="C3075" t="s">
        <v>3331</v>
      </c>
    </row>
    <row r="3076" spans="1:3" x14ac:dyDescent="0.35">
      <c r="A3076" t="s">
        <v>213</v>
      </c>
      <c r="B3076" t="s">
        <v>256</v>
      </c>
      <c r="C3076" t="s">
        <v>3332</v>
      </c>
    </row>
    <row r="3077" spans="1:3" x14ac:dyDescent="0.35">
      <c r="A3077" t="s">
        <v>213</v>
      </c>
      <c r="B3077" t="s">
        <v>256</v>
      </c>
      <c r="C3077" t="s">
        <v>3333</v>
      </c>
    </row>
    <row r="3078" spans="1:3" x14ac:dyDescent="0.35">
      <c r="A3078" t="s">
        <v>213</v>
      </c>
      <c r="B3078" t="s">
        <v>256</v>
      </c>
      <c r="C3078" t="s">
        <v>3334</v>
      </c>
    </row>
    <row r="3079" spans="1:3" x14ac:dyDescent="0.35">
      <c r="A3079" t="s">
        <v>213</v>
      </c>
      <c r="B3079" t="s">
        <v>256</v>
      </c>
      <c r="C3079" t="s">
        <v>3335</v>
      </c>
    </row>
    <row r="3080" spans="1:3" x14ac:dyDescent="0.35">
      <c r="A3080" t="s">
        <v>213</v>
      </c>
      <c r="B3080" t="s">
        <v>256</v>
      </c>
      <c r="C3080" t="s">
        <v>3336</v>
      </c>
    </row>
    <row r="3081" spans="1:3" x14ac:dyDescent="0.35">
      <c r="A3081" t="s">
        <v>213</v>
      </c>
      <c r="B3081" t="s">
        <v>256</v>
      </c>
      <c r="C3081" t="s">
        <v>3337</v>
      </c>
    </row>
    <row r="3082" spans="1:3" x14ac:dyDescent="0.35">
      <c r="A3082" t="s">
        <v>213</v>
      </c>
      <c r="B3082" t="s">
        <v>256</v>
      </c>
      <c r="C3082" t="s">
        <v>3338</v>
      </c>
    </row>
    <row r="3083" spans="1:3" x14ac:dyDescent="0.35">
      <c r="A3083" t="s">
        <v>213</v>
      </c>
      <c r="B3083" t="s">
        <v>256</v>
      </c>
      <c r="C3083" t="s">
        <v>3339</v>
      </c>
    </row>
    <row r="3084" spans="1:3" x14ac:dyDescent="0.35">
      <c r="A3084" t="s">
        <v>213</v>
      </c>
      <c r="B3084" t="s">
        <v>256</v>
      </c>
      <c r="C3084" t="s">
        <v>3340</v>
      </c>
    </row>
    <row r="3085" spans="1:3" x14ac:dyDescent="0.35">
      <c r="A3085" t="s">
        <v>213</v>
      </c>
      <c r="B3085" t="s">
        <v>256</v>
      </c>
      <c r="C3085" t="s">
        <v>3341</v>
      </c>
    </row>
    <row r="3086" spans="1:3" x14ac:dyDescent="0.35">
      <c r="A3086" t="s">
        <v>213</v>
      </c>
      <c r="B3086" t="s">
        <v>256</v>
      </c>
      <c r="C3086" t="s">
        <v>3342</v>
      </c>
    </row>
    <row r="3087" spans="1:3" x14ac:dyDescent="0.35">
      <c r="A3087" t="s">
        <v>213</v>
      </c>
      <c r="B3087" t="s">
        <v>256</v>
      </c>
      <c r="C3087" t="s">
        <v>3343</v>
      </c>
    </row>
    <row r="3088" spans="1:3" x14ac:dyDescent="0.35">
      <c r="A3088" t="s">
        <v>213</v>
      </c>
      <c r="B3088" t="s">
        <v>256</v>
      </c>
      <c r="C3088" t="s">
        <v>3344</v>
      </c>
    </row>
    <row r="3089" spans="1:3" x14ac:dyDescent="0.35">
      <c r="A3089" t="s">
        <v>213</v>
      </c>
      <c r="B3089" t="s">
        <v>256</v>
      </c>
      <c r="C3089" t="s">
        <v>3345</v>
      </c>
    </row>
    <row r="3090" spans="1:3" x14ac:dyDescent="0.35">
      <c r="A3090" t="s">
        <v>213</v>
      </c>
      <c r="B3090" t="s">
        <v>256</v>
      </c>
      <c r="C3090" t="s">
        <v>3346</v>
      </c>
    </row>
    <row r="3091" spans="1:3" x14ac:dyDescent="0.35">
      <c r="A3091" t="s">
        <v>213</v>
      </c>
      <c r="B3091" t="s">
        <v>256</v>
      </c>
      <c r="C3091" t="s">
        <v>3347</v>
      </c>
    </row>
    <row r="3092" spans="1:3" x14ac:dyDescent="0.35">
      <c r="A3092" t="s">
        <v>213</v>
      </c>
      <c r="B3092" t="s">
        <v>256</v>
      </c>
      <c r="C3092" t="s">
        <v>3348</v>
      </c>
    </row>
    <row r="3093" spans="1:3" x14ac:dyDescent="0.35">
      <c r="A3093" t="s">
        <v>213</v>
      </c>
      <c r="B3093" t="s">
        <v>256</v>
      </c>
      <c r="C3093" t="s">
        <v>3349</v>
      </c>
    </row>
    <row r="3094" spans="1:3" x14ac:dyDescent="0.35">
      <c r="A3094" t="s">
        <v>213</v>
      </c>
      <c r="B3094" t="s">
        <v>256</v>
      </c>
      <c r="C3094" t="s">
        <v>3350</v>
      </c>
    </row>
    <row r="3095" spans="1:3" x14ac:dyDescent="0.35">
      <c r="A3095" t="s">
        <v>213</v>
      </c>
      <c r="B3095" t="s">
        <v>256</v>
      </c>
      <c r="C3095" t="s">
        <v>3351</v>
      </c>
    </row>
    <row r="3096" spans="1:3" x14ac:dyDescent="0.35">
      <c r="A3096" t="s">
        <v>213</v>
      </c>
      <c r="B3096" t="s">
        <v>256</v>
      </c>
      <c r="C3096" t="s">
        <v>3352</v>
      </c>
    </row>
    <row r="3097" spans="1:3" x14ac:dyDescent="0.35">
      <c r="A3097" t="s">
        <v>213</v>
      </c>
      <c r="B3097" t="s">
        <v>256</v>
      </c>
      <c r="C3097" t="s">
        <v>3353</v>
      </c>
    </row>
    <row r="3098" spans="1:3" x14ac:dyDescent="0.35">
      <c r="A3098" t="s">
        <v>213</v>
      </c>
      <c r="B3098" t="s">
        <v>256</v>
      </c>
      <c r="C3098" t="s">
        <v>3354</v>
      </c>
    </row>
    <row r="3099" spans="1:3" x14ac:dyDescent="0.35">
      <c r="A3099" t="s">
        <v>213</v>
      </c>
      <c r="B3099" t="s">
        <v>256</v>
      </c>
      <c r="C3099" t="s">
        <v>3355</v>
      </c>
    </row>
    <row r="3100" spans="1:3" x14ac:dyDescent="0.35">
      <c r="A3100" t="s">
        <v>213</v>
      </c>
      <c r="B3100" t="s">
        <v>256</v>
      </c>
      <c r="C3100" t="s">
        <v>3356</v>
      </c>
    </row>
    <row r="3101" spans="1:3" x14ac:dyDescent="0.35">
      <c r="A3101" t="s">
        <v>213</v>
      </c>
      <c r="B3101" t="s">
        <v>256</v>
      </c>
      <c r="C3101" t="s">
        <v>3357</v>
      </c>
    </row>
    <row r="3102" spans="1:3" x14ac:dyDescent="0.35">
      <c r="A3102" t="s">
        <v>213</v>
      </c>
      <c r="B3102" t="s">
        <v>256</v>
      </c>
      <c r="C3102" t="s">
        <v>3358</v>
      </c>
    </row>
    <row r="3103" spans="1:3" x14ac:dyDescent="0.35">
      <c r="A3103" t="s">
        <v>213</v>
      </c>
      <c r="B3103" t="s">
        <v>256</v>
      </c>
      <c r="C3103" t="s">
        <v>3359</v>
      </c>
    </row>
    <row r="3104" spans="1:3" x14ac:dyDescent="0.35">
      <c r="A3104" t="s">
        <v>213</v>
      </c>
      <c r="B3104" t="s">
        <v>256</v>
      </c>
      <c r="C3104" t="s">
        <v>3360</v>
      </c>
    </row>
    <row r="3105" spans="1:3" x14ac:dyDescent="0.35">
      <c r="A3105" t="s">
        <v>213</v>
      </c>
      <c r="B3105" t="s">
        <v>256</v>
      </c>
      <c r="C3105" t="s">
        <v>3361</v>
      </c>
    </row>
    <row r="3106" spans="1:3" x14ac:dyDescent="0.35">
      <c r="A3106" t="s">
        <v>213</v>
      </c>
      <c r="B3106" t="s">
        <v>256</v>
      </c>
      <c r="C3106" t="s">
        <v>3362</v>
      </c>
    </row>
    <row r="3107" spans="1:3" x14ac:dyDescent="0.35">
      <c r="A3107" t="s">
        <v>213</v>
      </c>
      <c r="B3107" t="s">
        <v>256</v>
      </c>
      <c r="C3107" t="s">
        <v>3363</v>
      </c>
    </row>
    <row r="3108" spans="1:3" x14ac:dyDescent="0.35">
      <c r="A3108" t="s">
        <v>213</v>
      </c>
      <c r="B3108" t="s">
        <v>256</v>
      </c>
      <c r="C3108" t="s">
        <v>3364</v>
      </c>
    </row>
    <row r="3109" spans="1:3" x14ac:dyDescent="0.35">
      <c r="A3109" t="s">
        <v>213</v>
      </c>
      <c r="B3109" t="s">
        <v>256</v>
      </c>
      <c r="C3109" t="s">
        <v>3365</v>
      </c>
    </row>
    <row r="3110" spans="1:3" x14ac:dyDescent="0.35">
      <c r="A3110" t="s">
        <v>213</v>
      </c>
      <c r="B3110" t="s">
        <v>256</v>
      </c>
      <c r="C3110" t="s">
        <v>3366</v>
      </c>
    </row>
    <row r="3111" spans="1:3" x14ac:dyDescent="0.35">
      <c r="A3111" t="s">
        <v>213</v>
      </c>
      <c r="B3111" t="s">
        <v>256</v>
      </c>
      <c r="C3111" t="s">
        <v>3367</v>
      </c>
    </row>
    <row r="3112" spans="1:3" x14ac:dyDescent="0.35">
      <c r="A3112" t="s">
        <v>213</v>
      </c>
      <c r="B3112" t="s">
        <v>256</v>
      </c>
      <c r="C3112" t="s">
        <v>3368</v>
      </c>
    </row>
    <row r="3113" spans="1:3" x14ac:dyDescent="0.35">
      <c r="A3113" t="s">
        <v>213</v>
      </c>
      <c r="B3113" t="s">
        <v>256</v>
      </c>
      <c r="C3113" t="s">
        <v>3369</v>
      </c>
    </row>
    <row r="3114" spans="1:3" x14ac:dyDescent="0.35">
      <c r="A3114" t="s">
        <v>213</v>
      </c>
      <c r="B3114" t="s">
        <v>256</v>
      </c>
      <c r="C3114" t="s">
        <v>3370</v>
      </c>
    </row>
    <row r="3115" spans="1:3" x14ac:dyDescent="0.35">
      <c r="A3115" t="s">
        <v>213</v>
      </c>
      <c r="B3115" t="s">
        <v>256</v>
      </c>
      <c r="C3115" t="s">
        <v>3371</v>
      </c>
    </row>
    <row r="3116" spans="1:3" x14ac:dyDescent="0.35">
      <c r="A3116" t="s">
        <v>213</v>
      </c>
      <c r="B3116" t="s">
        <v>256</v>
      </c>
      <c r="C3116" t="s">
        <v>3372</v>
      </c>
    </row>
    <row r="3117" spans="1:3" x14ac:dyDescent="0.35">
      <c r="A3117" t="s">
        <v>213</v>
      </c>
      <c r="B3117" t="s">
        <v>256</v>
      </c>
      <c r="C3117" t="s">
        <v>3373</v>
      </c>
    </row>
    <row r="3118" spans="1:3" x14ac:dyDescent="0.35">
      <c r="A3118" t="s">
        <v>213</v>
      </c>
      <c r="B3118" t="s">
        <v>256</v>
      </c>
      <c r="C3118" t="s">
        <v>3374</v>
      </c>
    </row>
    <row r="3119" spans="1:3" x14ac:dyDescent="0.35">
      <c r="A3119" t="s">
        <v>213</v>
      </c>
      <c r="B3119" t="s">
        <v>256</v>
      </c>
      <c r="C3119" t="s">
        <v>3375</v>
      </c>
    </row>
    <row r="3120" spans="1:3" x14ac:dyDescent="0.35">
      <c r="A3120" t="s">
        <v>213</v>
      </c>
      <c r="B3120" t="s">
        <v>256</v>
      </c>
      <c r="C3120" t="s">
        <v>3376</v>
      </c>
    </row>
    <row r="3121" spans="1:3" x14ac:dyDescent="0.35">
      <c r="A3121" t="s">
        <v>213</v>
      </c>
      <c r="B3121" t="s">
        <v>256</v>
      </c>
      <c r="C3121" t="s">
        <v>3377</v>
      </c>
    </row>
    <row r="3122" spans="1:3" x14ac:dyDescent="0.35">
      <c r="A3122" t="s">
        <v>213</v>
      </c>
      <c r="B3122" t="s">
        <v>256</v>
      </c>
      <c r="C3122" t="s">
        <v>3378</v>
      </c>
    </row>
    <row r="3123" spans="1:3" x14ac:dyDescent="0.35">
      <c r="A3123" t="s">
        <v>213</v>
      </c>
      <c r="B3123" t="s">
        <v>256</v>
      </c>
      <c r="C3123" t="s">
        <v>3379</v>
      </c>
    </row>
    <row r="3124" spans="1:3" x14ac:dyDescent="0.35">
      <c r="A3124" t="s">
        <v>213</v>
      </c>
      <c r="B3124" t="s">
        <v>256</v>
      </c>
      <c r="C3124" t="s">
        <v>3380</v>
      </c>
    </row>
    <row r="3125" spans="1:3" x14ac:dyDescent="0.35">
      <c r="A3125" t="s">
        <v>213</v>
      </c>
      <c r="B3125" t="s">
        <v>256</v>
      </c>
      <c r="C3125" t="s">
        <v>3381</v>
      </c>
    </row>
    <row r="3126" spans="1:3" x14ac:dyDescent="0.35">
      <c r="A3126" t="s">
        <v>213</v>
      </c>
      <c r="B3126" t="s">
        <v>256</v>
      </c>
      <c r="C3126" t="s">
        <v>3382</v>
      </c>
    </row>
    <row r="3127" spans="1:3" x14ac:dyDescent="0.35">
      <c r="A3127" t="s">
        <v>213</v>
      </c>
      <c r="B3127" t="s">
        <v>256</v>
      </c>
      <c r="C3127" t="s">
        <v>3383</v>
      </c>
    </row>
    <row r="3128" spans="1:3" x14ac:dyDescent="0.35">
      <c r="A3128" t="s">
        <v>213</v>
      </c>
      <c r="B3128" t="s">
        <v>256</v>
      </c>
      <c r="C3128" t="s">
        <v>3384</v>
      </c>
    </row>
    <row r="3129" spans="1:3" x14ac:dyDescent="0.35">
      <c r="A3129" t="s">
        <v>213</v>
      </c>
      <c r="B3129" t="s">
        <v>256</v>
      </c>
      <c r="C3129" t="s">
        <v>3385</v>
      </c>
    </row>
    <row r="3130" spans="1:3" x14ac:dyDescent="0.35">
      <c r="A3130" t="s">
        <v>213</v>
      </c>
      <c r="B3130" t="s">
        <v>256</v>
      </c>
      <c r="C3130" t="s">
        <v>3386</v>
      </c>
    </row>
    <row r="3131" spans="1:3" x14ac:dyDescent="0.35">
      <c r="A3131" t="s">
        <v>213</v>
      </c>
      <c r="B3131" t="s">
        <v>256</v>
      </c>
      <c r="C3131" t="s">
        <v>3387</v>
      </c>
    </row>
    <row r="3132" spans="1:3" x14ac:dyDescent="0.35">
      <c r="A3132" t="s">
        <v>213</v>
      </c>
      <c r="B3132" t="s">
        <v>256</v>
      </c>
      <c r="C3132" t="s">
        <v>3388</v>
      </c>
    </row>
    <row r="3133" spans="1:3" x14ac:dyDescent="0.35">
      <c r="A3133" t="s">
        <v>213</v>
      </c>
      <c r="B3133" t="s">
        <v>256</v>
      </c>
      <c r="C3133" t="s">
        <v>3389</v>
      </c>
    </row>
    <row r="3134" spans="1:3" x14ac:dyDescent="0.35">
      <c r="A3134" t="s">
        <v>213</v>
      </c>
      <c r="B3134" t="s">
        <v>256</v>
      </c>
      <c r="C3134" t="s">
        <v>3390</v>
      </c>
    </row>
    <row r="3135" spans="1:3" x14ac:dyDescent="0.35">
      <c r="A3135" t="s">
        <v>213</v>
      </c>
      <c r="B3135" t="s">
        <v>256</v>
      </c>
      <c r="C3135" t="s">
        <v>3391</v>
      </c>
    </row>
    <row r="3136" spans="1:3" x14ac:dyDescent="0.35">
      <c r="A3136" t="s">
        <v>213</v>
      </c>
      <c r="B3136" t="s">
        <v>256</v>
      </c>
      <c r="C3136" t="s">
        <v>3392</v>
      </c>
    </row>
    <row r="3137" spans="1:3" x14ac:dyDescent="0.35">
      <c r="A3137" t="s">
        <v>213</v>
      </c>
      <c r="B3137" t="s">
        <v>256</v>
      </c>
      <c r="C3137" t="s">
        <v>3393</v>
      </c>
    </row>
    <row r="3138" spans="1:3" x14ac:dyDescent="0.35">
      <c r="A3138" t="s">
        <v>213</v>
      </c>
      <c r="B3138" t="s">
        <v>256</v>
      </c>
      <c r="C3138" t="s">
        <v>3394</v>
      </c>
    </row>
    <row r="3139" spans="1:3" x14ac:dyDescent="0.35">
      <c r="A3139" t="s">
        <v>213</v>
      </c>
      <c r="B3139" t="s">
        <v>256</v>
      </c>
      <c r="C3139" t="s">
        <v>3395</v>
      </c>
    </row>
    <row r="3140" spans="1:3" x14ac:dyDescent="0.35">
      <c r="A3140" t="s">
        <v>213</v>
      </c>
      <c r="B3140" t="s">
        <v>256</v>
      </c>
      <c r="C3140" t="s">
        <v>3396</v>
      </c>
    </row>
    <row r="3141" spans="1:3" x14ac:dyDescent="0.35">
      <c r="A3141" t="s">
        <v>213</v>
      </c>
      <c r="B3141" t="s">
        <v>256</v>
      </c>
      <c r="C3141" t="s">
        <v>3397</v>
      </c>
    </row>
    <row r="3142" spans="1:3" x14ac:dyDescent="0.35">
      <c r="A3142" t="s">
        <v>213</v>
      </c>
      <c r="B3142" t="s">
        <v>256</v>
      </c>
      <c r="C3142" t="s">
        <v>3398</v>
      </c>
    </row>
    <row r="3143" spans="1:3" x14ac:dyDescent="0.35">
      <c r="A3143" t="s">
        <v>213</v>
      </c>
      <c r="B3143" t="s">
        <v>256</v>
      </c>
      <c r="C3143" t="s">
        <v>3399</v>
      </c>
    </row>
    <row r="3144" spans="1:3" x14ac:dyDescent="0.35">
      <c r="A3144" t="s">
        <v>213</v>
      </c>
      <c r="B3144" t="s">
        <v>268</v>
      </c>
      <c r="C3144" t="s">
        <v>3400</v>
      </c>
    </row>
    <row r="3145" spans="1:3" x14ac:dyDescent="0.35">
      <c r="A3145" t="s">
        <v>213</v>
      </c>
      <c r="B3145" t="s">
        <v>268</v>
      </c>
      <c r="C3145" t="s">
        <v>3401</v>
      </c>
    </row>
    <row r="3146" spans="1:3" x14ac:dyDescent="0.35">
      <c r="A3146" t="s">
        <v>213</v>
      </c>
      <c r="B3146" t="s">
        <v>268</v>
      </c>
      <c r="C3146" t="s">
        <v>3402</v>
      </c>
    </row>
    <row r="3147" spans="1:3" x14ac:dyDescent="0.35">
      <c r="A3147" t="s">
        <v>213</v>
      </c>
      <c r="B3147" t="s">
        <v>268</v>
      </c>
      <c r="C3147" t="s">
        <v>3403</v>
      </c>
    </row>
    <row r="3148" spans="1:3" x14ac:dyDescent="0.35">
      <c r="A3148" t="s">
        <v>213</v>
      </c>
      <c r="B3148" t="s">
        <v>268</v>
      </c>
      <c r="C3148" t="s">
        <v>3404</v>
      </c>
    </row>
    <row r="3149" spans="1:3" x14ac:dyDescent="0.35">
      <c r="A3149" t="s">
        <v>213</v>
      </c>
      <c r="B3149" t="s">
        <v>268</v>
      </c>
      <c r="C3149" t="s">
        <v>3405</v>
      </c>
    </row>
    <row r="3150" spans="1:3" x14ac:dyDescent="0.35">
      <c r="A3150" t="s">
        <v>213</v>
      </c>
      <c r="B3150" t="s">
        <v>268</v>
      </c>
      <c r="C3150" t="s">
        <v>3406</v>
      </c>
    </row>
    <row r="3151" spans="1:3" x14ac:dyDescent="0.35">
      <c r="A3151" t="s">
        <v>213</v>
      </c>
      <c r="B3151" t="s">
        <v>268</v>
      </c>
      <c r="C3151" t="s">
        <v>3407</v>
      </c>
    </row>
    <row r="3152" spans="1:3" x14ac:dyDescent="0.35">
      <c r="A3152" t="s">
        <v>213</v>
      </c>
      <c r="B3152" t="s">
        <v>268</v>
      </c>
      <c r="C3152" t="s">
        <v>3408</v>
      </c>
    </row>
    <row r="3153" spans="1:3" x14ac:dyDescent="0.35">
      <c r="A3153" t="s">
        <v>213</v>
      </c>
      <c r="B3153" t="s">
        <v>268</v>
      </c>
      <c r="C3153" t="s">
        <v>3409</v>
      </c>
    </row>
    <row r="3154" spans="1:3" x14ac:dyDescent="0.35">
      <c r="A3154" t="s">
        <v>213</v>
      </c>
      <c r="B3154" t="s">
        <v>268</v>
      </c>
      <c r="C3154" t="s">
        <v>3410</v>
      </c>
    </row>
    <row r="3155" spans="1:3" x14ac:dyDescent="0.35">
      <c r="A3155" t="s">
        <v>213</v>
      </c>
      <c r="B3155" t="s">
        <v>268</v>
      </c>
      <c r="C3155" t="s">
        <v>3411</v>
      </c>
    </row>
    <row r="3156" spans="1:3" x14ac:dyDescent="0.35">
      <c r="A3156" t="s">
        <v>213</v>
      </c>
      <c r="B3156" t="s">
        <v>268</v>
      </c>
      <c r="C3156" t="s">
        <v>3412</v>
      </c>
    </row>
    <row r="3157" spans="1:3" x14ac:dyDescent="0.35">
      <c r="A3157" t="s">
        <v>213</v>
      </c>
      <c r="B3157" t="s">
        <v>268</v>
      </c>
      <c r="C3157" t="s">
        <v>3413</v>
      </c>
    </row>
    <row r="3158" spans="1:3" x14ac:dyDescent="0.35">
      <c r="A3158" t="s">
        <v>213</v>
      </c>
      <c r="B3158" t="s">
        <v>268</v>
      </c>
      <c r="C3158" t="s">
        <v>3414</v>
      </c>
    </row>
    <row r="3159" spans="1:3" x14ac:dyDescent="0.35">
      <c r="A3159" t="s">
        <v>213</v>
      </c>
      <c r="B3159" t="s">
        <v>268</v>
      </c>
      <c r="C3159" t="s">
        <v>3415</v>
      </c>
    </row>
    <row r="3160" spans="1:3" x14ac:dyDescent="0.35">
      <c r="A3160" t="s">
        <v>213</v>
      </c>
      <c r="B3160" t="s">
        <v>268</v>
      </c>
      <c r="C3160" t="s">
        <v>3416</v>
      </c>
    </row>
    <row r="3161" spans="1:3" x14ac:dyDescent="0.35">
      <c r="A3161" t="s">
        <v>213</v>
      </c>
      <c r="B3161" t="s">
        <v>268</v>
      </c>
      <c r="C3161" t="s">
        <v>3417</v>
      </c>
    </row>
    <row r="3162" spans="1:3" x14ac:dyDescent="0.35">
      <c r="A3162" t="s">
        <v>213</v>
      </c>
      <c r="B3162" t="s">
        <v>268</v>
      </c>
      <c r="C3162" t="s">
        <v>3418</v>
      </c>
    </row>
    <row r="3163" spans="1:3" x14ac:dyDescent="0.35">
      <c r="A3163" t="s">
        <v>213</v>
      </c>
      <c r="B3163" t="s">
        <v>268</v>
      </c>
      <c r="C3163" t="s">
        <v>3419</v>
      </c>
    </row>
    <row r="3164" spans="1:3" x14ac:dyDescent="0.35">
      <c r="A3164" t="s">
        <v>213</v>
      </c>
      <c r="B3164" t="s">
        <v>268</v>
      </c>
      <c r="C3164" t="s">
        <v>3420</v>
      </c>
    </row>
    <row r="3165" spans="1:3" x14ac:dyDescent="0.35">
      <c r="A3165" t="s">
        <v>213</v>
      </c>
      <c r="B3165" t="s">
        <v>268</v>
      </c>
      <c r="C3165" t="s">
        <v>3421</v>
      </c>
    </row>
    <row r="3166" spans="1:3" x14ac:dyDescent="0.35">
      <c r="A3166" t="s">
        <v>213</v>
      </c>
      <c r="B3166" t="s">
        <v>268</v>
      </c>
      <c r="C3166" t="s">
        <v>3422</v>
      </c>
    </row>
    <row r="3167" spans="1:3" x14ac:dyDescent="0.35">
      <c r="A3167" t="s">
        <v>213</v>
      </c>
      <c r="B3167" t="s">
        <v>268</v>
      </c>
      <c r="C3167" t="s">
        <v>3423</v>
      </c>
    </row>
    <row r="3168" spans="1:3" x14ac:dyDescent="0.35">
      <c r="A3168" t="s">
        <v>213</v>
      </c>
      <c r="B3168" t="s">
        <v>268</v>
      </c>
      <c r="C3168" t="s">
        <v>3424</v>
      </c>
    </row>
    <row r="3169" spans="1:3" x14ac:dyDescent="0.35">
      <c r="A3169" t="s">
        <v>213</v>
      </c>
      <c r="B3169" t="s">
        <v>268</v>
      </c>
      <c r="C3169" t="s">
        <v>3425</v>
      </c>
    </row>
    <row r="3170" spans="1:3" x14ac:dyDescent="0.35">
      <c r="A3170" t="s">
        <v>213</v>
      </c>
      <c r="B3170" t="s">
        <v>268</v>
      </c>
      <c r="C3170" t="s">
        <v>3426</v>
      </c>
    </row>
    <row r="3171" spans="1:3" x14ac:dyDescent="0.35">
      <c r="A3171" t="s">
        <v>213</v>
      </c>
      <c r="B3171" t="s">
        <v>268</v>
      </c>
      <c r="C3171" t="s">
        <v>3427</v>
      </c>
    </row>
    <row r="3172" spans="1:3" x14ac:dyDescent="0.35">
      <c r="A3172" t="s">
        <v>213</v>
      </c>
      <c r="B3172" t="s">
        <v>268</v>
      </c>
      <c r="C3172" t="s">
        <v>3428</v>
      </c>
    </row>
    <row r="3173" spans="1:3" x14ac:dyDescent="0.35">
      <c r="A3173" t="s">
        <v>213</v>
      </c>
      <c r="B3173" t="s">
        <v>268</v>
      </c>
      <c r="C3173" t="s">
        <v>3429</v>
      </c>
    </row>
    <row r="3174" spans="1:3" x14ac:dyDescent="0.35">
      <c r="A3174" t="s">
        <v>213</v>
      </c>
      <c r="B3174" t="s">
        <v>268</v>
      </c>
      <c r="C3174" t="s">
        <v>3430</v>
      </c>
    </row>
    <row r="3175" spans="1:3" x14ac:dyDescent="0.35">
      <c r="A3175" t="s">
        <v>213</v>
      </c>
      <c r="B3175" t="s">
        <v>268</v>
      </c>
      <c r="C3175" t="s">
        <v>3431</v>
      </c>
    </row>
    <row r="3176" spans="1:3" x14ac:dyDescent="0.35">
      <c r="A3176" t="s">
        <v>213</v>
      </c>
      <c r="B3176" t="s">
        <v>268</v>
      </c>
      <c r="C3176" t="s">
        <v>3432</v>
      </c>
    </row>
    <row r="3177" spans="1:3" x14ac:dyDescent="0.35">
      <c r="A3177" t="s">
        <v>213</v>
      </c>
      <c r="B3177" t="s">
        <v>268</v>
      </c>
      <c r="C3177" t="s">
        <v>3433</v>
      </c>
    </row>
    <row r="3178" spans="1:3" x14ac:dyDescent="0.35">
      <c r="A3178" t="s">
        <v>213</v>
      </c>
      <c r="B3178" t="s">
        <v>268</v>
      </c>
      <c r="C3178" t="s">
        <v>268</v>
      </c>
    </row>
    <row r="3179" spans="1:3" x14ac:dyDescent="0.35">
      <c r="A3179" t="s">
        <v>213</v>
      </c>
      <c r="B3179" t="s">
        <v>268</v>
      </c>
      <c r="C3179" t="s">
        <v>3434</v>
      </c>
    </row>
    <row r="3180" spans="1:3" x14ac:dyDescent="0.35">
      <c r="A3180" t="s">
        <v>213</v>
      </c>
      <c r="B3180" t="s">
        <v>268</v>
      </c>
      <c r="C3180" t="s">
        <v>3435</v>
      </c>
    </row>
    <row r="3181" spans="1:3" x14ac:dyDescent="0.35">
      <c r="A3181" t="s">
        <v>213</v>
      </c>
      <c r="B3181" t="s">
        <v>268</v>
      </c>
      <c r="C3181" t="s">
        <v>3436</v>
      </c>
    </row>
    <row r="3182" spans="1:3" x14ac:dyDescent="0.35">
      <c r="A3182" t="s">
        <v>213</v>
      </c>
      <c r="B3182" t="s">
        <v>268</v>
      </c>
      <c r="C3182" t="s">
        <v>3437</v>
      </c>
    </row>
    <row r="3183" spans="1:3" x14ac:dyDescent="0.35">
      <c r="A3183" t="s">
        <v>213</v>
      </c>
      <c r="B3183" t="s">
        <v>268</v>
      </c>
      <c r="C3183" t="s">
        <v>3438</v>
      </c>
    </row>
    <row r="3184" spans="1:3" x14ac:dyDescent="0.35">
      <c r="A3184" t="s">
        <v>213</v>
      </c>
      <c r="B3184" t="s">
        <v>268</v>
      </c>
      <c r="C3184" t="s">
        <v>3439</v>
      </c>
    </row>
    <row r="3185" spans="1:3" x14ac:dyDescent="0.35">
      <c r="A3185" t="s">
        <v>213</v>
      </c>
      <c r="B3185" t="s">
        <v>268</v>
      </c>
      <c r="C3185" t="s">
        <v>3440</v>
      </c>
    </row>
    <row r="3186" spans="1:3" x14ac:dyDescent="0.35">
      <c r="A3186" t="s">
        <v>213</v>
      </c>
      <c r="B3186" t="s">
        <v>268</v>
      </c>
      <c r="C3186" t="s">
        <v>3441</v>
      </c>
    </row>
    <row r="3187" spans="1:3" x14ac:dyDescent="0.35">
      <c r="A3187" t="s">
        <v>213</v>
      </c>
      <c r="B3187" t="s">
        <v>268</v>
      </c>
      <c r="C3187" t="s">
        <v>3442</v>
      </c>
    </row>
    <row r="3188" spans="1:3" x14ac:dyDescent="0.35">
      <c r="A3188" t="s">
        <v>213</v>
      </c>
      <c r="B3188" t="s">
        <v>268</v>
      </c>
      <c r="C3188" t="s">
        <v>3443</v>
      </c>
    </row>
    <row r="3189" spans="1:3" x14ac:dyDescent="0.35">
      <c r="A3189" t="s">
        <v>213</v>
      </c>
      <c r="B3189" t="s">
        <v>268</v>
      </c>
      <c r="C3189" t="s">
        <v>3444</v>
      </c>
    </row>
    <row r="3190" spans="1:3" x14ac:dyDescent="0.35">
      <c r="A3190" t="s">
        <v>213</v>
      </c>
      <c r="B3190" t="s">
        <v>268</v>
      </c>
      <c r="C3190" t="s">
        <v>3445</v>
      </c>
    </row>
    <row r="3191" spans="1:3" x14ac:dyDescent="0.35">
      <c r="A3191" t="s">
        <v>213</v>
      </c>
      <c r="B3191" t="s">
        <v>268</v>
      </c>
      <c r="C3191" t="s">
        <v>3446</v>
      </c>
    </row>
    <row r="3192" spans="1:3" x14ac:dyDescent="0.35">
      <c r="A3192" t="s">
        <v>213</v>
      </c>
      <c r="B3192" t="s">
        <v>268</v>
      </c>
      <c r="C3192" t="s">
        <v>3447</v>
      </c>
    </row>
    <row r="3193" spans="1:3" x14ac:dyDescent="0.35">
      <c r="A3193" t="s">
        <v>213</v>
      </c>
      <c r="B3193" t="s">
        <v>268</v>
      </c>
      <c r="C3193" t="s">
        <v>3448</v>
      </c>
    </row>
    <row r="3194" spans="1:3" x14ac:dyDescent="0.35">
      <c r="A3194" t="s">
        <v>213</v>
      </c>
      <c r="B3194" t="s">
        <v>268</v>
      </c>
      <c r="C3194" t="s">
        <v>3449</v>
      </c>
    </row>
    <row r="3195" spans="1:3" x14ac:dyDescent="0.35">
      <c r="A3195" t="s">
        <v>213</v>
      </c>
      <c r="B3195" t="s">
        <v>268</v>
      </c>
      <c r="C3195" t="s">
        <v>3450</v>
      </c>
    </row>
    <row r="3196" spans="1:3" x14ac:dyDescent="0.35">
      <c r="A3196" t="s">
        <v>213</v>
      </c>
      <c r="B3196" t="s">
        <v>268</v>
      </c>
      <c r="C3196" t="s">
        <v>3451</v>
      </c>
    </row>
    <row r="3197" spans="1:3" x14ac:dyDescent="0.35">
      <c r="A3197" t="s">
        <v>213</v>
      </c>
      <c r="B3197" t="s">
        <v>268</v>
      </c>
      <c r="C3197" t="s">
        <v>3452</v>
      </c>
    </row>
    <row r="3198" spans="1:3" x14ac:dyDescent="0.35">
      <c r="A3198" t="s">
        <v>213</v>
      </c>
      <c r="B3198" t="s">
        <v>268</v>
      </c>
      <c r="C3198" t="s">
        <v>3453</v>
      </c>
    </row>
    <row r="3199" spans="1:3" x14ac:dyDescent="0.35">
      <c r="A3199" t="s">
        <v>213</v>
      </c>
      <c r="B3199" t="s">
        <v>268</v>
      </c>
      <c r="C3199" t="s">
        <v>3454</v>
      </c>
    </row>
    <row r="3200" spans="1:3" x14ac:dyDescent="0.35">
      <c r="A3200" t="s">
        <v>213</v>
      </c>
      <c r="B3200" t="s">
        <v>268</v>
      </c>
      <c r="C3200" t="s">
        <v>3455</v>
      </c>
    </row>
    <row r="3201" spans="1:3" x14ac:dyDescent="0.35">
      <c r="A3201" t="s">
        <v>213</v>
      </c>
      <c r="B3201" t="s">
        <v>268</v>
      </c>
      <c r="C3201" t="s">
        <v>3456</v>
      </c>
    </row>
    <row r="3202" spans="1:3" x14ac:dyDescent="0.35">
      <c r="A3202" t="s">
        <v>213</v>
      </c>
      <c r="B3202" t="s">
        <v>268</v>
      </c>
      <c r="C3202" t="s">
        <v>3457</v>
      </c>
    </row>
    <row r="3203" spans="1:3" x14ac:dyDescent="0.35">
      <c r="A3203" t="s">
        <v>213</v>
      </c>
      <c r="B3203" t="s">
        <v>268</v>
      </c>
      <c r="C3203" t="s">
        <v>3458</v>
      </c>
    </row>
    <row r="3204" spans="1:3" x14ac:dyDescent="0.35">
      <c r="A3204" t="s">
        <v>213</v>
      </c>
      <c r="B3204" t="s">
        <v>268</v>
      </c>
      <c r="C3204" t="s">
        <v>3459</v>
      </c>
    </row>
    <row r="3205" spans="1:3" x14ac:dyDescent="0.35">
      <c r="A3205" t="s">
        <v>213</v>
      </c>
      <c r="B3205" t="s">
        <v>268</v>
      </c>
      <c r="C3205" t="s">
        <v>3460</v>
      </c>
    </row>
    <row r="3206" spans="1:3" x14ac:dyDescent="0.35">
      <c r="A3206" t="s">
        <v>213</v>
      </c>
      <c r="B3206" t="s">
        <v>268</v>
      </c>
      <c r="C3206" t="s">
        <v>3461</v>
      </c>
    </row>
    <row r="3207" spans="1:3" x14ac:dyDescent="0.35">
      <c r="A3207" t="s">
        <v>213</v>
      </c>
      <c r="B3207" t="s">
        <v>268</v>
      </c>
      <c r="C3207" t="s">
        <v>3462</v>
      </c>
    </row>
    <row r="3208" spans="1:3" x14ac:dyDescent="0.35">
      <c r="A3208" t="s">
        <v>213</v>
      </c>
      <c r="B3208" t="s">
        <v>268</v>
      </c>
      <c r="C3208" t="s">
        <v>3463</v>
      </c>
    </row>
    <row r="3209" spans="1:3" x14ac:dyDescent="0.35">
      <c r="A3209" t="s">
        <v>213</v>
      </c>
      <c r="B3209" t="s">
        <v>268</v>
      </c>
      <c r="C3209" t="s">
        <v>3464</v>
      </c>
    </row>
    <row r="3210" spans="1:3" x14ac:dyDescent="0.35">
      <c r="A3210" t="s">
        <v>213</v>
      </c>
      <c r="B3210" t="s">
        <v>268</v>
      </c>
      <c r="C3210" t="s">
        <v>3465</v>
      </c>
    </row>
    <row r="3211" spans="1:3" x14ac:dyDescent="0.35">
      <c r="A3211" t="s">
        <v>213</v>
      </c>
      <c r="B3211" t="s">
        <v>268</v>
      </c>
      <c r="C3211" t="s">
        <v>3466</v>
      </c>
    </row>
    <row r="3212" spans="1:3" x14ac:dyDescent="0.35">
      <c r="A3212" t="s">
        <v>213</v>
      </c>
      <c r="B3212" t="s">
        <v>268</v>
      </c>
      <c r="C3212" t="s">
        <v>3467</v>
      </c>
    </row>
    <row r="3213" spans="1:3" x14ac:dyDescent="0.35">
      <c r="A3213" t="s">
        <v>213</v>
      </c>
      <c r="B3213" t="s">
        <v>268</v>
      </c>
      <c r="C3213" t="s">
        <v>3468</v>
      </c>
    </row>
    <row r="3214" spans="1:3" x14ac:dyDescent="0.35">
      <c r="A3214" t="s">
        <v>213</v>
      </c>
      <c r="B3214" t="s">
        <v>268</v>
      </c>
      <c r="C3214" t="s">
        <v>3469</v>
      </c>
    </row>
    <row r="3215" spans="1:3" x14ac:dyDescent="0.35">
      <c r="A3215" t="s">
        <v>213</v>
      </c>
      <c r="B3215" t="s">
        <v>268</v>
      </c>
      <c r="C3215" t="s">
        <v>3470</v>
      </c>
    </row>
    <row r="3216" spans="1:3" x14ac:dyDescent="0.35">
      <c r="A3216" t="s">
        <v>213</v>
      </c>
      <c r="B3216" t="s">
        <v>268</v>
      </c>
      <c r="C3216" t="s">
        <v>3471</v>
      </c>
    </row>
    <row r="3217" spans="1:3" x14ac:dyDescent="0.35">
      <c r="A3217" t="s">
        <v>213</v>
      </c>
      <c r="B3217" t="s">
        <v>268</v>
      </c>
      <c r="C3217" t="s">
        <v>3472</v>
      </c>
    </row>
    <row r="3218" spans="1:3" x14ac:dyDescent="0.35">
      <c r="A3218" t="s">
        <v>213</v>
      </c>
      <c r="B3218" t="s">
        <v>268</v>
      </c>
      <c r="C3218" t="s">
        <v>3473</v>
      </c>
    </row>
    <row r="3219" spans="1:3" x14ac:dyDescent="0.35">
      <c r="A3219" t="s">
        <v>213</v>
      </c>
      <c r="B3219" t="s">
        <v>268</v>
      </c>
      <c r="C3219" t="s">
        <v>3474</v>
      </c>
    </row>
    <row r="3220" spans="1:3" x14ac:dyDescent="0.35">
      <c r="A3220" t="s">
        <v>213</v>
      </c>
      <c r="B3220" t="s">
        <v>268</v>
      </c>
      <c r="C3220" t="s">
        <v>3475</v>
      </c>
    </row>
    <row r="3221" spans="1:3" x14ac:dyDescent="0.35">
      <c r="A3221" t="s">
        <v>213</v>
      </c>
      <c r="B3221" t="s">
        <v>268</v>
      </c>
      <c r="C3221" t="s">
        <v>3476</v>
      </c>
    </row>
    <row r="3222" spans="1:3" x14ac:dyDescent="0.35">
      <c r="A3222" t="s">
        <v>213</v>
      </c>
      <c r="B3222" t="s">
        <v>268</v>
      </c>
      <c r="C3222" t="s">
        <v>3477</v>
      </c>
    </row>
    <row r="3223" spans="1:3" x14ac:dyDescent="0.35">
      <c r="A3223" t="s">
        <v>213</v>
      </c>
      <c r="B3223" t="s">
        <v>268</v>
      </c>
      <c r="C3223" t="s">
        <v>3478</v>
      </c>
    </row>
    <row r="3224" spans="1:3" x14ac:dyDescent="0.35">
      <c r="A3224" t="s">
        <v>213</v>
      </c>
      <c r="B3224" t="s">
        <v>268</v>
      </c>
      <c r="C3224" t="s">
        <v>3479</v>
      </c>
    </row>
    <row r="3225" spans="1:3" x14ac:dyDescent="0.35">
      <c r="A3225" t="s">
        <v>213</v>
      </c>
      <c r="B3225" t="s">
        <v>268</v>
      </c>
      <c r="C3225" t="s">
        <v>3480</v>
      </c>
    </row>
    <row r="3226" spans="1:3" x14ac:dyDescent="0.35">
      <c r="A3226" t="s">
        <v>213</v>
      </c>
      <c r="B3226" t="s">
        <v>268</v>
      </c>
      <c r="C3226" t="s">
        <v>3481</v>
      </c>
    </row>
    <row r="3227" spans="1:3" x14ac:dyDescent="0.35">
      <c r="A3227" t="s">
        <v>213</v>
      </c>
      <c r="B3227" t="s">
        <v>268</v>
      </c>
      <c r="C3227" t="s">
        <v>3482</v>
      </c>
    </row>
    <row r="3228" spans="1:3" x14ac:dyDescent="0.35">
      <c r="A3228" t="s">
        <v>213</v>
      </c>
      <c r="B3228" t="s">
        <v>268</v>
      </c>
      <c r="C3228" t="s">
        <v>3483</v>
      </c>
    </row>
    <row r="3229" spans="1:3" x14ac:dyDescent="0.35">
      <c r="A3229" t="s">
        <v>213</v>
      </c>
      <c r="B3229" t="s">
        <v>268</v>
      </c>
      <c r="C3229" t="s">
        <v>3484</v>
      </c>
    </row>
    <row r="3230" spans="1:3" x14ac:dyDescent="0.35">
      <c r="A3230" t="s">
        <v>213</v>
      </c>
      <c r="B3230" t="s">
        <v>268</v>
      </c>
      <c r="C3230" t="s">
        <v>3485</v>
      </c>
    </row>
    <row r="3231" spans="1:3" x14ac:dyDescent="0.35">
      <c r="A3231" t="s">
        <v>213</v>
      </c>
      <c r="B3231" t="s">
        <v>268</v>
      </c>
      <c r="C3231" t="s">
        <v>3486</v>
      </c>
    </row>
    <row r="3232" spans="1:3" x14ac:dyDescent="0.35">
      <c r="A3232" t="s">
        <v>213</v>
      </c>
      <c r="B3232" t="s">
        <v>268</v>
      </c>
      <c r="C3232" t="s">
        <v>3487</v>
      </c>
    </row>
    <row r="3233" spans="1:3" x14ac:dyDescent="0.35">
      <c r="A3233" t="s">
        <v>213</v>
      </c>
      <c r="B3233" t="s">
        <v>268</v>
      </c>
      <c r="C3233" t="s">
        <v>3488</v>
      </c>
    </row>
    <row r="3234" spans="1:3" x14ac:dyDescent="0.35">
      <c r="A3234" t="s">
        <v>213</v>
      </c>
      <c r="B3234" t="s">
        <v>268</v>
      </c>
      <c r="C3234" t="s">
        <v>3489</v>
      </c>
    </row>
    <row r="3235" spans="1:3" x14ac:dyDescent="0.35">
      <c r="A3235" t="s">
        <v>213</v>
      </c>
      <c r="B3235" t="s">
        <v>268</v>
      </c>
      <c r="C3235" t="s">
        <v>3490</v>
      </c>
    </row>
    <row r="3236" spans="1:3" x14ac:dyDescent="0.35">
      <c r="A3236" t="s">
        <v>213</v>
      </c>
      <c r="B3236" t="s">
        <v>268</v>
      </c>
      <c r="C3236" t="s">
        <v>3491</v>
      </c>
    </row>
    <row r="3237" spans="1:3" x14ac:dyDescent="0.35">
      <c r="A3237" t="s">
        <v>213</v>
      </c>
      <c r="B3237" t="s">
        <v>268</v>
      </c>
      <c r="C3237" t="s">
        <v>3492</v>
      </c>
    </row>
    <row r="3238" spans="1:3" x14ac:dyDescent="0.35">
      <c r="A3238" t="s">
        <v>213</v>
      </c>
      <c r="B3238" t="s">
        <v>268</v>
      </c>
      <c r="C3238" t="s">
        <v>3493</v>
      </c>
    </row>
    <row r="3239" spans="1:3" x14ac:dyDescent="0.35">
      <c r="A3239" t="s">
        <v>213</v>
      </c>
      <c r="B3239" t="s">
        <v>268</v>
      </c>
      <c r="C3239" t="s">
        <v>3494</v>
      </c>
    </row>
    <row r="3240" spans="1:3" x14ac:dyDescent="0.35">
      <c r="A3240" t="s">
        <v>213</v>
      </c>
      <c r="B3240" t="s">
        <v>268</v>
      </c>
      <c r="C3240" t="s">
        <v>3495</v>
      </c>
    </row>
    <row r="3241" spans="1:3" x14ac:dyDescent="0.35">
      <c r="A3241" t="s">
        <v>213</v>
      </c>
      <c r="B3241" t="s">
        <v>268</v>
      </c>
      <c r="C3241" t="s">
        <v>3496</v>
      </c>
    </row>
    <row r="3242" spans="1:3" x14ac:dyDescent="0.35">
      <c r="A3242" t="s">
        <v>213</v>
      </c>
      <c r="B3242" t="s">
        <v>268</v>
      </c>
      <c r="C3242" t="s">
        <v>3497</v>
      </c>
    </row>
    <row r="3243" spans="1:3" x14ac:dyDescent="0.35">
      <c r="A3243" t="s">
        <v>213</v>
      </c>
      <c r="B3243" t="s">
        <v>268</v>
      </c>
      <c r="C3243" t="s">
        <v>3498</v>
      </c>
    </row>
    <row r="3244" spans="1:3" x14ac:dyDescent="0.35">
      <c r="A3244" t="s">
        <v>213</v>
      </c>
      <c r="B3244" t="s">
        <v>268</v>
      </c>
      <c r="C3244" t="s">
        <v>3499</v>
      </c>
    </row>
    <row r="3245" spans="1:3" x14ac:dyDescent="0.35">
      <c r="A3245" t="s">
        <v>213</v>
      </c>
      <c r="B3245" t="s">
        <v>268</v>
      </c>
      <c r="C3245" t="s">
        <v>3500</v>
      </c>
    </row>
    <row r="3246" spans="1:3" x14ac:dyDescent="0.35">
      <c r="A3246" t="s">
        <v>213</v>
      </c>
      <c r="B3246" t="s">
        <v>268</v>
      </c>
      <c r="C3246" t="s">
        <v>3501</v>
      </c>
    </row>
    <row r="3247" spans="1:3" x14ac:dyDescent="0.35">
      <c r="A3247" t="s">
        <v>213</v>
      </c>
      <c r="B3247" t="s">
        <v>268</v>
      </c>
      <c r="C3247" t="s">
        <v>3502</v>
      </c>
    </row>
    <row r="3248" spans="1:3" x14ac:dyDescent="0.35">
      <c r="A3248" t="s">
        <v>213</v>
      </c>
      <c r="B3248" t="s">
        <v>268</v>
      </c>
      <c r="C3248" t="s">
        <v>3503</v>
      </c>
    </row>
    <row r="3249" spans="1:3" x14ac:dyDescent="0.35">
      <c r="A3249" t="s">
        <v>213</v>
      </c>
      <c r="B3249" t="s">
        <v>268</v>
      </c>
      <c r="C3249" t="s">
        <v>3504</v>
      </c>
    </row>
    <row r="3250" spans="1:3" x14ac:dyDescent="0.35">
      <c r="A3250" t="s">
        <v>213</v>
      </c>
      <c r="B3250" t="s">
        <v>268</v>
      </c>
      <c r="C3250" t="s">
        <v>3505</v>
      </c>
    </row>
    <row r="3251" spans="1:3" x14ac:dyDescent="0.35">
      <c r="A3251" t="s">
        <v>213</v>
      </c>
      <c r="B3251" t="s">
        <v>268</v>
      </c>
      <c r="C3251" t="s">
        <v>3506</v>
      </c>
    </row>
    <row r="3252" spans="1:3" x14ac:dyDescent="0.35">
      <c r="A3252" t="s">
        <v>213</v>
      </c>
      <c r="B3252" t="s">
        <v>268</v>
      </c>
      <c r="C3252" t="s">
        <v>3507</v>
      </c>
    </row>
    <row r="3253" spans="1:3" x14ac:dyDescent="0.35">
      <c r="A3253" t="s">
        <v>213</v>
      </c>
      <c r="B3253" t="s">
        <v>268</v>
      </c>
      <c r="C3253" t="s">
        <v>3508</v>
      </c>
    </row>
    <row r="3254" spans="1:3" x14ac:dyDescent="0.35">
      <c r="A3254" t="s">
        <v>213</v>
      </c>
      <c r="B3254" t="s">
        <v>268</v>
      </c>
      <c r="C3254" t="s">
        <v>3509</v>
      </c>
    </row>
    <row r="3255" spans="1:3" x14ac:dyDescent="0.35">
      <c r="A3255" t="s">
        <v>213</v>
      </c>
      <c r="B3255" t="s">
        <v>268</v>
      </c>
      <c r="C3255" t="s">
        <v>3510</v>
      </c>
    </row>
    <row r="3256" spans="1:3" x14ac:dyDescent="0.35">
      <c r="A3256" t="s">
        <v>213</v>
      </c>
      <c r="B3256" t="s">
        <v>268</v>
      </c>
      <c r="C3256" t="s">
        <v>3511</v>
      </c>
    </row>
    <row r="3257" spans="1:3" x14ac:dyDescent="0.35">
      <c r="A3257" t="s">
        <v>213</v>
      </c>
      <c r="B3257" t="s">
        <v>57</v>
      </c>
      <c r="C3257" t="s">
        <v>3512</v>
      </c>
    </row>
    <row r="3258" spans="1:3" x14ac:dyDescent="0.35">
      <c r="A3258" t="s">
        <v>213</v>
      </c>
      <c r="B3258" t="s">
        <v>57</v>
      </c>
      <c r="C3258" t="s">
        <v>3513</v>
      </c>
    </row>
    <row r="3259" spans="1:3" x14ac:dyDescent="0.35">
      <c r="A3259" t="s">
        <v>213</v>
      </c>
      <c r="B3259" t="s">
        <v>57</v>
      </c>
      <c r="C3259" t="s">
        <v>3514</v>
      </c>
    </row>
    <row r="3260" spans="1:3" x14ac:dyDescent="0.35">
      <c r="A3260" t="s">
        <v>213</v>
      </c>
      <c r="B3260" t="s">
        <v>57</v>
      </c>
      <c r="C3260" t="s">
        <v>3515</v>
      </c>
    </row>
    <row r="3261" spans="1:3" x14ac:dyDescent="0.35">
      <c r="A3261" t="s">
        <v>213</v>
      </c>
      <c r="B3261" t="s">
        <v>57</v>
      </c>
      <c r="C3261" t="s">
        <v>3516</v>
      </c>
    </row>
    <row r="3262" spans="1:3" x14ac:dyDescent="0.35">
      <c r="A3262" t="s">
        <v>213</v>
      </c>
      <c r="B3262" t="s">
        <v>57</v>
      </c>
      <c r="C3262" t="s">
        <v>3517</v>
      </c>
    </row>
    <row r="3263" spans="1:3" x14ac:dyDescent="0.35">
      <c r="A3263" t="s">
        <v>213</v>
      </c>
      <c r="B3263" t="s">
        <v>57</v>
      </c>
      <c r="C3263" t="s">
        <v>3518</v>
      </c>
    </row>
    <row r="3264" spans="1:3" x14ac:dyDescent="0.35">
      <c r="A3264" t="s">
        <v>213</v>
      </c>
      <c r="B3264" t="s">
        <v>57</v>
      </c>
      <c r="C3264" t="s">
        <v>3519</v>
      </c>
    </row>
    <row r="3265" spans="1:3" x14ac:dyDescent="0.35">
      <c r="A3265" t="s">
        <v>213</v>
      </c>
      <c r="B3265" t="s">
        <v>57</v>
      </c>
      <c r="C3265" t="s">
        <v>3520</v>
      </c>
    </row>
    <row r="3266" spans="1:3" x14ac:dyDescent="0.35">
      <c r="A3266" t="s">
        <v>213</v>
      </c>
      <c r="B3266" t="s">
        <v>57</v>
      </c>
      <c r="C3266" t="s">
        <v>3521</v>
      </c>
    </row>
    <row r="3267" spans="1:3" x14ac:dyDescent="0.35">
      <c r="A3267" t="s">
        <v>213</v>
      </c>
      <c r="B3267" t="s">
        <v>57</v>
      </c>
      <c r="C3267" t="s">
        <v>3522</v>
      </c>
    </row>
    <row r="3268" spans="1:3" x14ac:dyDescent="0.35">
      <c r="A3268" t="s">
        <v>213</v>
      </c>
      <c r="B3268" t="s">
        <v>57</v>
      </c>
      <c r="C3268" t="s">
        <v>3523</v>
      </c>
    </row>
    <row r="3269" spans="1:3" x14ac:dyDescent="0.35">
      <c r="A3269" t="s">
        <v>213</v>
      </c>
      <c r="B3269" t="s">
        <v>57</v>
      </c>
      <c r="C3269" t="s">
        <v>3524</v>
      </c>
    </row>
    <row r="3270" spans="1:3" x14ac:dyDescent="0.35">
      <c r="A3270" t="s">
        <v>213</v>
      </c>
      <c r="B3270" t="s">
        <v>57</v>
      </c>
      <c r="C3270" t="s">
        <v>3525</v>
      </c>
    </row>
    <row r="3271" spans="1:3" x14ac:dyDescent="0.35">
      <c r="A3271" t="s">
        <v>213</v>
      </c>
      <c r="B3271" t="s">
        <v>57</v>
      </c>
      <c r="C3271" t="s">
        <v>3526</v>
      </c>
    </row>
    <row r="3272" spans="1:3" x14ac:dyDescent="0.35">
      <c r="A3272" t="s">
        <v>213</v>
      </c>
      <c r="B3272" t="s">
        <v>57</v>
      </c>
      <c r="C3272" t="s">
        <v>3527</v>
      </c>
    </row>
    <row r="3273" spans="1:3" x14ac:dyDescent="0.35">
      <c r="A3273" t="s">
        <v>213</v>
      </c>
      <c r="B3273" t="s">
        <v>57</v>
      </c>
      <c r="C3273" t="s">
        <v>3528</v>
      </c>
    </row>
    <row r="3274" spans="1:3" x14ac:dyDescent="0.35">
      <c r="A3274" t="s">
        <v>213</v>
      </c>
      <c r="B3274" t="s">
        <v>57</v>
      </c>
      <c r="C3274" t="s">
        <v>3529</v>
      </c>
    </row>
    <row r="3275" spans="1:3" x14ac:dyDescent="0.35">
      <c r="A3275" t="s">
        <v>213</v>
      </c>
      <c r="B3275" t="s">
        <v>57</v>
      </c>
      <c r="C3275" t="s">
        <v>3530</v>
      </c>
    </row>
    <row r="3276" spans="1:3" x14ac:dyDescent="0.35">
      <c r="A3276" t="s">
        <v>213</v>
      </c>
      <c r="B3276" t="s">
        <v>57</v>
      </c>
      <c r="C3276" t="s">
        <v>3531</v>
      </c>
    </row>
    <row r="3277" spans="1:3" x14ac:dyDescent="0.35">
      <c r="A3277" t="s">
        <v>213</v>
      </c>
      <c r="B3277" t="s">
        <v>57</v>
      </c>
      <c r="C3277" t="s">
        <v>3532</v>
      </c>
    </row>
    <row r="3278" spans="1:3" x14ac:dyDescent="0.35">
      <c r="A3278" t="s">
        <v>213</v>
      </c>
      <c r="B3278" t="s">
        <v>57</v>
      </c>
      <c r="C3278" t="s">
        <v>3533</v>
      </c>
    </row>
    <row r="3279" spans="1:3" x14ac:dyDescent="0.35">
      <c r="A3279" t="s">
        <v>213</v>
      </c>
      <c r="B3279" t="s">
        <v>57</v>
      </c>
      <c r="C3279" t="s">
        <v>3534</v>
      </c>
    </row>
    <row r="3280" spans="1:3" x14ac:dyDescent="0.35">
      <c r="A3280" t="s">
        <v>213</v>
      </c>
      <c r="B3280" t="s">
        <v>57</v>
      </c>
      <c r="C3280" t="s">
        <v>3535</v>
      </c>
    </row>
    <row r="3281" spans="1:3" x14ac:dyDescent="0.35">
      <c r="A3281" t="s">
        <v>213</v>
      </c>
      <c r="B3281" t="s">
        <v>57</v>
      </c>
      <c r="C3281" t="s">
        <v>3536</v>
      </c>
    </row>
    <row r="3282" spans="1:3" x14ac:dyDescent="0.35">
      <c r="A3282" t="s">
        <v>213</v>
      </c>
      <c r="B3282" t="s">
        <v>57</v>
      </c>
      <c r="C3282" t="s">
        <v>3537</v>
      </c>
    </row>
    <row r="3283" spans="1:3" x14ac:dyDescent="0.35">
      <c r="A3283" t="s">
        <v>213</v>
      </c>
      <c r="B3283" t="s">
        <v>57</v>
      </c>
      <c r="C3283" t="s">
        <v>3538</v>
      </c>
    </row>
    <row r="3284" spans="1:3" x14ac:dyDescent="0.35">
      <c r="A3284" t="s">
        <v>213</v>
      </c>
      <c r="B3284" t="s">
        <v>57</v>
      </c>
      <c r="C3284" t="s">
        <v>3539</v>
      </c>
    </row>
    <row r="3285" spans="1:3" x14ac:dyDescent="0.35">
      <c r="A3285" t="s">
        <v>213</v>
      </c>
      <c r="B3285" t="s">
        <v>57</v>
      </c>
      <c r="C3285" t="s">
        <v>3540</v>
      </c>
    </row>
    <row r="3286" spans="1:3" x14ac:dyDescent="0.35">
      <c r="A3286" t="s">
        <v>213</v>
      </c>
      <c r="B3286" t="s">
        <v>57</v>
      </c>
      <c r="C3286" t="s">
        <v>3541</v>
      </c>
    </row>
    <row r="3287" spans="1:3" x14ac:dyDescent="0.35">
      <c r="A3287" t="s">
        <v>213</v>
      </c>
      <c r="B3287" t="s">
        <v>57</v>
      </c>
      <c r="C3287" t="s">
        <v>3542</v>
      </c>
    </row>
    <row r="3288" spans="1:3" x14ac:dyDescent="0.35">
      <c r="A3288" t="s">
        <v>213</v>
      </c>
      <c r="B3288" t="s">
        <v>57</v>
      </c>
      <c r="C3288" t="s">
        <v>3543</v>
      </c>
    </row>
    <row r="3289" spans="1:3" x14ac:dyDescent="0.35">
      <c r="A3289" t="s">
        <v>213</v>
      </c>
      <c r="B3289" t="s">
        <v>57</v>
      </c>
      <c r="C3289" t="s">
        <v>3544</v>
      </c>
    </row>
    <row r="3290" spans="1:3" x14ac:dyDescent="0.35">
      <c r="A3290" t="s">
        <v>213</v>
      </c>
      <c r="B3290" t="s">
        <v>57</v>
      </c>
      <c r="C3290" t="s">
        <v>3545</v>
      </c>
    </row>
    <row r="3291" spans="1:3" x14ac:dyDescent="0.35">
      <c r="A3291" t="s">
        <v>213</v>
      </c>
      <c r="B3291" t="s">
        <v>57</v>
      </c>
      <c r="C3291" t="s">
        <v>3546</v>
      </c>
    </row>
    <row r="3292" spans="1:3" x14ac:dyDescent="0.35">
      <c r="A3292" t="s">
        <v>213</v>
      </c>
      <c r="B3292" t="s">
        <v>57</v>
      </c>
      <c r="C3292" t="s">
        <v>3547</v>
      </c>
    </row>
    <row r="3293" spans="1:3" x14ac:dyDescent="0.35">
      <c r="A3293" t="s">
        <v>213</v>
      </c>
      <c r="B3293" t="s">
        <v>57</v>
      </c>
      <c r="C3293" t="s">
        <v>3548</v>
      </c>
    </row>
    <row r="3294" spans="1:3" x14ac:dyDescent="0.35">
      <c r="A3294" t="s">
        <v>213</v>
      </c>
      <c r="B3294" t="s">
        <v>57</v>
      </c>
      <c r="C3294" t="s">
        <v>3549</v>
      </c>
    </row>
    <row r="3295" spans="1:3" x14ac:dyDescent="0.35">
      <c r="A3295" t="s">
        <v>213</v>
      </c>
      <c r="B3295" t="s">
        <v>57</v>
      </c>
      <c r="C3295" t="s">
        <v>3550</v>
      </c>
    </row>
    <row r="3296" spans="1:3" x14ac:dyDescent="0.35">
      <c r="A3296" t="s">
        <v>213</v>
      </c>
      <c r="B3296" t="s">
        <v>57</v>
      </c>
      <c r="C3296" t="s">
        <v>3551</v>
      </c>
    </row>
    <row r="3297" spans="1:3" x14ac:dyDescent="0.35">
      <c r="A3297" t="s">
        <v>213</v>
      </c>
      <c r="B3297" t="s">
        <v>57</v>
      </c>
      <c r="C3297" t="s">
        <v>3552</v>
      </c>
    </row>
    <row r="3298" spans="1:3" x14ac:dyDescent="0.35">
      <c r="A3298" t="s">
        <v>213</v>
      </c>
      <c r="B3298" t="s">
        <v>57</v>
      </c>
      <c r="C3298" t="s">
        <v>57</v>
      </c>
    </row>
    <row r="3299" spans="1:3" x14ac:dyDescent="0.35">
      <c r="A3299" t="s">
        <v>213</v>
      </c>
      <c r="B3299" t="s">
        <v>57</v>
      </c>
      <c r="C3299" t="s">
        <v>3553</v>
      </c>
    </row>
    <row r="3300" spans="1:3" x14ac:dyDescent="0.35">
      <c r="A3300" t="s">
        <v>213</v>
      </c>
      <c r="B3300" t="s">
        <v>57</v>
      </c>
      <c r="C3300" t="s">
        <v>3554</v>
      </c>
    </row>
    <row r="3301" spans="1:3" x14ac:dyDescent="0.35">
      <c r="A3301" t="s">
        <v>213</v>
      </c>
      <c r="B3301" t="s">
        <v>57</v>
      </c>
      <c r="C3301" t="s">
        <v>3555</v>
      </c>
    </row>
    <row r="3302" spans="1:3" x14ac:dyDescent="0.35">
      <c r="A3302" t="s">
        <v>213</v>
      </c>
      <c r="B3302" t="s">
        <v>57</v>
      </c>
      <c r="C3302" t="s">
        <v>3556</v>
      </c>
    </row>
    <row r="3303" spans="1:3" x14ac:dyDescent="0.35">
      <c r="A3303" t="s">
        <v>213</v>
      </c>
      <c r="B3303" t="s">
        <v>57</v>
      </c>
      <c r="C3303" t="s">
        <v>3557</v>
      </c>
    </row>
    <row r="3304" spans="1:3" x14ac:dyDescent="0.35">
      <c r="A3304" t="s">
        <v>213</v>
      </c>
      <c r="B3304" t="s">
        <v>57</v>
      </c>
      <c r="C3304" t="s">
        <v>3558</v>
      </c>
    </row>
    <row r="3305" spans="1:3" x14ac:dyDescent="0.35">
      <c r="A3305" t="s">
        <v>213</v>
      </c>
      <c r="B3305" t="s">
        <v>57</v>
      </c>
      <c r="C3305" t="s">
        <v>3559</v>
      </c>
    </row>
    <row r="3306" spans="1:3" x14ac:dyDescent="0.35">
      <c r="A3306" t="s">
        <v>213</v>
      </c>
      <c r="B3306" t="s">
        <v>57</v>
      </c>
      <c r="C3306" t="s">
        <v>3560</v>
      </c>
    </row>
    <row r="3307" spans="1:3" x14ac:dyDescent="0.35">
      <c r="A3307" t="s">
        <v>213</v>
      </c>
      <c r="B3307" t="s">
        <v>57</v>
      </c>
      <c r="C3307" t="s">
        <v>3561</v>
      </c>
    </row>
    <row r="3308" spans="1:3" x14ac:dyDescent="0.35">
      <c r="A3308" t="s">
        <v>213</v>
      </c>
      <c r="B3308" t="s">
        <v>57</v>
      </c>
      <c r="C3308" t="s">
        <v>3562</v>
      </c>
    </row>
    <row r="3309" spans="1:3" x14ac:dyDescent="0.35">
      <c r="A3309" t="s">
        <v>213</v>
      </c>
      <c r="B3309" t="s">
        <v>57</v>
      </c>
      <c r="C3309" t="s">
        <v>3563</v>
      </c>
    </row>
    <row r="3310" spans="1:3" x14ac:dyDescent="0.35">
      <c r="A3310" t="s">
        <v>213</v>
      </c>
      <c r="B3310" t="s">
        <v>57</v>
      </c>
      <c r="C3310" t="s">
        <v>3564</v>
      </c>
    </row>
    <row r="3311" spans="1:3" x14ac:dyDescent="0.35">
      <c r="A3311" t="s">
        <v>213</v>
      </c>
      <c r="B3311" t="s">
        <v>57</v>
      </c>
      <c r="C3311" t="s">
        <v>3565</v>
      </c>
    </row>
    <row r="3312" spans="1:3" x14ac:dyDescent="0.35">
      <c r="A3312" t="s">
        <v>213</v>
      </c>
      <c r="B3312" t="s">
        <v>57</v>
      </c>
      <c r="C3312" t="s">
        <v>3566</v>
      </c>
    </row>
    <row r="3313" spans="1:3" x14ac:dyDescent="0.35">
      <c r="A3313" t="s">
        <v>213</v>
      </c>
      <c r="B3313" t="s">
        <v>57</v>
      </c>
      <c r="C3313" t="s">
        <v>3567</v>
      </c>
    </row>
    <row r="3314" spans="1:3" x14ac:dyDescent="0.35">
      <c r="A3314" t="s">
        <v>213</v>
      </c>
      <c r="B3314" t="s">
        <v>57</v>
      </c>
      <c r="C3314" t="s">
        <v>3568</v>
      </c>
    </row>
    <row r="3315" spans="1:3" x14ac:dyDescent="0.35">
      <c r="A3315" t="s">
        <v>213</v>
      </c>
      <c r="B3315" t="s">
        <v>57</v>
      </c>
      <c r="C3315" t="s">
        <v>3569</v>
      </c>
    </row>
    <row r="3316" spans="1:3" x14ac:dyDescent="0.35">
      <c r="A3316" t="s">
        <v>213</v>
      </c>
      <c r="B3316" t="s">
        <v>57</v>
      </c>
      <c r="C3316" t="s">
        <v>3570</v>
      </c>
    </row>
    <row r="3317" spans="1:3" x14ac:dyDescent="0.35">
      <c r="A3317" t="s">
        <v>213</v>
      </c>
      <c r="B3317" t="s">
        <v>57</v>
      </c>
      <c r="C3317" t="s">
        <v>3571</v>
      </c>
    </row>
    <row r="3318" spans="1:3" x14ac:dyDescent="0.35">
      <c r="A3318" t="s">
        <v>213</v>
      </c>
      <c r="B3318" t="s">
        <v>57</v>
      </c>
      <c r="C3318" t="s">
        <v>3572</v>
      </c>
    </row>
    <row r="3319" spans="1:3" x14ac:dyDescent="0.35">
      <c r="A3319" t="s">
        <v>213</v>
      </c>
      <c r="B3319" t="s">
        <v>57</v>
      </c>
      <c r="C3319" t="s">
        <v>3573</v>
      </c>
    </row>
    <row r="3320" spans="1:3" x14ac:dyDescent="0.35">
      <c r="A3320" t="s">
        <v>213</v>
      </c>
      <c r="B3320" t="s">
        <v>57</v>
      </c>
      <c r="C3320" t="s">
        <v>3574</v>
      </c>
    </row>
    <row r="3321" spans="1:3" x14ac:dyDescent="0.35">
      <c r="A3321" t="s">
        <v>213</v>
      </c>
      <c r="B3321" t="s">
        <v>57</v>
      </c>
      <c r="C3321" t="s">
        <v>3575</v>
      </c>
    </row>
    <row r="3322" spans="1:3" x14ac:dyDescent="0.35">
      <c r="A3322" t="s">
        <v>213</v>
      </c>
      <c r="B3322" t="s">
        <v>57</v>
      </c>
      <c r="C3322" t="s">
        <v>3576</v>
      </c>
    </row>
    <row r="3323" spans="1:3" x14ac:dyDescent="0.35">
      <c r="A3323" t="s">
        <v>213</v>
      </c>
      <c r="B3323" t="s">
        <v>57</v>
      </c>
      <c r="C3323" t="s">
        <v>3577</v>
      </c>
    </row>
    <row r="3324" spans="1:3" x14ac:dyDescent="0.35">
      <c r="A3324" t="s">
        <v>213</v>
      </c>
      <c r="B3324" t="s">
        <v>57</v>
      </c>
      <c r="C3324" t="s">
        <v>3578</v>
      </c>
    </row>
    <row r="3325" spans="1:3" x14ac:dyDescent="0.35">
      <c r="A3325" t="s">
        <v>213</v>
      </c>
      <c r="B3325" t="s">
        <v>57</v>
      </c>
      <c r="C3325" t="s">
        <v>3579</v>
      </c>
    </row>
    <row r="3326" spans="1:3" x14ac:dyDescent="0.35">
      <c r="A3326" t="s">
        <v>213</v>
      </c>
      <c r="B3326" t="s">
        <v>57</v>
      </c>
      <c r="C3326" t="s">
        <v>3580</v>
      </c>
    </row>
    <row r="3327" spans="1:3" x14ac:dyDescent="0.35">
      <c r="A3327" t="s">
        <v>213</v>
      </c>
      <c r="B3327" t="s">
        <v>57</v>
      </c>
      <c r="C3327" t="s">
        <v>3581</v>
      </c>
    </row>
    <row r="3328" spans="1:3" x14ac:dyDescent="0.35">
      <c r="A3328" t="s">
        <v>213</v>
      </c>
      <c r="B3328" t="s">
        <v>57</v>
      </c>
      <c r="C3328" t="s">
        <v>3582</v>
      </c>
    </row>
    <row r="3329" spans="1:3" x14ac:dyDescent="0.35">
      <c r="A3329" t="s">
        <v>213</v>
      </c>
      <c r="B3329" t="s">
        <v>57</v>
      </c>
      <c r="C3329" t="s">
        <v>3583</v>
      </c>
    </row>
    <row r="3330" spans="1:3" x14ac:dyDescent="0.35">
      <c r="A3330" t="s">
        <v>213</v>
      </c>
      <c r="B3330" t="s">
        <v>57</v>
      </c>
      <c r="C3330" t="s">
        <v>3584</v>
      </c>
    </row>
    <row r="3331" spans="1:3" x14ac:dyDescent="0.35">
      <c r="A3331" t="s">
        <v>213</v>
      </c>
      <c r="B3331" t="s">
        <v>57</v>
      </c>
      <c r="C3331" t="s">
        <v>3585</v>
      </c>
    </row>
    <row r="3332" spans="1:3" x14ac:dyDescent="0.35">
      <c r="A3332" t="s">
        <v>213</v>
      </c>
      <c r="B3332" t="s">
        <v>57</v>
      </c>
      <c r="C3332" t="s">
        <v>3586</v>
      </c>
    </row>
    <row r="3333" spans="1:3" x14ac:dyDescent="0.35">
      <c r="A3333" t="s">
        <v>213</v>
      </c>
      <c r="B3333" t="s">
        <v>57</v>
      </c>
      <c r="C3333" t="s">
        <v>3587</v>
      </c>
    </row>
    <row r="3334" spans="1:3" x14ac:dyDescent="0.35">
      <c r="A3334" t="s">
        <v>213</v>
      </c>
      <c r="B3334" t="s">
        <v>57</v>
      </c>
      <c r="C3334" t="s">
        <v>3588</v>
      </c>
    </row>
    <row r="3335" spans="1:3" x14ac:dyDescent="0.35">
      <c r="A3335" t="s">
        <v>213</v>
      </c>
      <c r="B3335" t="s">
        <v>57</v>
      </c>
      <c r="C3335" t="s">
        <v>3589</v>
      </c>
    </row>
    <row r="3336" spans="1:3" x14ac:dyDescent="0.35">
      <c r="A3336" t="s">
        <v>213</v>
      </c>
      <c r="B3336" t="s">
        <v>57</v>
      </c>
      <c r="C3336" t="s">
        <v>3590</v>
      </c>
    </row>
    <row r="3337" spans="1:3" x14ac:dyDescent="0.35">
      <c r="A3337" t="s">
        <v>213</v>
      </c>
      <c r="B3337" t="s">
        <v>57</v>
      </c>
      <c r="C3337" t="s">
        <v>3591</v>
      </c>
    </row>
    <row r="3338" spans="1:3" x14ac:dyDescent="0.35">
      <c r="A3338" t="s">
        <v>213</v>
      </c>
      <c r="B3338" t="s">
        <v>57</v>
      </c>
      <c r="C3338" t="s">
        <v>3592</v>
      </c>
    </row>
    <row r="3339" spans="1:3" x14ac:dyDescent="0.35">
      <c r="A3339" t="s">
        <v>213</v>
      </c>
      <c r="B3339" t="s">
        <v>57</v>
      </c>
      <c r="C3339" t="s">
        <v>3593</v>
      </c>
    </row>
    <row r="3340" spans="1:3" x14ac:dyDescent="0.35">
      <c r="A3340" t="s">
        <v>213</v>
      </c>
      <c r="B3340" t="s">
        <v>57</v>
      </c>
      <c r="C3340" t="s">
        <v>3594</v>
      </c>
    </row>
    <row r="3341" spans="1:3" x14ac:dyDescent="0.35">
      <c r="A3341" t="s">
        <v>213</v>
      </c>
      <c r="B3341" t="s">
        <v>279</v>
      </c>
      <c r="C3341" t="s">
        <v>3595</v>
      </c>
    </row>
    <row r="3342" spans="1:3" x14ac:dyDescent="0.35">
      <c r="A3342" t="s">
        <v>213</v>
      </c>
      <c r="B3342" t="s">
        <v>279</v>
      </c>
      <c r="C3342" t="s">
        <v>3596</v>
      </c>
    </row>
    <row r="3343" spans="1:3" x14ac:dyDescent="0.35">
      <c r="A3343" t="s">
        <v>213</v>
      </c>
      <c r="B3343" t="s">
        <v>279</v>
      </c>
      <c r="C3343" t="s">
        <v>3597</v>
      </c>
    </row>
    <row r="3344" spans="1:3" x14ac:dyDescent="0.35">
      <c r="A3344" t="s">
        <v>213</v>
      </c>
      <c r="B3344" t="s">
        <v>279</v>
      </c>
      <c r="C3344" t="s">
        <v>3598</v>
      </c>
    </row>
    <row r="3345" spans="1:3" x14ac:dyDescent="0.35">
      <c r="A3345" t="s">
        <v>213</v>
      </c>
      <c r="B3345" t="s">
        <v>279</v>
      </c>
      <c r="C3345" t="s">
        <v>3599</v>
      </c>
    </row>
    <row r="3346" spans="1:3" x14ac:dyDescent="0.35">
      <c r="A3346" t="s">
        <v>213</v>
      </c>
      <c r="B3346" t="s">
        <v>279</v>
      </c>
      <c r="C3346" t="s">
        <v>3600</v>
      </c>
    </row>
    <row r="3347" spans="1:3" x14ac:dyDescent="0.35">
      <c r="A3347" t="s">
        <v>213</v>
      </c>
      <c r="B3347" t="s">
        <v>279</v>
      </c>
      <c r="C3347" t="s">
        <v>3601</v>
      </c>
    </row>
    <row r="3348" spans="1:3" x14ac:dyDescent="0.35">
      <c r="A3348" t="s">
        <v>213</v>
      </c>
      <c r="B3348" t="s">
        <v>279</v>
      </c>
      <c r="C3348" t="s">
        <v>3602</v>
      </c>
    </row>
    <row r="3349" spans="1:3" x14ac:dyDescent="0.35">
      <c r="A3349" t="s">
        <v>213</v>
      </c>
      <c r="B3349" t="s">
        <v>279</v>
      </c>
      <c r="C3349" t="s">
        <v>3603</v>
      </c>
    </row>
    <row r="3350" spans="1:3" x14ac:dyDescent="0.35">
      <c r="A3350" t="s">
        <v>213</v>
      </c>
      <c r="B3350" t="s">
        <v>279</v>
      </c>
      <c r="C3350" t="s">
        <v>3604</v>
      </c>
    </row>
    <row r="3351" spans="1:3" x14ac:dyDescent="0.35">
      <c r="A3351" t="s">
        <v>213</v>
      </c>
      <c r="B3351" t="s">
        <v>279</v>
      </c>
      <c r="C3351" t="s">
        <v>3605</v>
      </c>
    </row>
    <row r="3352" spans="1:3" x14ac:dyDescent="0.35">
      <c r="A3352" t="s">
        <v>213</v>
      </c>
      <c r="B3352" t="s">
        <v>279</v>
      </c>
      <c r="C3352" t="s">
        <v>3606</v>
      </c>
    </row>
    <row r="3353" spans="1:3" x14ac:dyDescent="0.35">
      <c r="A3353" t="s">
        <v>213</v>
      </c>
      <c r="B3353" t="s">
        <v>279</v>
      </c>
      <c r="C3353" t="s">
        <v>3607</v>
      </c>
    </row>
    <row r="3354" spans="1:3" x14ac:dyDescent="0.35">
      <c r="A3354" t="s">
        <v>213</v>
      </c>
      <c r="B3354" t="s">
        <v>279</v>
      </c>
      <c r="C3354" t="s">
        <v>3608</v>
      </c>
    </row>
    <row r="3355" spans="1:3" x14ac:dyDescent="0.35">
      <c r="A3355" t="s">
        <v>213</v>
      </c>
      <c r="B3355" t="s">
        <v>279</v>
      </c>
      <c r="C3355" t="s">
        <v>3609</v>
      </c>
    </row>
    <row r="3356" spans="1:3" x14ac:dyDescent="0.35">
      <c r="A3356" t="s">
        <v>213</v>
      </c>
      <c r="B3356" t="s">
        <v>279</v>
      </c>
      <c r="C3356" t="s">
        <v>3610</v>
      </c>
    </row>
    <row r="3357" spans="1:3" x14ac:dyDescent="0.35">
      <c r="A3357" t="s">
        <v>213</v>
      </c>
      <c r="B3357" t="s">
        <v>279</v>
      </c>
      <c r="C3357" t="s">
        <v>3611</v>
      </c>
    </row>
    <row r="3358" spans="1:3" x14ac:dyDescent="0.35">
      <c r="A3358" t="s">
        <v>213</v>
      </c>
      <c r="B3358" t="s">
        <v>279</v>
      </c>
      <c r="C3358" t="s">
        <v>3612</v>
      </c>
    </row>
    <row r="3359" spans="1:3" x14ac:dyDescent="0.35">
      <c r="A3359" t="s">
        <v>213</v>
      </c>
      <c r="B3359" t="s">
        <v>279</v>
      </c>
      <c r="C3359" t="s">
        <v>3613</v>
      </c>
    </row>
    <row r="3360" spans="1:3" x14ac:dyDescent="0.35">
      <c r="A3360" t="s">
        <v>213</v>
      </c>
      <c r="B3360" t="s">
        <v>279</v>
      </c>
      <c r="C3360" t="s">
        <v>3614</v>
      </c>
    </row>
    <row r="3361" spans="1:3" x14ac:dyDescent="0.35">
      <c r="A3361" t="s">
        <v>213</v>
      </c>
      <c r="B3361" t="s">
        <v>279</v>
      </c>
      <c r="C3361" t="s">
        <v>3615</v>
      </c>
    </row>
    <row r="3362" spans="1:3" x14ac:dyDescent="0.35">
      <c r="A3362" t="s">
        <v>213</v>
      </c>
      <c r="B3362" t="s">
        <v>279</v>
      </c>
      <c r="C3362" t="s">
        <v>3616</v>
      </c>
    </row>
    <row r="3363" spans="1:3" x14ac:dyDescent="0.35">
      <c r="A3363" t="s">
        <v>213</v>
      </c>
      <c r="B3363" t="s">
        <v>279</v>
      </c>
      <c r="C3363" t="s">
        <v>3617</v>
      </c>
    </row>
    <row r="3364" spans="1:3" x14ac:dyDescent="0.35">
      <c r="A3364" t="s">
        <v>213</v>
      </c>
      <c r="B3364" t="s">
        <v>279</v>
      </c>
      <c r="C3364" t="s">
        <v>3618</v>
      </c>
    </row>
    <row r="3365" spans="1:3" x14ac:dyDescent="0.35">
      <c r="A3365" t="s">
        <v>213</v>
      </c>
      <c r="B3365" t="s">
        <v>279</v>
      </c>
      <c r="C3365" t="s">
        <v>3619</v>
      </c>
    </row>
    <row r="3366" spans="1:3" x14ac:dyDescent="0.35">
      <c r="A3366" t="s">
        <v>213</v>
      </c>
      <c r="B3366" t="s">
        <v>279</v>
      </c>
      <c r="C3366" t="s">
        <v>3620</v>
      </c>
    </row>
    <row r="3367" spans="1:3" x14ac:dyDescent="0.35">
      <c r="A3367" t="s">
        <v>213</v>
      </c>
      <c r="B3367" t="s">
        <v>279</v>
      </c>
      <c r="C3367" t="s">
        <v>3621</v>
      </c>
    </row>
    <row r="3368" spans="1:3" x14ac:dyDescent="0.35">
      <c r="A3368" t="s">
        <v>213</v>
      </c>
      <c r="B3368" t="s">
        <v>279</v>
      </c>
      <c r="C3368" t="s">
        <v>3622</v>
      </c>
    </row>
    <row r="3369" spans="1:3" x14ac:dyDescent="0.35">
      <c r="A3369" t="s">
        <v>213</v>
      </c>
      <c r="B3369" t="s">
        <v>279</v>
      </c>
      <c r="C3369" t="s">
        <v>3623</v>
      </c>
    </row>
    <row r="3370" spans="1:3" x14ac:dyDescent="0.35">
      <c r="A3370" t="s">
        <v>213</v>
      </c>
      <c r="B3370" t="s">
        <v>279</v>
      </c>
      <c r="C3370" t="s">
        <v>279</v>
      </c>
    </row>
    <row r="3371" spans="1:3" x14ac:dyDescent="0.35">
      <c r="A3371" t="s">
        <v>213</v>
      </c>
      <c r="B3371" t="s">
        <v>279</v>
      </c>
      <c r="C3371" t="s">
        <v>3624</v>
      </c>
    </row>
    <row r="3372" spans="1:3" x14ac:dyDescent="0.35">
      <c r="A3372" t="s">
        <v>213</v>
      </c>
      <c r="B3372" t="s">
        <v>279</v>
      </c>
      <c r="C3372" t="s">
        <v>3625</v>
      </c>
    </row>
    <row r="3373" spans="1:3" x14ac:dyDescent="0.35">
      <c r="A3373" t="s">
        <v>213</v>
      </c>
      <c r="B3373" t="s">
        <v>279</v>
      </c>
      <c r="C3373" t="s">
        <v>3626</v>
      </c>
    </row>
    <row r="3374" spans="1:3" x14ac:dyDescent="0.35">
      <c r="A3374" t="s">
        <v>213</v>
      </c>
      <c r="B3374" t="s">
        <v>279</v>
      </c>
      <c r="C3374" t="s">
        <v>3627</v>
      </c>
    </row>
    <row r="3375" spans="1:3" x14ac:dyDescent="0.35">
      <c r="A3375" t="s">
        <v>213</v>
      </c>
      <c r="B3375" t="s">
        <v>279</v>
      </c>
      <c r="C3375" t="s">
        <v>3628</v>
      </c>
    </row>
    <row r="3376" spans="1:3" x14ac:dyDescent="0.35">
      <c r="A3376" t="s">
        <v>213</v>
      </c>
      <c r="B3376" t="s">
        <v>279</v>
      </c>
      <c r="C3376" t="s">
        <v>3629</v>
      </c>
    </row>
    <row r="3377" spans="1:3" x14ac:dyDescent="0.35">
      <c r="A3377" t="s">
        <v>213</v>
      </c>
      <c r="B3377" t="s">
        <v>279</v>
      </c>
      <c r="C3377" t="s">
        <v>3630</v>
      </c>
    </row>
    <row r="3378" spans="1:3" x14ac:dyDescent="0.35">
      <c r="A3378" t="s">
        <v>213</v>
      </c>
      <c r="B3378" t="s">
        <v>279</v>
      </c>
      <c r="C3378" t="s">
        <v>3631</v>
      </c>
    </row>
    <row r="3379" spans="1:3" x14ac:dyDescent="0.35">
      <c r="A3379" t="s">
        <v>213</v>
      </c>
      <c r="B3379" t="s">
        <v>279</v>
      </c>
      <c r="C3379" t="s">
        <v>3632</v>
      </c>
    </row>
    <row r="3380" spans="1:3" x14ac:dyDescent="0.35">
      <c r="A3380" t="s">
        <v>213</v>
      </c>
      <c r="B3380" t="s">
        <v>279</v>
      </c>
      <c r="C3380" t="s">
        <v>3633</v>
      </c>
    </row>
    <row r="3381" spans="1:3" x14ac:dyDescent="0.35">
      <c r="A3381" t="s">
        <v>213</v>
      </c>
      <c r="B3381" t="s">
        <v>279</v>
      </c>
      <c r="C3381" t="s">
        <v>3634</v>
      </c>
    </row>
    <row r="3382" spans="1:3" x14ac:dyDescent="0.35">
      <c r="A3382" t="s">
        <v>213</v>
      </c>
      <c r="B3382" t="s">
        <v>279</v>
      </c>
      <c r="C3382" t="s">
        <v>3635</v>
      </c>
    </row>
    <row r="3383" spans="1:3" x14ac:dyDescent="0.35">
      <c r="A3383" t="s">
        <v>213</v>
      </c>
      <c r="B3383" t="s">
        <v>279</v>
      </c>
      <c r="C3383" t="s">
        <v>3636</v>
      </c>
    </row>
    <row r="3384" spans="1:3" x14ac:dyDescent="0.35">
      <c r="A3384" t="s">
        <v>213</v>
      </c>
      <c r="B3384" t="s">
        <v>279</v>
      </c>
      <c r="C3384" t="s">
        <v>3637</v>
      </c>
    </row>
    <row r="3385" spans="1:3" x14ac:dyDescent="0.35">
      <c r="A3385" t="s">
        <v>213</v>
      </c>
      <c r="B3385" t="s">
        <v>279</v>
      </c>
      <c r="C3385" t="s">
        <v>3638</v>
      </c>
    </row>
    <row r="3386" spans="1:3" x14ac:dyDescent="0.35">
      <c r="A3386" t="s">
        <v>213</v>
      </c>
      <c r="B3386" t="s">
        <v>279</v>
      </c>
      <c r="C3386" t="s">
        <v>3639</v>
      </c>
    </row>
    <row r="3387" spans="1:3" x14ac:dyDescent="0.35">
      <c r="A3387" t="s">
        <v>213</v>
      </c>
      <c r="B3387" t="s">
        <v>279</v>
      </c>
      <c r="C3387" t="s">
        <v>3640</v>
      </c>
    </row>
    <row r="3388" spans="1:3" x14ac:dyDescent="0.35">
      <c r="A3388" t="s">
        <v>213</v>
      </c>
      <c r="B3388" t="s">
        <v>279</v>
      </c>
      <c r="C3388" t="s">
        <v>3641</v>
      </c>
    </row>
    <row r="3389" spans="1:3" x14ac:dyDescent="0.35">
      <c r="A3389" t="s">
        <v>213</v>
      </c>
      <c r="B3389" t="s">
        <v>279</v>
      </c>
      <c r="C3389" t="s">
        <v>3642</v>
      </c>
    </row>
    <row r="3390" spans="1:3" x14ac:dyDescent="0.35">
      <c r="A3390" t="s">
        <v>213</v>
      </c>
      <c r="B3390" t="s">
        <v>279</v>
      </c>
      <c r="C3390" t="s">
        <v>3643</v>
      </c>
    </row>
    <row r="3391" spans="1:3" x14ac:dyDescent="0.35">
      <c r="A3391" t="s">
        <v>213</v>
      </c>
      <c r="B3391" t="s">
        <v>279</v>
      </c>
      <c r="C3391" t="s">
        <v>3644</v>
      </c>
    </row>
    <row r="3392" spans="1:3" x14ac:dyDescent="0.35">
      <c r="A3392" t="s">
        <v>213</v>
      </c>
      <c r="B3392" t="s">
        <v>279</v>
      </c>
      <c r="C3392" t="s">
        <v>3645</v>
      </c>
    </row>
    <row r="3393" spans="1:3" x14ac:dyDescent="0.35">
      <c r="A3393" t="s">
        <v>213</v>
      </c>
      <c r="B3393" t="s">
        <v>279</v>
      </c>
      <c r="C3393" t="s">
        <v>3646</v>
      </c>
    </row>
    <row r="3394" spans="1:3" x14ac:dyDescent="0.35">
      <c r="A3394" t="s">
        <v>213</v>
      </c>
      <c r="B3394" t="s">
        <v>279</v>
      </c>
      <c r="C3394" t="s">
        <v>3647</v>
      </c>
    </row>
    <row r="3395" spans="1:3" x14ac:dyDescent="0.35">
      <c r="A3395" t="s">
        <v>213</v>
      </c>
      <c r="B3395" t="s">
        <v>279</v>
      </c>
      <c r="C3395" t="s">
        <v>3648</v>
      </c>
    </row>
    <row r="3396" spans="1:3" x14ac:dyDescent="0.35">
      <c r="A3396" t="s">
        <v>213</v>
      </c>
      <c r="B3396" t="s">
        <v>279</v>
      </c>
      <c r="C3396" t="s">
        <v>3649</v>
      </c>
    </row>
    <row r="3397" spans="1:3" x14ac:dyDescent="0.35">
      <c r="A3397" t="s">
        <v>213</v>
      </c>
      <c r="B3397" t="s">
        <v>279</v>
      </c>
      <c r="C3397" t="s">
        <v>3650</v>
      </c>
    </row>
    <row r="3398" spans="1:3" x14ac:dyDescent="0.35">
      <c r="A3398" t="s">
        <v>213</v>
      </c>
      <c r="B3398" t="s">
        <v>279</v>
      </c>
      <c r="C3398" t="s">
        <v>3651</v>
      </c>
    </row>
    <row r="3399" spans="1:3" x14ac:dyDescent="0.35">
      <c r="A3399" t="s">
        <v>213</v>
      </c>
      <c r="B3399" t="s">
        <v>279</v>
      </c>
      <c r="C3399" t="s">
        <v>3652</v>
      </c>
    </row>
    <row r="3400" spans="1:3" x14ac:dyDescent="0.35">
      <c r="A3400" t="s">
        <v>213</v>
      </c>
      <c r="B3400" t="s">
        <v>279</v>
      </c>
      <c r="C3400" t="s">
        <v>3653</v>
      </c>
    </row>
    <row r="3401" spans="1:3" x14ac:dyDescent="0.35">
      <c r="A3401" t="s">
        <v>213</v>
      </c>
      <c r="B3401" t="s">
        <v>283</v>
      </c>
      <c r="C3401" t="s">
        <v>3654</v>
      </c>
    </row>
    <row r="3402" spans="1:3" x14ac:dyDescent="0.35">
      <c r="A3402" t="s">
        <v>213</v>
      </c>
      <c r="B3402" t="s">
        <v>283</v>
      </c>
      <c r="C3402" t="s">
        <v>3655</v>
      </c>
    </row>
    <row r="3403" spans="1:3" x14ac:dyDescent="0.35">
      <c r="A3403" t="s">
        <v>213</v>
      </c>
      <c r="B3403" t="s">
        <v>283</v>
      </c>
      <c r="C3403" t="s">
        <v>3656</v>
      </c>
    </row>
    <row r="3404" spans="1:3" x14ac:dyDescent="0.35">
      <c r="A3404" t="s">
        <v>213</v>
      </c>
      <c r="B3404" t="s">
        <v>283</v>
      </c>
      <c r="C3404" t="s">
        <v>3657</v>
      </c>
    </row>
    <row r="3405" spans="1:3" x14ac:dyDescent="0.35">
      <c r="A3405" t="s">
        <v>213</v>
      </c>
      <c r="B3405" t="s">
        <v>283</v>
      </c>
      <c r="C3405" t="s">
        <v>3658</v>
      </c>
    </row>
    <row r="3406" spans="1:3" x14ac:dyDescent="0.35">
      <c r="A3406" t="s">
        <v>213</v>
      </c>
      <c r="B3406" t="s">
        <v>283</v>
      </c>
      <c r="C3406" t="s">
        <v>3659</v>
      </c>
    </row>
    <row r="3407" spans="1:3" x14ac:dyDescent="0.35">
      <c r="A3407" t="s">
        <v>213</v>
      </c>
      <c r="B3407" t="s">
        <v>283</v>
      </c>
      <c r="C3407" t="s">
        <v>3660</v>
      </c>
    </row>
    <row r="3408" spans="1:3" x14ac:dyDescent="0.35">
      <c r="A3408" t="s">
        <v>213</v>
      </c>
      <c r="B3408" t="s">
        <v>283</v>
      </c>
      <c r="C3408" t="s">
        <v>3661</v>
      </c>
    </row>
    <row r="3409" spans="1:3" x14ac:dyDescent="0.35">
      <c r="A3409" t="s">
        <v>213</v>
      </c>
      <c r="B3409" t="s">
        <v>283</v>
      </c>
      <c r="C3409" t="s">
        <v>3662</v>
      </c>
    </row>
    <row r="3410" spans="1:3" x14ac:dyDescent="0.35">
      <c r="A3410" t="s">
        <v>213</v>
      </c>
      <c r="B3410" t="s">
        <v>283</v>
      </c>
      <c r="C3410" t="s">
        <v>3663</v>
      </c>
    </row>
    <row r="3411" spans="1:3" x14ac:dyDescent="0.35">
      <c r="A3411" t="s">
        <v>213</v>
      </c>
      <c r="B3411" t="s">
        <v>283</v>
      </c>
      <c r="C3411" t="s">
        <v>3664</v>
      </c>
    </row>
    <row r="3412" spans="1:3" x14ac:dyDescent="0.35">
      <c r="A3412" t="s">
        <v>213</v>
      </c>
      <c r="B3412" t="s">
        <v>283</v>
      </c>
      <c r="C3412" t="s">
        <v>3665</v>
      </c>
    </row>
    <row r="3413" spans="1:3" x14ac:dyDescent="0.35">
      <c r="A3413" t="s">
        <v>213</v>
      </c>
      <c r="B3413" t="s">
        <v>283</v>
      </c>
      <c r="C3413" t="s">
        <v>3666</v>
      </c>
    </row>
    <row r="3414" spans="1:3" x14ac:dyDescent="0.35">
      <c r="A3414" t="s">
        <v>213</v>
      </c>
      <c r="B3414" t="s">
        <v>283</v>
      </c>
      <c r="C3414" t="s">
        <v>3667</v>
      </c>
    </row>
    <row r="3415" spans="1:3" x14ac:dyDescent="0.35">
      <c r="A3415" t="s">
        <v>213</v>
      </c>
      <c r="B3415" t="s">
        <v>283</v>
      </c>
      <c r="C3415" t="s">
        <v>3668</v>
      </c>
    </row>
    <row r="3416" spans="1:3" x14ac:dyDescent="0.35">
      <c r="A3416" t="s">
        <v>213</v>
      </c>
      <c r="B3416" t="s">
        <v>283</v>
      </c>
      <c r="C3416" t="s">
        <v>3669</v>
      </c>
    </row>
    <row r="3417" spans="1:3" x14ac:dyDescent="0.35">
      <c r="A3417" t="s">
        <v>213</v>
      </c>
      <c r="B3417" t="s">
        <v>283</v>
      </c>
      <c r="C3417" t="s">
        <v>3670</v>
      </c>
    </row>
    <row r="3418" spans="1:3" x14ac:dyDescent="0.35">
      <c r="A3418" t="s">
        <v>213</v>
      </c>
      <c r="B3418" t="s">
        <v>283</v>
      </c>
      <c r="C3418" t="s">
        <v>3671</v>
      </c>
    </row>
    <row r="3419" spans="1:3" x14ac:dyDescent="0.35">
      <c r="A3419" t="s">
        <v>213</v>
      </c>
      <c r="B3419" t="s">
        <v>283</v>
      </c>
      <c r="C3419" t="s">
        <v>3672</v>
      </c>
    </row>
    <row r="3420" spans="1:3" x14ac:dyDescent="0.35">
      <c r="A3420" t="s">
        <v>213</v>
      </c>
      <c r="B3420" t="s">
        <v>283</v>
      </c>
      <c r="C3420" t="s">
        <v>3673</v>
      </c>
    </row>
    <row r="3421" spans="1:3" x14ac:dyDescent="0.35">
      <c r="A3421" t="s">
        <v>213</v>
      </c>
      <c r="B3421" t="s">
        <v>283</v>
      </c>
      <c r="C3421" t="s">
        <v>3674</v>
      </c>
    </row>
    <row r="3422" spans="1:3" x14ac:dyDescent="0.35">
      <c r="A3422" t="s">
        <v>213</v>
      </c>
      <c r="B3422" t="s">
        <v>283</v>
      </c>
      <c r="C3422" t="s">
        <v>3675</v>
      </c>
    </row>
    <row r="3423" spans="1:3" x14ac:dyDescent="0.35">
      <c r="A3423" t="s">
        <v>213</v>
      </c>
      <c r="B3423" t="s">
        <v>283</v>
      </c>
      <c r="C3423" t="s">
        <v>3676</v>
      </c>
    </row>
    <row r="3424" spans="1:3" x14ac:dyDescent="0.35">
      <c r="A3424" t="s">
        <v>213</v>
      </c>
      <c r="B3424" t="s">
        <v>283</v>
      </c>
      <c r="C3424" t="s">
        <v>3677</v>
      </c>
    </row>
    <row r="3425" spans="1:3" x14ac:dyDescent="0.35">
      <c r="A3425" t="s">
        <v>213</v>
      </c>
      <c r="B3425" t="s">
        <v>283</v>
      </c>
      <c r="C3425" t="s">
        <v>3678</v>
      </c>
    </row>
    <row r="3426" spans="1:3" x14ac:dyDescent="0.35">
      <c r="A3426" t="s">
        <v>213</v>
      </c>
      <c r="B3426" t="s">
        <v>283</v>
      </c>
      <c r="C3426" t="s">
        <v>3679</v>
      </c>
    </row>
    <row r="3427" spans="1:3" x14ac:dyDescent="0.35">
      <c r="A3427" t="s">
        <v>213</v>
      </c>
      <c r="B3427" t="s">
        <v>283</v>
      </c>
      <c r="C3427" t="s">
        <v>3680</v>
      </c>
    </row>
    <row r="3428" spans="1:3" x14ac:dyDescent="0.35">
      <c r="A3428" t="s">
        <v>213</v>
      </c>
      <c r="B3428" t="s">
        <v>283</v>
      </c>
      <c r="C3428" t="s">
        <v>283</v>
      </c>
    </row>
    <row r="3429" spans="1:3" x14ac:dyDescent="0.35">
      <c r="A3429" t="s">
        <v>213</v>
      </c>
      <c r="B3429" t="s">
        <v>283</v>
      </c>
      <c r="C3429" t="s">
        <v>3681</v>
      </c>
    </row>
    <row r="3430" spans="1:3" x14ac:dyDescent="0.35">
      <c r="A3430" t="s">
        <v>213</v>
      </c>
      <c r="B3430" t="s">
        <v>283</v>
      </c>
      <c r="C3430" t="s">
        <v>3682</v>
      </c>
    </row>
    <row r="3431" spans="1:3" x14ac:dyDescent="0.35">
      <c r="A3431" t="s">
        <v>213</v>
      </c>
      <c r="B3431" t="s">
        <v>283</v>
      </c>
      <c r="C3431" t="s">
        <v>3683</v>
      </c>
    </row>
    <row r="3432" spans="1:3" x14ac:dyDescent="0.35">
      <c r="A3432" t="s">
        <v>213</v>
      </c>
      <c r="B3432" t="s">
        <v>283</v>
      </c>
      <c r="C3432" t="s">
        <v>3684</v>
      </c>
    </row>
    <row r="3433" spans="1:3" x14ac:dyDescent="0.35">
      <c r="A3433" t="s">
        <v>213</v>
      </c>
      <c r="B3433" t="s">
        <v>283</v>
      </c>
      <c r="C3433" t="s">
        <v>3685</v>
      </c>
    </row>
    <row r="3434" spans="1:3" x14ac:dyDescent="0.35">
      <c r="A3434" t="s">
        <v>213</v>
      </c>
      <c r="B3434" t="s">
        <v>283</v>
      </c>
      <c r="C3434" t="s">
        <v>3686</v>
      </c>
    </row>
    <row r="3435" spans="1:3" x14ac:dyDescent="0.35">
      <c r="A3435" t="s">
        <v>213</v>
      </c>
      <c r="B3435" t="s">
        <v>283</v>
      </c>
      <c r="C3435" t="s">
        <v>3687</v>
      </c>
    </row>
    <row r="3436" spans="1:3" x14ac:dyDescent="0.35">
      <c r="A3436" t="s">
        <v>213</v>
      </c>
      <c r="B3436" t="s">
        <v>283</v>
      </c>
      <c r="C3436" t="s">
        <v>3688</v>
      </c>
    </row>
    <row r="3437" spans="1:3" x14ac:dyDescent="0.35">
      <c r="A3437" t="s">
        <v>213</v>
      </c>
      <c r="B3437" t="s">
        <v>283</v>
      </c>
      <c r="C3437" t="s">
        <v>3689</v>
      </c>
    </row>
    <row r="3438" spans="1:3" x14ac:dyDescent="0.35">
      <c r="A3438" t="s">
        <v>213</v>
      </c>
      <c r="B3438" t="s">
        <v>283</v>
      </c>
      <c r="C3438" t="s">
        <v>3690</v>
      </c>
    </row>
    <row r="3439" spans="1:3" x14ac:dyDescent="0.35">
      <c r="A3439" t="s">
        <v>213</v>
      </c>
      <c r="B3439" t="s">
        <v>283</v>
      </c>
      <c r="C3439" t="s">
        <v>3691</v>
      </c>
    </row>
    <row r="3440" spans="1:3" x14ac:dyDescent="0.35">
      <c r="A3440" t="s">
        <v>213</v>
      </c>
      <c r="B3440" t="s">
        <v>283</v>
      </c>
      <c r="C3440" t="s">
        <v>3692</v>
      </c>
    </row>
    <row r="3441" spans="1:3" x14ac:dyDescent="0.35">
      <c r="A3441" t="s">
        <v>213</v>
      </c>
      <c r="B3441" t="s">
        <v>283</v>
      </c>
      <c r="C3441" t="s">
        <v>3693</v>
      </c>
    </row>
    <row r="3442" spans="1:3" x14ac:dyDescent="0.35">
      <c r="A3442" t="s">
        <v>213</v>
      </c>
      <c r="B3442" t="s">
        <v>283</v>
      </c>
      <c r="C3442" t="s">
        <v>3694</v>
      </c>
    </row>
    <row r="3443" spans="1:3" x14ac:dyDescent="0.35">
      <c r="A3443" t="s">
        <v>213</v>
      </c>
      <c r="B3443" t="s">
        <v>283</v>
      </c>
      <c r="C3443" t="s">
        <v>3695</v>
      </c>
    </row>
    <row r="3444" spans="1:3" x14ac:dyDescent="0.35">
      <c r="A3444" t="s">
        <v>213</v>
      </c>
      <c r="B3444" t="s">
        <v>283</v>
      </c>
      <c r="C3444" t="s">
        <v>3696</v>
      </c>
    </row>
    <row r="3445" spans="1:3" x14ac:dyDescent="0.35">
      <c r="A3445" t="s">
        <v>213</v>
      </c>
      <c r="B3445" t="s">
        <v>283</v>
      </c>
      <c r="C3445" t="s">
        <v>3697</v>
      </c>
    </row>
    <row r="3446" spans="1:3" x14ac:dyDescent="0.35">
      <c r="A3446" t="s">
        <v>213</v>
      </c>
      <c r="B3446" t="s">
        <v>283</v>
      </c>
      <c r="C3446" t="s">
        <v>3698</v>
      </c>
    </row>
    <row r="3447" spans="1:3" x14ac:dyDescent="0.35">
      <c r="A3447" t="s">
        <v>213</v>
      </c>
      <c r="B3447" t="s">
        <v>283</v>
      </c>
      <c r="C3447" t="s">
        <v>3699</v>
      </c>
    </row>
    <row r="3448" spans="1:3" x14ac:dyDescent="0.35">
      <c r="A3448" t="s">
        <v>213</v>
      </c>
      <c r="B3448" t="s">
        <v>283</v>
      </c>
      <c r="C3448" t="s">
        <v>3700</v>
      </c>
    </row>
    <row r="3449" spans="1:3" x14ac:dyDescent="0.35">
      <c r="A3449" t="s">
        <v>213</v>
      </c>
      <c r="B3449" t="s">
        <v>283</v>
      </c>
      <c r="C3449" t="s">
        <v>3701</v>
      </c>
    </row>
    <row r="3450" spans="1:3" x14ac:dyDescent="0.35">
      <c r="A3450" t="s">
        <v>213</v>
      </c>
      <c r="B3450" t="s">
        <v>283</v>
      </c>
      <c r="C3450" t="s">
        <v>3702</v>
      </c>
    </row>
    <row r="3451" spans="1:3" x14ac:dyDescent="0.35">
      <c r="A3451" t="s">
        <v>213</v>
      </c>
      <c r="B3451" t="s">
        <v>283</v>
      </c>
      <c r="C3451" t="s">
        <v>3703</v>
      </c>
    </row>
    <row r="3452" spans="1:3" x14ac:dyDescent="0.35">
      <c r="A3452" t="s">
        <v>213</v>
      </c>
      <c r="B3452" t="s">
        <v>283</v>
      </c>
      <c r="C3452" t="s">
        <v>3704</v>
      </c>
    </row>
    <row r="3453" spans="1:3" x14ac:dyDescent="0.35">
      <c r="A3453" t="s">
        <v>213</v>
      </c>
      <c r="B3453" t="s">
        <v>283</v>
      </c>
      <c r="C3453" t="s">
        <v>3705</v>
      </c>
    </row>
    <row r="3454" spans="1:3" x14ac:dyDescent="0.35">
      <c r="A3454" t="s">
        <v>213</v>
      </c>
      <c r="B3454" t="s">
        <v>283</v>
      </c>
      <c r="C3454" t="s">
        <v>3706</v>
      </c>
    </row>
    <row r="3455" spans="1:3" x14ac:dyDescent="0.35">
      <c r="A3455" t="s">
        <v>213</v>
      </c>
      <c r="B3455" t="s">
        <v>283</v>
      </c>
      <c r="C3455" t="s">
        <v>3707</v>
      </c>
    </row>
    <row r="3456" spans="1:3" x14ac:dyDescent="0.35">
      <c r="A3456" t="s">
        <v>213</v>
      </c>
      <c r="B3456" t="s">
        <v>283</v>
      </c>
      <c r="C3456" t="s">
        <v>3708</v>
      </c>
    </row>
    <row r="3457" spans="1:3" x14ac:dyDescent="0.35">
      <c r="A3457" t="s">
        <v>213</v>
      </c>
      <c r="B3457" t="s">
        <v>283</v>
      </c>
      <c r="C3457" t="s">
        <v>3709</v>
      </c>
    </row>
    <row r="3458" spans="1:3" x14ac:dyDescent="0.35">
      <c r="A3458" t="s">
        <v>213</v>
      </c>
      <c r="B3458" t="s">
        <v>283</v>
      </c>
      <c r="C3458" t="s">
        <v>3710</v>
      </c>
    </row>
    <row r="3459" spans="1:3" x14ac:dyDescent="0.35">
      <c r="A3459" t="s">
        <v>213</v>
      </c>
      <c r="B3459" t="s">
        <v>283</v>
      </c>
      <c r="C3459" t="s">
        <v>3711</v>
      </c>
    </row>
    <row r="3460" spans="1:3" x14ac:dyDescent="0.35">
      <c r="A3460" t="s">
        <v>213</v>
      </c>
      <c r="B3460" t="s">
        <v>283</v>
      </c>
      <c r="C3460" t="s">
        <v>3712</v>
      </c>
    </row>
    <row r="3461" spans="1:3" x14ac:dyDescent="0.35">
      <c r="A3461" t="s">
        <v>213</v>
      </c>
      <c r="B3461" t="s">
        <v>283</v>
      </c>
      <c r="C3461" t="s">
        <v>3713</v>
      </c>
    </row>
    <row r="3462" spans="1:3" x14ac:dyDescent="0.35">
      <c r="A3462" t="s">
        <v>213</v>
      </c>
      <c r="B3462" t="s">
        <v>283</v>
      </c>
      <c r="C3462" t="s">
        <v>3714</v>
      </c>
    </row>
    <row r="3463" spans="1:3" x14ac:dyDescent="0.35">
      <c r="A3463" t="s">
        <v>213</v>
      </c>
      <c r="B3463" t="s">
        <v>283</v>
      </c>
      <c r="C3463" t="s">
        <v>3715</v>
      </c>
    </row>
    <row r="3464" spans="1:3" x14ac:dyDescent="0.35">
      <c r="A3464" t="s">
        <v>213</v>
      </c>
      <c r="B3464" t="s">
        <v>283</v>
      </c>
      <c r="C3464" t="s">
        <v>3716</v>
      </c>
    </row>
    <row r="3465" spans="1:3" x14ac:dyDescent="0.35">
      <c r="A3465" t="s">
        <v>213</v>
      </c>
      <c r="B3465" t="s">
        <v>288</v>
      </c>
      <c r="C3465" t="s">
        <v>3717</v>
      </c>
    </row>
    <row r="3466" spans="1:3" x14ac:dyDescent="0.35">
      <c r="A3466" t="s">
        <v>213</v>
      </c>
      <c r="B3466" t="s">
        <v>288</v>
      </c>
      <c r="C3466" t="s">
        <v>3718</v>
      </c>
    </row>
    <row r="3467" spans="1:3" x14ac:dyDescent="0.35">
      <c r="A3467" t="s">
        <v>213</v>
      </c>
      <c r="B3467" t="s">
        <v>288</v>
      </c>
      <c r="C3467" t="s">
        <v>3719</v>
      </c>
    </row>
    <row r="3468" spans="1:3" x14ac:dyDescent="0.35">
      <c r="A3468" t="s">
        <v>213</v>
      </c>
      <c r="B3468" t="s">
        <v>288</v>
      </c>
      <c r="C3468" t="s">
        <v>3720</v>
      </c>
    </row>
    <row r="3469" spans="1:3" x14ac:dyDescent="0.35">
      <c r="A3469" t="s">
        <v>213</v>
      </c>
      <c r="B3469" t="s">
        <v>288</v>
      </c>
      <c r="C3469" t="s">
        <v>3721</v>
      </c>
    </row>
    <row r="3470" spans="1:3" x14ac:dyDescent="0.35">
      <c r="A3470" t="s">
        <v>213</v>
      </c>
      <c r="B3470" t="s">
        <v>288</v>
      </c>
      <c r="C3470" t="s">
        <v>3722</v>
      </c>
    </row>
    <row r="3471" spans="1:3" x14ac:dyDescent="0.35">
      <c r="A3471" t="s">
        <v>213</v>
      </c>
      <c r="B3471" t="s">
        <v>288</v>
      </c>
      <c r="C3471" t="s">
        <v>3723</v>
      </c>
    </row>
    <row r="3472" spans="1:3" x14ac:dyDescent="0.35">
      <c r="A3472" t="s">
        <v>213</v>
      </c>
      <c r="B3472" t="s">
        <v>288</v>
      </c>
      <c r="C3472" t="s">
        <v>3724</v>
      </c>
    </row>
    <row r="3473" spans="1:3" x14ac:dyDescent="0.35">
      <c r="A3473" t="s">
        <v>213</v>
      </c>
      <c r="B3473" t="s">
        <v>288</v>
      </c>
      <c r="C3473" t="s">
        <v>3725</v>
      </c>
    </row>
    <row r="3474" spans="1:3" x14ac:dyDescent="0.35">
      <c r="A3474" t="s">
        <v>213</v>
      </c>
      <c r="B3474" t="s">
        <v>288</v>
      </c>
      <c r="C3474" t="s">
        <v>3726</v>
      </c>
    </row>
    <row r="3475" spans="1:3" x14ac:dyDescent="0.35">
      <c r="A3475" t="s">
        <v>213</v>
      </c>
      <c r="B3475" t="s">
        <v>288</v>
      </c>
      <c r="C3475" t="s">
        <v>3727</v>
      </c>
    </row>
    <row r="3476" spans="1:3" x14ac:dyDescent="0.35">
      <c r="A3476" t="s">
        <v>213</v>
      </c>
      <c r="B3476" t="s">
        <v>288</v>
      </c>
      <c r="C3476" t="s">
        <v>3728</v>
      </c>
    </row>
    <row r="3477" spans="1:3" x14ac:dyDescent="0.35">
      <c r="A3477" t="s">
        <v>213</v>
      </c>
      <c r="B3477" t="s">
        <v>288</v>
      </c>
      <c r="C3477" t="s">
        <v>3729</v>
      </c>
    </row>
    <row r="3478" spans="1:3" x14ac:dyDescent="0.35">
      <c r="A3478" t="s">
        <v>213</v>
      </c>
      <c r="B3478" t="s">
        <v>288</v>
      </c>
      <c r="C3478" t="s">
        <v>3730</v>
      </c>
    </row>
    <row r="3479" spans="1:3" x14ac:dyDescent="0.35">
      <c r="A3479" t="s">
        <v>213</v>
      </c>
      <c r="B3479" t="s">
        <v>288</v>
      </c>
      <c r="C3479" t="s">
        <v>3731</v>
      </c>
    </row>
    <row r="3480" spans="1:3" x14ac:dyDescent="0.35">
      <c r="A3480" t="s">
        <v>213</v>
      </c>
      <c r="B3480" t="s">
        <v>288</v>
      </c>
      <c r="C3480" t="s">
        <v>3732</v>
      </c>
    </row>
    <row r="3481" spans="1:3" x14ac:dyDescent="0.35">
      <c r="A3481" t="s">
        <v>213</v>
      </c>
      <c r="B3481" t="s">
        <v>288</v>
      </c>
      <c r="C3481" t="s">
        <v>3733</v>
      </c>
    </row>
    <row r="3482" spans="1:3" x14ac:dyDescent="0.35">
      <c r="A3482" t="s">
        <v>213</v>
      </c>
      <c r="B3482" t="s">
        <v>288</v>
      </c>
      <c r="C3482" t="s">
        <v>3734</v>
      </c>
    </row>
    <row r="3483" spans="1:3" x14ac:dyDescent="0.35">
      <c r="A3483" t="s">
        <v>213</v>
      </c>
      <c r="B3483" t="s">
        <v>288</v>
      </c>
      <c r="C3483" t="s">
        <v>3735</v>
      </c>
    </row>
    <row r="3484" spans="1:3" x14ac:dyDescent="0.35">
      <c r="A3484" t="s">
        <v>213</v>
      </c>
      <c r="B3484" t="s">
        <v>288</v>
      </c>
      <c r="C3484" t="s">
        <v>3736</v>
      </c>
    </row>
    <row r="3485" spans="1:3" x14ac:dyDescent="0.35">
      <c r="A3485" t="s">
        <v>213</v>
      </c>
      <c r="B3485" t="s">
        <v>288</v>
      </c>
      <c r="C3485" t="s">
        <v>3737</v>
      </c>
    </row>
    <row r="3486" spans="1:3" x14ac:dyDescent="0.35">
      <c r="A3486" t="s">
        <v>213</v>
      </c>
      <c r="B3486" t="s">
        <v>288</v>
      </c>
      <c r="C3486" t="s">
        <v>3738</v>
      </c>
    </row>
    <row r="3487" spans="1:3" x14ac:dyDescent="0.35">
      <c r="A3487" t="s">
        <v>213</v>
      </c>
      <c r="B3487" t="s">
        <v>288</v>
      </c>
      <c r="C3487" t="s">
        <v>3739</v>
      </c>
    </row>
    <row r="3488" spans="1:3" x14ac:dyDescent="0.35">
      <c r="A3488" t="s">
        <v>213</v>
      </c>
      <c r="B3488" t="s">
        <v>288</v>
      </c>
      <c r="C3488" t="s">
        <v>3740</v>
      </c>
    </row>
    <row r="3489" spans="1:3" x14ac:dyDescent="0.35">
      <c r="A3489" t="s">
        <v>213</v>
      </c>
      <c r="B3489" t="s">
        <v>288</v>
      </c>
      <c r="C3489" t="s">
        <v>3741</v>
      </c>
    </row>
    <row r="3490" spans="1:3" x14ac:dyDescent="0.35">
      <c r="A3490" t="s">
        <v>213</v>
      </c>
      <c r="B3490" t="s">
        <v>288</v>
      </c>
      <c r="C3490" t="s">
        <v>3742</v>
      </c>
    </row>
    <row r="3491" spans="1:3" x14ac:dyDescent="0.35">
      <c r="A3491" t="s">
        <v>213</v>
      </c>
      <c r="B3491" t="s">
        <v>288</v>
      </c>
      <c r="C3491" t="s">
        <v>3743</v>
      </c>
    </row>
    <row r="3492" spans="1:3" x14ac:dyDescent="0.35">
      <c r="A3492" t="s">
        <v>213</v>
      </c>
      <c r="B3492" t="s">
        <v>288</v>
      </c>
      <c r="C3492" t="s">
        <v>3744</v>
      </c>
    </row>
    <row r="3493" spans="1:3" x14ac:dyDescent="0.35">
      <c r="A3493" t="s">
        <v>213</v>
      </c>
      <c r="B3493" t="s">
        <v>288</v>
      </c>
      <c r="C3493" t="s">
        <v>3745</v>
      </c>
    </row>
    <row r="3494" spans="1:3" x14ac:dyDescent="0.35">
      <c r="A3494" t="s">
        <v>213</v>
      </c>
      <c r="B3494" t="s">
        <v>288</v>
      </c>
      <c r="C3494" t="s">
        <v>3746</v>
      </c>
    </row>
    <row r="3495" spans="1:3" x14ac:dyDescent="0.35">
      <c r="A3495" t="s">
        <v>213</v>
      </c>
      <c r="B3495" t="s">
        <v>288</v>
      </c>
      <c r="C3495" t="s">
        <v>3747</v>
      </c>
    </row>
    <row r="3496" spans="1:3" x14ac:dyDescent="0.35">
      <c r="A3496" t="s">
        <v>213</v>
      </c>
      <c r="B3496" t="s">
        <v>288</v>
      </c>
      <c r="C3496" t="s">
        <v>3748</v>
      </c>
    </row>
    <row r="3497" spans="1:3" x14ac:dyDescent="0.35">
      <c r="A3497" t="s">
        <v>213</v>
      </c>
      <c r="B3497" t="s">
        <v>288</v>
      </c>
      <c r="C3497" t="s">
        <v>3749</v>
      </c>
    </row>
    <row r="3498" spans="1:3" x14ac:dyDescent="0.35">
      <c r="A3498" t="s">
        <v>213</v>
      </c>
      <c r="B3498" t="s">
        <v>288</v>
      </c>
      <c r="C3498" t="s">
        <v>3750</v>
      </c>
    </row>
    <row r="3499" spans="1:3" x14ac:dyDescent="0.35">
      <c r="A3499" t="s">
        <v>213</v>
      </c>
      <c r="B3499" t="s">
        <v>288</v>
      </c>
      <c r="C3499" t="s">
        <v>3751</v>
      </c>
    </row>
    <row r="3500" spans="1:3" x14ac:dyDescent="0.35">
      <c r="A3500" t="s">
        <v>213</v>
      </c>
      <c r="B3500" t="s">
        <v>288</v>
      </c>
      <c r="C3500" t="s">
        <v>3752</v>
      </c>
    </row>
    <row r="3501" spans="1:3" x14ac:dyDescent="0.35">
      <c r="A3501" t="s">
        <v>213</v>
      </c>
      <c r="B3501" t="s">
        <v>288</v>
      </c>
      <c r="C3501" t="s">
        <v>3753</v>
      </c>
    </row>
    <row r="3502" spans="1:3" x14ac:dyDescent="0.35">
      <c r="A3502" t="s">
        <v>213</v>
      </c>
      <c r="B3502" t="s">
        <v>288</v>
      </c>
      <c r="C3502" t="s">
        <v>3754</v>
      </c>
    </row>
    <row r="3503" spans="1:3" x14ac:dyDescent="0.35">
      <c r="A3503" t="s">
        <v>213</v>
      </c>
      <c r="B3503" t="s">
        <v>288</v>
      </c>
      <c r="C3503" t="s">
        <v>3755</v>
      </c>
    </row>
    <row r="3504" spans="1:3" x14ac:dyDescent="0.35">
      <c r="A3504" t="s">
        <v>213</v>
      </c>
      <c r="B3504" t="s">
        <v>288</v>
      </c>
      <c r="C3504" t="s">
        <v>3756</v>
      </c>
    </row>
    <row r="3505" spans="1:3" x14ac:dyDescent="0.35">
      <c r="A3505" t="s">
        <v>213</v>
      </c>
      <c r="B3505" t="s">
        <v>288</v>
      </c>
      <c r="C3505" t="s">
        <v>3757</v>
      </c>
    </row>
    <row r="3506" spans="1:3" x14ac:dyDescent="0.35">
      <c r="A3506" t="s">
        <v>213</v>
      </c>
      <c r="B3506" t="s">
        <v>288</v>
      </c>
      <c r="C3506" t="s">
        <v>3758</v>
      </c>
    </row>
    <row r="3507" spans="1:3" x14ac:dyDescent="0.35">
      <c r="A3507" t="s">
        <v>213</v>
      </c>
      <c r="B3507" t="s">
        <v>288</v>
      </c>
      <c r="C3507" t="s">
        <v>3759</v>
      </c>
    </row>
    <row r="3508" spans="1:3" x14ac:dyDescent="0.35">
      <c r="A3508" t="s">
        <v>213</v>
      </c>
      <c r="B3508" t="s">
        <v>288</v>
      </c>
      <c r="C3508" t="s">
        <v>3760</v>
      </c>
    </row>
    <row r="3509" spans="1:3" x14ac:dyDescent="0.35">
      <c r="A3509" t="s">
        <v>213</v>
      </c>
      <c r="B3509" t="s">
        <v>288</v>
      </c>
      <c r="C3509" t="s">
        <v>3761</v>
      </c>
    </row>
    <row r="3510" spans="1:3" x14ac:dyDescent="0.35">
      <c r="A3510" t="s">
        <v>213</v>
      </c>
      <c r="B3510" t="s">
        <v>288</v>
      </c>
      <c r="C3510" t="s">
        <v>3762</v>
      </c>
    </row>
    <row r="3511" spans="1:3" x14ac:dyDescent="0.35">
      <c r="A3511" t="s">
        <v>213</v>
      </c>
      <c r="B3511" t="s">
        <v>288</v>
      </c>
      <c r="C3511" t="s">
        <v>3763</v>
      </c>
    </row>
    <row r="3512" spans="1:3" x14ac:dyDescent="0.35">
      <c r="A3512" t="s">
        <v>213</v>
      </c>
      <c r="B3512" t="s">
        <v>288</v>
      </c>
      <c r="C3512" t="s">
        <v>3764</v>
      </c>
    </row>
    <row r="3513" spans="1:3" x14ac:dyDescent="0.35">
      <c r="A3513" t="s">
        <v>213</v>
      </c>
      <c r="B3513" t="s">
        <v>288</v>
      </c>
      <c r="C3513" t="s">
        <v>3765</v>
      </c>
    </row>
    <row r="3514" spans="1:3" x14ac:dyDescent="0.35">
      <c r="A3514" t="s">
        <v>213</v>
      </c>
      <c r="B3514" t="s">
        <v>288</v>
      </c>
      <c r="C3514" t="s">
        <v>3766</v>
      </c>
    </row>
    <row r="3515" spans="1:3" x14ac:dyDescent="0.35">
      <c r="A3515" t="s">
        <v>213</v>
      </c>
      <c r="B3515" t="s">
        <v>288</v>
      </c>
      <c r="C3515" t="s">
        <v>3767</v>
      </c>
    </row>
    <row r="3516" spans="1:3" x14ac:dyDescent="0.35">
      <c r="A3516" t="s">
        <v>213</v>
      </c>
      <c r="B3516" t="s">
        <v>288</v>
      </c>
      <c r="C3516" t="s">
        <v>3768</v>
      </c>
    </row>
    <row r="3517" spans="1:3" x14ac:dyDescent="0.35">
      <c r="A3517" t="s">
        <v>213</v>
      </c>
      <c r="B3517" t="s">
        <v>288</v>
      </c>
      <c r="C3517" t="s">
        <v>3769</v>
      </c>
    </row>
    <row r="3518" spans="1:3" x14ac:dyDescent="0.35">
      <c r="A3518" t="s">
        <v>213</v>
      </c>
      <c r="B3518" t="s">
        <v>288</v>
      </c>
      <c r="C3518" t="s">
        <v>3770</v>
      </c>
    </row>
    <row r="3519" spans="1:3" x14ac:dyDescent="0.35">
      <c r="A3519" t="s">
        <v>213</v>
      </c>
      <c r="B3519" t="s">
        <v>288</v>
      </c>
      <c r="C3519" t="s">
        <v>3771</v>
      </c>
    </row>
    <row r="3520" spans="1:3" x14ac:dyDescent="0.35">
      <c r="A3520" t="s">
        <v>213</v>
      </c>
      <c r="B3520" t="s">
        <v>288</v>
      </c>
      <c r="C3520" t="s">
        <v>3772</v>
      </c>
    </row>
    <row r="3521" spans="1:3" x14ac:dyDescent="0.35">
      <c r="A3521" t="s">
        <v>213</v>
      </c>
      <c r="B3521" t="s">
        <v>288</v>
      </c>
      <c r="C3521" t="s">
        <v>3773</v>
      </c>
    </row>
    <row r="3522" spans="1:3" x14ac:dyDescent="0.35">
      <c r="A3522" t="s">
        <v>213</v>
      </c>
      <c r="B3522" t="s">
        <v>288</v>
      </c>
      <c r="C3522" t="s">
        <v>3774</v>
      </c>
    </row>
    <row r="3523" spans="1:3" x14ac:dyDescent="0.35">
      <c r="A3523" t="s">
        <v>213</v>
      </c>
      <c r="B3523" t="s">
        <v>288</v>
      </c>
      <c r="C3523" t="s">
        <v>3775</v>
      </c>
    </row>
    <row r="3524" spans="1:3" x14ac:dyDescent="0.35">
      <c r="A3524" t="s">
        <v>213</v>
      </c>
      <c r="B3524" t="s">
        <v>288</v>
      </c>
      <c r="C3524" t="s">
        <v>3776</v>
      </c>
    </row>
    <row r="3525" spans="1:3" x14ac:dyDescent="0.35">
      <c r="A3525" t="s">
        <v>213</v>
      </c>
      <c r="B3525" t="s">
        <v>288</v>
      </c>
      <c r="C3525" t="s">
        <v>3777</v>
      </c>
    </row>
    <row r="3526" spans="1:3" x14ac:dyDescent="0.35">
      <c r="A3526" t="s">
        <v>213</v>
      </c>
      <c r="B3526" t="s">
        <v>288</v>
      </c>
      <c r="C3526" t="s">
        <v>3778</v>
      </c>
    </row>
    <row r="3527" spans="1:3" x14ac:dyDescent="0.35">
      <c r="A3527" t="s">
        <v>213</v>
      </c>
      <c r="B3527" t="s">
        <v>288</v>
      </c>
      <c r="C3527" t="s">
        <v>3779</v>
      </c>
    </row>
    <row r="3528" spans="1:3" x14ac:dyDescent="0.35">
      <c r="A3528" t="s">
        <v>213</v>
      </c>
      <c r="B3528" t="s">
        <v>288</v>
      </c>
      <c r="C3528" t="s">
        <v>3780</v>
      </c>
    </row>
    <row r="3529" spans="1:3" x14ac:dyDescent="0.35">
      <c r="A3529" t="s">
        <v>213</v>
      </c>
      <c r="B3529" t="s">
        <v>288</v>
      </c>
      <c r="C3529" t="s">
        <v>3781</v>
      </c>
    </row>
    <row r="3530" spans="1:3" x14ac:dyDescent="0.35">
      <c r="A3530" t="s">
        <v>213</v>
      </c>
      <c r="B3530" t="s">
        <v>288</v>
      </c>
      <c r="C3530" t="s">
        <v>3782</v>
      </c>
    </row>
    <row r="3531" spans="1:3" x14ac:dyDescent="0.35">
      <c r="A3531" t="s">
        <v>213</v>
      </c>
      <c r="B3531" t="s">
        <v>288</v>
      </c>
      <c r="C3531" t="s">
        <v>3783</v>
      </c>
    </row>
    <row r="3532" spans="1:3" x14ac:dyDescent="0.35">
      <c r="A3532" t="s">
        <v>213</v>
      </c>
      <c r="B3532" t="s">
        <v>288</v>
      </c>
      <c r="C3532" t="s">
        <v>3784</v>
      </c>
    </row>
    <row r="3533" spans="1:3" x14ac:dyDescent="0.35">
      <c r="A3533" t="s">
        <v>213</v>
      </c>
      <c r="B3533" t="s">
        <v>288</v>
      </c>
      <c r="C3533" t="s">
        <v>3785</v>
      </c>
    </row>
    <row r="3534" spans="1:3" x14ac:dyDescent="0.35">
      <c r="A3534" t="s">
        <v>213</v>
      </c>
      <c r="B3534" t="s">
        <v>288</v>
      </c>
      <c r="C3534" t="s">
        <v>3786</v>
      </c>
    </row>
    <row r="3535" spans="1:3" x14ac:dyDescent="0.35">
      <c r="A3535" t="s">
        <v>213</v>
      </c>
      <c r="B3535" t="s">
        <v>288</v>
      </c>
      <c r="C3535" t="s">
        <v>3787</v>
      </c>
    </row>
    <row r="3536" spans="1:3" x14ac:dyDescent="0.35">
      <c r="A3536" t="s">
        <v>213</v>
      </c>
      <c r="B3536" t="s">
        <v>288</v>
      </c>
      <c r="C3536" t="s">
        <v>3788</v>
      </c>
    </row>
    <row r="3537" spans="1:3" x14ac:dyDescent="0.35">
      <c r="A3537" t="s">
        <v>213</v>
      </c>
      <c r="B3537" t="s">
        <v>288</v>
      </c>
      <c r="C3537" t="s">
        <v>288</v>
      </c>
    </row>
    <row r="3538" spans="1:3" x14ac:dyDescent="0.35">
      <c r="A3538" t="s">
        <v>213</v>
      </c>
      <c r="B3538" t="s">
        <v>288</v>
      </c>
      <c r="C3538" t="s">
        <v>3789</v>
      </c>
    </row>
    <row r="3539" spans="1:3" x14ac:dyDescent="0.35">
      <c r="A3539" t="s">
        <v>213</v>
      </c>
      <c r="B3539" t="s">
        <v>288</v>
      </c>
      <c r="C3539" t="s">
        <v>3790</v>
      </c>
    </row>
    <row r="3540" spans="1:3" x14ac:dyDescent="0.35">
      <c r="A3540" t="s">
        <v>213</v>
      </c>
      <c r="B3540" t="s">
        <v>288</v>
      </c>
      <c r="C3540" t="s">
        <v>3791</v>
      </c>
    </row>
    <row r="3541" spans="1:3" x14ac:dyDescent="0.35">
      <c r="A3541" t="s">
        <v>213</v>
      </c>
      <c r="B3541" t="s">
        <v>288</v>
      </c>
      <c r="C3541" t="s">
        <v>3792</v>
      </c>
    </row>
    <row r="3542" spans="1:3" x14ac:dyDescent="0.35">
      <c r="A3542" t="s">
        <v>213</v>
      </c>
      <c r="B3542" t="s">
        <v>288</v>
      </c>
      <c r="C3542" t="s">
        <v>3793</v>
      </c>
    </row>
    <row r="3543" spans="1:3" x14ac:dyDescent="0.35">
      <c r="A3543" t="s">
        <v>213</v>
      </c>
      <c r="B3543" t="s">
        <v>288</v>
      </c>
      <c r="C3543" t="s">
        <v>3794</v>
      </c>
    </row>
    <row r="3544" spans="1:3" x14ac:dyDescent="0.35">
      <c r="A3544" t="s">
        <v>213</v>
      </c>
      <c r="B3544" t="s">
        <v>288</v>
      </c>
      <c r="C3544" t="s">
        <v>3795</v>
      </c>
    </row>
    <row r="3545" spans="1:3" x14ac:dyDescent="0.35">
      <c r="A3545" t="s">
        <v>213</v>
      </c>
      <c r="B3545" t="s">
        <v>288</v>
      </c>
      <c r="C3545" t="s">
        <v>3796</v>
      </c>
    </row>
    <row r="3546" spans="1:3" x14ac:dyDescent="0.35">
      <c r="A3546" t="s">
        <v>213</v>
      </c>
      <c r="B3546" t="s">
        <v>288</v>
      </c>
      <c r="C3546" t="s">
        <v>3797</v>
      </c>
    </row>
    <row r="3547" spans="1:3" x14ac:dyDescent="0.35">
      <c r="A3547" t="s">
        <v>213</v>
      </c>
      <c r="B3547" t="s">
        <v>288</v>
      </c>
      <c r="C3547" t="s">
        <v>3798</v>
      </c>
    </row>
    <row r="3548" spans="1:3" x14ac:dyDescent="0.35">
      <c r="A3548" t="s">
        <v>213</v>
      </c>
      <c r="B3548" t="s">
        <v>288</v>
      </c>
      <c r="C3548" t="s">
        <v>3799</v>
      </c>
    </row>
    <row r="3549" spans="1:3" x14ac:dyDescent="0.35">
      <c r="A3549" t="s">
        <v>213</v>
      </c>
      <c r="B3549" t="s">
        <v>288</v>
      </c>
      <c r="C3549" t="s">
        <v>3800</v>
      </c>
    </row>
    <row r="3550" spans="1:3" x14ac:dyDescent="0.35">
      <c r="A3550" t="s">
        <v>213</v>
      </c>
      <c r="B3550" t="s">
        <v>288</v>
      </c>
      <c r="C3550" t="s">
        <v>3801</v>
      </c>
    </row>
    <row r="3551" spans="1:3" x14ac:dyDescent="0.35">
      <c r="A3551" t="s">
        <v>213</v>
      </c>
      <c r="B3551" t="s">
        <v>288</v>
      </c>
      <c r="C3551" t="s">
        <v>3802</v>
      </c>
    </row>
    <row r="3552" spans="1:3" x14ac:dyDescent="0.35">
      <c r="A3552" t="s">
        <v>213</v>
      </c>
      <c r="B3552" t="s">
        <v>288</v>
      </c>
      <c r="C3552" t="s">
        <v>3803</v>
      </c>
    </row>
    <row r="3553" spans="1:3" x14ac:dyDescent="0.35">
      <c r="A3553" t="s">
        <v>213</v>
      </c>
      <c r="B3553" t="s">
        <v>288</v>
      </c>
      <c r="C3553" t="s">
        <v>3804</v>
      </c>
    </row>
    <row r="3554" spans="1:3" x14ac:dyDescent="0.35">
      <c r="A3554" t="s">
        <v>213</v>
      </c>
      <c r="B3554" t="s">
        <v>288</v>
      </c>
      <c r="C3554" t="s">
        <v>3805</v>
      </c>
    </row>
    <row r="3555" spans="1:3" x14ac:dyDescent="0.35">
      <c r="A3555" t="s">
        <v>213</v>
      </c>
      <c r="B3555" t="s">
        <v>288</v>
      </c>
      <c r="C3555" t="s">
        <v>3806</v>
      </c>
    </row>
    <row r="3556" spans="1:3" x14ac:dyDescent="0.35">
      <c r="A3556" t="s">
        <v>213</v>
      </c>
      <c r="B3556" t="s">
        <v>288</v>
      </c>
      <c r="C3556" t="s">
        <v>3807</v>
      </c>
    </row>
    <row r="3557" spans="1:3" x14ac:dyDescent="0.35">
      <c r="A3557" t="s">
        <v>213</v>
      </c>
      <c r="B3557" t="s">
        <v>288</v>
      </c>
      <c r="C3557" t="s">
        <v>3808</v>
      </c>
    </row>
    <row r="3558" spans="1:3" x14ac:dyDescent="0.35">
      <c r="A3558" t="s">
        <v>213</v>
      </c>
      <c r="B3558" t="s">
        <v>288</v>
      </c>
      <c r="C3558" t="s">
        <v>3809</v>
      </c>
    </row>
    <row r="3559" spans="1:3" x14ac:dyDescent="0.35">
      <c r="A3559" t="s">
        <v>213</v>
      </c>
      <c r="B3559" t="s">
        <v>288</v>
      </c>
      <c r="C3559" t="s">
        <v>3810</v>
      </c>
    </row>
    <row r="3560" spans="1:3" x14ac:dyDescent="0.35">
      <c r="A3560" t="s">
        <v>213</v>
      </c>
      <c r="B3560" t="s">
        <v>288</v>
      </c>
      <c r="C3560" t="s">
        <v>3811</v>
      </c>
    </row>
    <row r="3561" spans="1:3" x14ac:dyDescent="0.35">
      <c r="A3561" t="s">
        <v>213</v>
      </c>
      <c r="B3561" t="s">
        <v>288</v>
      </c>
      <c r="C3561" t="s">
        <v>3812</v>
      </c>
    </row>
    <row r="3562" spans="1:3" x14ac:dyDescent="0.35">
      <c r="A3562" t="s">
        <v>213</v>
      </c>
      <c r="B3562" t="s">
        <v>288</v>
      </c>
      <c r="C3562" t="s">
        <v>3813</v>
      </c>
    </row>
    <row r="3563" spans="1:3" x14ac:dyDescent="0.35">
      <c r="A3563" t="s">
        <v>213</v>
      </c>
      <c r="B3563" t="s">
        <v>288</v>
      </c>
      <c r="C3563" t="s">
        <v>3814</v>
      </c>
    </row>
    <row r="3564" spans="1:3" x14ac:dyDescent="0.35">
      <c r="A3564" t="s">
        <v>213</v>
      </c>
      <c r="B3564" t="s">
        <v>288</v>
      </c>
      <c r="C3564" t="s">
        <v>3815</v>
      </c>
    </row>
    <row r="3565" spans="1:3" x14ac:dyDescent="0.35">
      <c r="A3565" t="s">
        <v>213</v>
      </c>
      <c r="B3565" t="s">
        <v>288</v>
      </c>
      <c r="C3565" t="s">
        <v>3816</v>
      </c>
    </row>
    <row r="3566" spans="1:3" x14ac:dyDescent="0.35">
      <c r="A3566" t="s">
        <v>213</v>
      </c>
      <c r="B3566" t="s">
        <v>288</v>
      </c>
      <c r="C3566" t="s">
        <v>3817</v>
      </c>
    </row>
    <row r="3567" spans="1:3" x14ac:dyDescent="0.35">
      <c r="A3567" t="s">
        <v>213</v>
      </c>
      <c r="B3567" t="s">
        <v>288</v>
      </c>
      <c r="C3567" t="s">
        <v>3818</v>
      </c>
    </row>
    <row r="3568" spans="1:3" x14ac:dyDescent="0.35">
      <c r="A3568" t="s">
        <v>213</v>
      </c>
      <c r="B3568" t="s">
        <v>288</v>
      </c>
      <c r="C3568" t="s">
        <v>3819</v>
      </c>
    </row>
    <row r="3569" spans="1:3" x14ac:dyDescent="0.35">
      <c r="A3569" t="s">
        <v>213</v>
      </c>
      <c r="B3569" t="s">
        <v>288</v>
      </c>
      <c r="C3569" t="s">
        <v>3820</v>
      </c>
    </row>
    <row r="3570" spans="1:3" x14ac:dyDescent="0.35">
      <c r="A3570" t="s">
        <v>213</v>
      </c>
      <c r="B3570" t="s">
        <v>288</v>
      </c>
      <c r="C3570" t="s">
        <v>3821</v>
      </c>
    </row>
    <row r="3571" spans="1:3" x14ac:dyDescent="0.35">
      <c r="A3571" t="s">
        <v>213</v>
      </c>
      <c r="B3571" t="s">
        <v>288</v>
      </c>
      <c r="C3571" t="s">
        <v>3822</v>
      </c>
    </row>
    <row r="3572" spans="1:3" x14ac:dyDescent="0.35">
      <c r="A3572" t="s">
        <v>213</v>
      </c>
      <c r="B3572" t="s">
        <v>288</v>
      </c>
      <c r="C3572" t="s">
        <v>3823</v>
      </c>
    </row>
    <row r="3573" spans="1:3" x14ac:dyDescent="0.35">
      <c r="A3573" t="s">
        <v>213</v>
      </c>
      <c r="B3573" t="s">
        <v>288</v>
      </c>
      <c r="C3573" t="s">
        <v>3824</v>
      </c>
    </row>
    <row r="3574" spans="1:3" x14ac:dyDescent="0.35">
      <c r="A3574" t="s">
        <v>213</v>
      </c>
      <c r="B3574" t="s">
        <v>288</v>
      </c>
      <c r="C3574" t="s">
        <v>3825</v>
      </c>
    </row>
    <row r="3575" spans="1:3" x14ac:dyDescent="0.35">
      <c r="A3575" t="s">
        <v>213</v>
      </c>
      <c r="B3575" t="s">
        <v>288</v>
      </c>
      <c r="C3575" t="s">
        <v>3826</v>
      </c>
    </row>
    <row r="3576" spans="1:3" x14ac:dyDescent="0.35">
      <c r="A3576" t="s">
        <v>213</v>
      </c>
      <c r="B3576" t="s">
        <v>288</v>
      </c>
      <c r="C3576" t="s">
        <v>3827</v>
      </c>
    </row>
    <row r="3577" spans="1:3" x14ac:dyDescent="0.35">
      <c r="A3577" t="s">
        <v>213</v>
      </c>
      <c r="B3577" t="s">
        <v>288</v>
      </c>
      <c r="C3577" t="s">
        <v>3828</v>
      </c>
    </row>
    <row r="3578" spans="1:3" x14ac:dyDescent="0.35">
      <c r="A3578" t="s">
        <v>213</v>
      </c>
      <c r="B3578" t="s">
        <v>288</v>
      </c>
      <c r="C3578" t="s">
        <v>3829</v>
      </c>
    </row>
    <row r="3579" spans="1:3" x14ac:dyDescent="0.35">
      <c r="A3579" t="s">
        <v>213</v>
      </c>
      <c r="B3579" t="s">
        <v>288</v>
      </c>
      <c r="C3579" t="s">
        <v>3830</v>
      </c>
    </row>
    <row r="3580" spans="1:3" x14ac:dyDescent="0.35">
      <c r="A3580" t="s">
        <v>213</v>
      </c>
      <c r="B3580" t="s">
        <v>288</v>
      </c>
      <c r="C3580" t="s">
        <v>3831</v>
      </c>
    </row>
    <row r="3581" spans="1:3" x14ac:dyDescent="0.35">
      <c r="A3581" t="s">
        <v>213</v>
      </c>
      <c r="B3581" t="s">
        <v>288</v>
      </c>
      <c r="C3581" t="s">
        <v>3832</v>
      </c>
    </row>
    <row r="3582" spans="1:3" x14ac:dyDescent="0.35">
      <c r="A3582" t="s">
        <v>213</v>
      </c>
      <c r="B3582" t="s">
        <v>288</v>
      </c>
      <c r="C3582" t="s">
        <v>3833</v>
      </c>
    </row>
    <row r="3583" spans="1:3" x14ac:dyDescent="0.35">
      <c r="A3583" t="s">
        <v>213</v>
      </c>
      <c r="B3583" t="s">
        <v>288</v>
      </c>
      <c r="C3583" t="s">
        <v>3834</v>
      </c>
    </row>
    <row r="3584" spans="1:3" x14ac:dyDescent="0.35">
      <c r="A3584" t="s">
        <v>213</v>
      </c>
      <c r="B3584" t="s">
        <v>288</v>
      </c>
      <c r="C3584" t="s">
        <v>3835</v>
      </c>
    </row>
    <row r="3585" spans="1:3" x14ac:dyDescent="0.35">
      <c r="A3585" t="s">
        <v>213</v>
      </c>
      <c r="B3585" t="s">
        <v>288</v>
      </c>
      <c r="C3585" t="s">
        <v>3836</v>
      </c>
    </row>
    <row r="3586" spans="1:3" x14ac:dyDescent="0.35">
      <c r="A3586" t="s">
        <v>213</v>
      </c>
      <c r="B3586" t="s">
        <v>288</v>
      </c>
      <c r="C3586" t="s">
        <v>3837</v>
      </c>
    </row>
    <row r="3587" spans="1:3" x14ac:dyDescent="0.35">
      <c r="A3587" t="s">
        <v>213</v>
      </c>
      <c r="B3587" t="s">
        <v>288</v>
      </c>
      <c r="C3587" t="s">
        <v>3838</v>
      </c>
    </row>
    <row r="3588" spans="1:3" x14ac:dyDescent="0.35">
      <c r="A3588" t="s">
        <v>213</v>
      </c>
      <c r="B3588" t="s">
        <v>288</v>
      </c>
      <c r="C3588" t="s">
        <v>3839</v>
      </c>
    </row>
    <row r="3589" spans="1:3" x14ac:dyDescent="0.35">
      <c r="A3589" t="s">
        <v>213</v>
      </c>
      <c r="B3589" t="s">
        <v>288</v>
      </c>
      <c r="C3589" t="s">
        <v>3840</v>
      </c>
    </row>
    <row r="3590" spans="1:3" x14ac:dyDescent="0.35">
      <c r="A3590" t="s">
        <v>213</v>
      </c>
      <c r="B3590" t="s">
        <v>288</v>
      </c>
      <c r="C3590" t="s">
        <v>3841</v>
      </c>
    </row>
    <row r="3591" spans="1:3" x14ac:dyDescent="0.35">
      <c r="A3591" t="s">
        <v>213</v>
      </c>
      <c r="B3591" t="s">
        <v>288</v>
      </c>
      <c r="C3591" t="s">
        <v>3842</v>
      </c>
    </row>
    <row r="3592" spans="1:3" x14ac:dyDescent="0.35">
      <c r="A3592" t="s">
        <v>213</v>
      </c>
      <c r="B3592" t="s">
        <v>288</v>
      </c>
      <c r="C3592" t="s">
        <v>3843</v>
      </c>
    </row>
    <row r="3593" spans="1:3" x14ac:dyDescent="0.35">
      <c r="A3593" t="s">
        <v>213</v>
      </c>
      <c r="B3593" t="s">
        <v>288</v>
      </c>
      <c r="C3593" t="s">
        <v>3844</v>
      </c>
    </row>
    <row r="3594" spans="1:3" x14ac:dyDescent="0.35">
      <c r="A3594" t="s">
        <v>213</v>
      </c>
      <c r="B3594" t="s">
        <v>288</v>
      </c>
      <c r="C3594" t="s">
        <v>3845</v>
      </c>
    </row>
    <row r="3595" spans="1:3" x14ac:dyDescent="0.35">
      <c r="A3595" t="s">
        <v>213</v>
      </c>
      <c r="B3595" t="s">
        <v>288</v>
      </c>
      <c r="C3595" t="s">
        <v>3846</v>
      </c>
    </row>
    <row r="3596" spans="1:3" x14ac:dyDescent="0.35">
      <c r="A3596" t="s">
        <v>213</v>
      </c>
      <c r="B3596" t="s">
        <v>288</v>
      </c>
      <c r="C3596" t="s">
        <v>3847</v>
      </c>
    </row>
    <row r="3597" spans="1:3" x14ac:dyDescent="0.35">
      <c r="A3597" t="s">
        <v>213</v>
      </c>
      <c r="B3597" t="s">
        <v>288</v>
      </c>
      <c r="C3597" t="s">
        <v>3848</v>
      </c>
    </row>
    <row r="3598" spans="1:3" x14ac:dyDescent="0.35">
      <c r="A3598" t="s">
        <v>213</v>
      </c>
      <c r="B3598" t="s">
        <v>291</v>
      </c>
      <c r="C3598" t="s">
        <v>3849</v>
      </c>
    </row>
    <row r="3599" spans="1:3" x14ac:dyDescent="0.35">
      <c r="A3599" t="s">
        <v>213</v>
      </c>
      <c r="B3599" t="s">
        <v>291</v>
      </c>
      <c r="C3599" t="s">
        <v>3850</v>
      </c>
    </row>
    <row r="3600" spans="1:3" x14ac:dyDescent="0.35">
      <c r="A3600" t="s">
        <v>213</v>
      </c>
      <c r="B3600" t="s">
        <v>291</v>
      </c>
      <c r="C3600" t="s">
        <v>3851</v>
      </c>
    </row>
    <row r="3601" spans="1:3" x14ac:dyDescent="0.35">
      <c r="A3601" t="s">
        <v>213</v>
      </c>
      <c r="B3601" t="s">
        <v>291</v>
      </c>
      <c r="C3601" t="s">
        <v>3852</v>
      </c>
    </row>
    <row r="3602" spans="1:3" x14ac:dyDescent="0.35">
      <c r="A3602" t="s">
        <v>213</v>
      </c>
      <c r="B3602" t="s">
        <v>291</v>
      </c>
      <c r="C3602" t="s">
        <v>3853</v>
      </c>
    </row>
    <row r="3603" spans="1:3" x14ac:dyDescent="0.35">
      <c r="A3603" t="s">
        <v>213</v>
      </c>
      <c r="B3603" t="s">
        <v>291</v>
      </c>
      <c r="C3603" t="s">
        <v>3854</v>
      </c>
    </row>
    <row r="3604" spans="1:3" x14ac:dyDescent="0.35">
      <c r="A3604" t="s">
        <v>213</v>
      </c>
      <c r="B3604" t="s">
        <v>291</v>
      </c>
      <c r="C3604" t="s">
        <v>3855</v>
      </c>
    </row>
    <row r="3605" spans="1:3" x14ac:dyDescent="0.35">
      <c r="A3605" t="s">
        <v>213</v>
      </c>
      <c r="B3605" t="s">
        <v>291</v>
      </c>
      <c r="C3605" t="s">
        <v>3856</v>
      </c>
    </row>
    <row r="3606" spans="1:3" x14ac:dyDescent="0.35">
      <c r="A3606" t="s">
        <v>213</v>
      </c>
      <c r="B3606" t="s">
        <v>291</v>
      </c>
      <c r="C3606" t="s">
        <v>3857</v>
      </c>
    </row>
    <row r="3607" spans="1:3" x14ac:dyDescent="0.35">
      <c r="A3607" t="s">
        <v>213</v>
      </c>
      <c r="B3607" t="s">
        <v>291</v>
      </c>
      <c r="C3607" t="s">
        <v>3858</v>
      </c>
    </row>
    <row r="3608" spans="1:3" x14ac:dyDescent="0.35">
      <c r="A3608" t="s">
        <v>213</v>
      </c>
      <c r="B3608" t="s">
        <v>291</v>
      </c>
      <c r="C3608" t="s">
        <v>3859</v>
      </c>
    </row>
    <row r="3609" spans="1:3" x14ac:dyDescent="0.35">
      <c r="A3609" t="s">
        <v>213</v>
      </c>
      <c r="B3609" t="s">
        <v>291</v>
      </c>
      <c r="C3609" t="s">
        <v>3860</v>
      </c>
    </row>
    <row r="3610" spans="1:3" x14ac:dyDescent="0.35">
      <c r="A3610" t="s">
        <v>213</v>
      </c>
      <c r="B3610" t="s">
        <v>291</v>
      </c>
      <c r="C3610" t="s">
        <v>3861</v>
      </c>
    </row>
    <row r="3611" spans="1:3" x14ac:dyDescent="0.35">
      <c r="A3611" t="s">
        <v>213</v>
      </c>
      <c r="B3611" t="s">
        <v>291</v>
      </c>
      <c r="C3611" t="s">
        <v>3862</v>
      </c>
    </row>
    <row r="3612" spans="1:3" x14ac:dyDescent="0.35">
      <c r="A3612" t="s">
        <v>213</v>
      </c>
      <c r="B3612" t="s">
        <v>291</v>
      </c>
      <c r="C3612" t="s">
        <v>3863</v>
      </c>
    </row>
    <row r="3613" spans="1:3" x14ac:dyDescent="0.35">
      <c r="A3613" t="s">
        <v>213</v>
      </c>
      <c r="B3613" t="s">
        <v>291</v>
      </c>
      <c r="C3613" t="s">
        <v>3864</v>
      </c>
    </row>
    <row r="3614" spans="1:3" x14ac:dyDescent="0.35">
      <c r="A3614" t="s">
        <v>213</v>
      </c>
      <c r="B3614" t="s">
        <v>291</v>
      </c>
      <c r="C3614" t="s">
        <v>3865</v>
      </c>
    </row>
    <row r="3615" spans="1:3" x14ac:dyDescent="0.35">
      <c r="A3615" t="s">
        <v>213</v>
      </c>
      <c r="B3615" t="s">
        <v>291</v>
      </c>
      <c r="C3615" t="s">
        <v>3866</v>
      </c>
    </row>
    <row r="3616" spans="1:3" x14ac:dyDescent="0.35">
      <c r="A3616" t="s">
        <v>213</v>
      </c>
      <c r="B3616" t="s">
        <v>291</v>
      </c>
      <c r="C3616" t="s">
        <v>3867</v>
      </c>
    </row>
    <row r="3617" spans="1:3" x14ac:dyDescent="0.35">
      <c r="A3617" t="s">
        <v>213</v>
      </c>
      <c r="B3617" t="s">
        <v>291</v>
      </c>
      <c r="C3617" t="s">
        <v>3868</v>
      </c>
    </row>
    <row r="3618" spans="1:3" x14ac:dyDescent="0.35">
      <c r="A3618" t="s">
        <v>213</v>
      </c>
      <c r="B3618" t="s">
        <v>291</v>
      </c>
      <c r="C3618" t="s">
        <v>3869</v>
      </c>
    </row>
    <row r="3619" spans="1:3" x14ac:dyDescent="0.35">
      <c r="A3619" t="s">
        <v>213</v>
      </c>
      <c r="B3619" t="s">
        <v>291</v>
      </c>
      <c r="C3619" t="s">
        <v>3870</v>
      </c>
    </row>
    <row r="3620" spans="1:3" x14ac:dyDescent="0.35">
      <c r="A3620" t="s">
        <v>213</v>
      </c>
      <c r="B3620" t="s">
        <v>291</v>
      </c>
      <c r="C3620" t="s">
        <v>3871</v>
      </c>
    </row>
    <row r="3621" spans="1:3" x14ac:dyDescent="0.35">
      <c r="A3621" t="s">
        <v>213</v>
      </c>
      <c r="B3621" t="s">
        <v>291</v>
      </c>
      <c r="C3621" t="s">
        <v>3872</v>
      </c>
    </row>
    <row r="3622" spans="1:3" x14ac:dyDescent="0.35">
      <c r="A3622" t="s">
        <v>213</v>
      </c>
      <c r="B3622" t="s">
        <v>291</v>
      </c>
      <c r="C3622" t="s">
        <v>3873</v>
      </c>
    </row>
    <row r="3623" spans="1:3" x14ac:dyDescent="0.35">
      <c r="A3623" t="s">
        <v>213</v>
      </c>
      <c r="B3623" t="s">
        <v>291</v>
      </c>
      <c r="C3623" t="s">
        <v>3874</v>
      </c>
    </row>
    <row r="3624" spans="1:3" x14ac:dyDescent="0.35">
      <c r="A3624" t="s">
        <v>213</v>
      </c>
      <c r="B3624" t="s">
        <v>291</v>
      </c>
      <c r="C3624" t="s">
        <v>3875</v>
      </c>
    </row>
    <row r="3625" spans="1:3" x14ac:dyDescent="0.35">
      <c r="A3625" t="s">
        <v>213</v>
      </c>
      <c r="B3625" t="s">
        <v>291</v>
      </c>
      <c r="C3625" t="s">
        <v>3876</v>
      </c>
    </row>
    <row r="3626" spans="1:3" x14ac:dyDescent="0.35">
      <c r="A3626" t="s">
        <v>213</v>
      </c>
      <c r="B3626" t="s">
        <v>291</v>
      </c>
      <c r="C3626" t="s">
        <v>3877</v>
      </c>
    </row>
    <row r="3627" spans="1:3" x14ac:dyDescent="0.35">
      <c r="A3627" t="s">
        <v>213</v>
      </c>
      <c r="B3627" t="s">
        <v>291</v>
      </c>
      <c r="C3627" t="s">
        <v>3878</v>
      </c>
    </row>
    <row r="3628" spans="1:3" x14ac:dyDescent="0.35">
      <c r="A3628" t="s">
        <v>213</v>
      </c>
      <c r="B3628" t="s">
        <v>291</v>
      </c>
      <c r="C3628" t="s">
        <v>3879</v>
      </c>
    </row>
    <row r="3629" spans="1:3" x14ac:dyDescent="0.35">
      <c r="A3629" t="s">
        <v>213</v>
      </c>
      <c r="B3629" t="s">
        <v>291</v>
      </c>
      <c r="C3629" t="s">
        <v>3880</v>
      </c>
    </row>
    <row r="3630" spans="1:3" x14ac:dyDescent="0.35">
      <c r="A3630" t="s">
        <v>213</v>
      </c>
      <c r="B3630" t="s">
        <v>291</v>
      </c>
      <c r="C3630" t="s">
        <v>3881</v>
      </c>
    </row>
    <row r="3631" spans="1:3" x14ac:dyDescent="0.35">
      <c r="A3631" t="s">
        <v>213</v>
      </c>
      <c r="B3631" t="s">
        <v>291</v>
      </c>
      <c r="C3631" t="s">
        <v>3882</v>
      </c>
    </row>
    <row r="3632" spans="1:3" x14ac:dyDescent="0.35">
      <c r="A3632" t="s">
        <v>213</v>
      </c>
      <c r="B3632" t="s">
        <v>291</v>
      </c>
      <c r="C3632" t="s">
        <v>3883</v>
      </c>
    </row>
    <row r="3633" spans="1:3" x14ac:dyDescent="0.35">
      <c r="A3633" t="s">
        <v>213</v>
      </c>
      <c r="B3633" t="s">
        <v>291</v>
      </c>
      <c r="C3633" t="s">
        <v>3884</v>
      </c>
    </row>
    <row r="3634" spans="1:3" x14ac:dyDescent="0.35">
      <c r="A3634" t="s">
        <v>213</v>
      </c>
      <c r="B3634" t="s">
        <v>291</v>
      </c>
      <c r="C3634" t="s">
        <v>3885</v>
      </c>
    </row>
    <row r="3635" spans="1:3" x14ac:dyDescent="0.35">
      <c r="A3635" t="s">
        <v>213</v>
      </c>
      <c r="B3635" t="s">
        <v>291</v>
      </c>
      <c r="C3635" t="s">
        <v>3886</v>
      </c>
    </row>
    <row r="3636" spans="1:3" x14ac:dyDescent="0.35">
      <c r="A3636" t="s">
        <v>213</v>
      </c>
      <c r="B3636" t="s">
        <v>291</v>
      </c>
      <c r="C3636" t="s">
        <v>3887</v>
      </c>
    </row>
    <row r="3637" spans="1:3" x14ac:dyDescent="0.35">
      <c r="A3637" t="s">
        <v>213</v>
      </c>
      <c r="B3637" t="s">
        <v>291</v>
      </c>
      <c r="C3637" t="s">
        <v>3888</v>
      </c>
    </row>
    <row r="3638" spans="1:3" x14ac:dyDescent="0.35">
      <c r="A3638" t="s">
        <v>213</v>
      </c>
      <c r="B3638" t="s">
        <v>291</v>
      </c>
      <c r="C3638" t="s">
        <v>3889</v>
      </c>
    </row>
    <row r="3639" spans="1:3" x14ac:dyDescent="0.35">
      <c r="A3639" t="s">
        <v>213</v>
      </c>
      <c r="B3639" t="s">
        <v>291</v>
      </c>
      <c r="C3639" t="s">
        <v>3890</v>
      </c>
    </row>
    <row r="3640" spans="1:3" x14ac:dyDescent="0.35">
      <c r="A3640" t="s">
        <v>213</v>
      </c>
      <c r="B3640" t="s">
        <v>291</v>
      </c>
      <c r="C3640" t="s">
        <v>3891</v>
      </c>
    </row>
    <row r="3641" spans="1:3" x14ac:dyDescent="0.35">
      <c r="A3641" t="s">
        <v>213</v>
      </c>
      <c r="B3641" t="s">
        <v>291</v>
      </c>
      <c r="C3641" t="s">
        <v>3892</v>
      </c>
    </row>
    <row r="3642" spans="1:3" x14ac:dyDescent="0.35">
      <c r="A3642" t="s">
        <v>213</v>
      </c>
      <c r="B3642" t="s">
        <v>291</v>
      </c>
      <c r="C3642" t="s">
        <v>3893</v>
      </c>
    </row>
    <row r="3643" spans="1:3" x14ac:dyDescent="0.35">
      <c r="A3643" t="s">
        <v>213</v>
      </c>
      <c r="B3643" t="s">
        <v>291</v>
      </c>
      <c r="C3643" t="s">
        <v>3894</v>
      </c>
    </row>
    <row r="3644" spans="1:3" x14ac:dyDescent="0.35">
      <c r="A3644" t="s">
        <v>213</v>
      </c>
      <c r="B3644" t="s">
        <v>291</v>
      </c>
      <c r="C3644" t="s">
        <v>3895</v>
      </c>
    </row>
    <row r="3645" spans="1:3" x14ac:dyDescent="0.35">
      <c r="A3645" t="s">
        <v>213</v>
      </c>
      <c r="B3645" t="s">
        <v>291</v>
      </c>
      <c r="C3645" t="s">
        <v>3896</v>
      </c>
    </row>
    <row r="3646" spans="1:3" x14ac:dyDescent="0.35">
      <c r="A3646" t="s">
        <v>213</v>
      </c>
      <c r="B3646" t="s">
        <v>291</v>
      </c>
      <c r="C3646" t="s">
        <v>3897</v>
      </c>
    </row>
    <row r="3647" spans="1:3" x14ac:dyDescent="0.35">
      <c r="A3647" t="s">
        <v>213</v>
      </c>
      <c r="B3647" t="s">
        <v>291</v>
      </c>
      <c r="C3647" t="s">
        <v>3898</v>
      </c>
    </row>
    <row r="3648" spans="1:3" x14ac:dyDescent="0.35">
      <c r="A3648" t="s">
        <v>213</v>
      </c>
      <c r="B3648" t="s">
        <v>291</v>
      </c>
      <c r="C3648" t="s">
        <v>3899</v>
      </c>
    </row>
    <row r="3649" spans="1:3" x14ac:dyDescent="0.35">
      <c r="A3649" t="s">
        <v>213</v>
      </c>
      <c r="B3649" t="s">
        <v>291</v>
      </c>
      <c r="C3649" t="s">
        <v>3900</v>
      </c>
    </row>
    <row r="3650" spans="1:3" x14ac:dyDescent="0.35">
      <c r="A3650" t="s">
        <v>213</v>
      </c>
      <c r="B3650" t="s">
        <v>291</v>
      </c>
      <c r="C3650" t="s">
        <v>3901</v>
      </c>
    </row>
    <row r="3651" spans="1:3" x14ac:dyDescent="0.35">
      <c r="A3651" t="s">
        <v>213</v>
      </c>
      <c r="B3651" t="s">
        <v>291</v>
      </c>
      <c r="C3651" t="s">
        <v>3902</v>
      </c>
    </row>
    <row r="3652" spans="1:3" x14ac:dyDescent="0.35">
      <c r="A3652" t="s">
        <v>213</v>
      </c>
      <c r="B3652" t="s">
        <v>291</v>
      </c>
      <c r="C3652" t="s">
        <v>3903</v>
      </c>
    </row>
    <row r="3653" spans="1:3" x14ac:dyDescent="0.35">
      <c r="A3653" t="s">
        <v>213</v>
      </c>
      <c r="B3653" t="s">
        <v>293</v>
      </c>
      <c r="C3653" t="s">
        <v>3904</v>
      </c>
    </row>
    <row r="3654" spans="1:3" x14ac:dyDescent="0.35">
      <c r="A3654" t="s">
        <v>213</v>
      </c>
      <c r="B3654" t="s">
        <v>293</v>
      </c>
      <c r="C3654" t="s">
        <v>3905</v>
      </c>
    </row>
    <row r="3655" spans="1:3" x14ac:dyDescent="0.35">
      <c r="A3655" t="s">
        <v>213</v>
      </c>
      <c r="B3655" t="s">
        <v>293</v>
      </c>
      <c r="C3655" t="s">
        <v>3906</v>
      </c>
    </row>
    <row r="3656" spans="1:3" x14ac:dyDescent="0.35">
      <c r="A3656" t="s">
        <v>213</v>
      </c>
      <c r="B3656" t="s">
        <v>293</v>
      </c>
      <c r="C3656" t="s">
        <v>3907</v>
      </c>
    </row>
    <row r="3657" spans="1:3" x14ac:dyDescent="0.35">
      <c r="A3657" t="s">
        <v>213</v>
      </c>
      <c r="B3657" t="s">
        <v>293</v>
      </c>
      <c r="C3657" t="s">
        <v>3908</v>
      </c>
    </row>
    <row r="3658" spans="1:3" x14ac:dyDescent="0.35">
      <c r="A3658" t="s">
        <v>213</v>
      </c>
      <c r="B3658" t="s">
        <v>293</v>
      </c>
      <c r="C3658" t="s">
        <v>3909</v>
      </c>
    </row>
    <row r="3659" spans="1:3" x14ac:dyDescent="0.35">
      <c r="A3659" t="s">
        <v>213</v>
      </c>
      <c r="B3659" t="s">
        <v>293</v>
      </c>
      <c r="C3659" t="s">
        <v>3910</v>
      </c>
    </row>
    <row r="3660" spans="1:3" x14ac:dyDescent="0.35">
      <c r="A3660" t="s">
        <v>213</v>
      </c>
      <c r="B3660" t="s">
        <v>293</v>
      </c>
      <c r="C3660" t="s">
        <v>3911</v>
      </c>
    </row>
    <row r="3661" spans="1:3" x14ac:dyDescent="0.35">
      <c r="A3661" t="s">
        <v>213</v>
      </c>
      <c r="B3661" t="s">
        <v>293</v>
      </c>
      <c r="C3661" t="s">
        <v>3912</v>
      </c>
    </row>
    <row r="3662" spans="1:3" x14ac:dyDescent="0.35">
      <c r="A3662" t="s">
        <v>213</v>
      </c>
      <c r="B3662" t="s">
        <v>293</v>
      </c>
      <c r="C3662" t="s">
        <v>3913</v>
      </c>
    </row>
    <row r="3663" spans="1:3" x14ac:dyDescent="0.35">
      <c r="A3663" t="s">
        <v>213</v>
      </c>
      <c r="B3663" t="s">
        <v>293</v>
      </c>
      <c r="C3663" t="s">
        <v>3914</v>
      </c>
    </row>
    <row r="3664" spans="1:3" x14ac:dyDescent="0.35">
      <c r="A3664" t="s">
        <v>213</v>
      </c>
      <c r="B3664" t="s">
        <v>293</v>
      </c>
      <c r="C3664" t="s">
        <v>3915</v>
      </c>
    </row>
    <row r="3665" spans="1:3" x14ac:dyDescent="0.35">
      <c r="A3665" t="s">
        <v>213</v>
      </c>
      <c r="B3665" t="s">
        <v>293</v>
      </c>
      <c r="C3665" t="s">
        <v>3916</v>
      </c>
    </row>
    <row r="3666" spans="1:3" x14ac:dyDescent="0.35">
      <c r="A3666" t="s">
        <v>213</v>
      </c>
      <c r="B3666" t="s">
        <v>293</v>
      </c>
      <c r="C3666" t="s">
        <v>3917</v>
      </c>
    </row>
    <row r="3667" spans="1:3" x14ac:dyDescent="0.35">
      <c r="A3667" t="s">
        <v>213</v>
      </c>
      <c r="B3667" t="s">
        <v>293</v>
      </c>
      <c r="C3667" t="s">
        <v>3918</v>
      </c>
    </row>
    <row r="3668" spans="1:3" x14ac:dyDescent="0.35">
      <c r="A3668" t="s">
        <v>213</v>
      </c>
      <c r="B3668" t="s">
        <v>293</v>
      </c>
      <c r="C3668" t="s">
        <v>3919</v>
      </c>
    </row>
    <row r="3669" spans="1:3" x14ac:dyDescent="0.35">
      <c r="A3669" t="s">
        <v>213</v>
      </c>
      <c r="B3669" t="s">
        <v>293</v>
      </c>
      <c r="C3669" t="s">
        <v>3920</v>
      </c>
    </row>
    <row r="3670" spans="1:3" x14ac:dyDescent="0.35">
      <c r="A3670" t="s">
        <v>213</v>
      </c>
      <c r="B3670" t="s">
        <v>293</v>
      </c>
      <c r="C3670" t="s">
        <v>3921</v>
      </c>
    </row>
    <row r="3671" spans="1:3" x14ac:dyDescent="0.35">
      <c r="A3671" t="s">
        <v>213</v>
      </c>
      <c r="B3671" t="s">
        <v>293</v>
      </c>
      <c r="C3671" t="s">
        <v>3922</v>
      </c>
    </row>
    <row r="3672" spans="1:3" x14ac:dyDescent="0.35">
      <c r="A3672" t="s">
        <v>213</v>
      </c>
      <c r="B3672" t="s">
        <v>293</v>
      </c>
      <c r="C3672" t="s">
        <v>3923</v>
      </c>
    </row>
    <row r="3673" spans="1:3" x14ac:dyDescent="0.35">
      <c r="A3673" t="s">
        <v>213</v>
      </c>
      <c r="B3673" t="s">
        <v>293</v>
      </c>
      <c r="C3673" t="s">
        <v>3924</v>
      </c>
    </row>
    <row r="3674" spans="1:3" x14ac:dyDescent="0.35">
      <c r="A3674" t="s">
        <v>213</v>
      </c>
      <c r="B3674" t="s">
        <v>293</v>
      </c>
      <c r="C3674" t="s">
        <v>3925</v>
      </c>
    </row>
    <row r="3675" spans="1:3" x14ac:dyDescent="0.35">
      <c r="A3675" t="s">
        <v>213</v>
      </c>
      <c r="B3675" t="s">
        <v>293</v>
      </c>
      <c r="C3675" t="s">
        <v>3926</v>
      </c>
    </row>
    <row r="3676" spans="1:3" x14ac:dyDescent="0.35">
      <c r="A3676" t="s">
        <v>213</v>
      </c>
      <c r="B3676" t="s">
        <v>293</v>
      </c>
      <c r="C3676" t="s">
        <v>3927</v>
      </c>
    </row>
    <row r="3677" spans="1:3" x14ac:dyDescent="0.35">
      <c r="A3677" t="s">
        <v>213</v>
      </c>
      <c r="B3677" t="s">
        <v>293</v>
      </c>
      <c r="C3677" t="s">
        <v>3928</v>
      </c>
    </row>
    <row r="3678" spans="1:3" x14ac:dyDescent="0.35">
      <c r="A3678" t="s">
        <v>213</v>
      </c>
      <c r="B3678" t="s">
        <v>293</v>
      </c>
      <c r="C3678" t="s">
        <v>3929</v>
      </c>
    </row>
    <row r="3679" spans="1:3" x14ac:dyDescent="0.35">
      <c r="A3679" t="s">
        <v>213</v>
      </c>
      <c r="B3679" t="s">
        <v>293</v>
      </c>
      <c r="C3679" t="s">
        <v>3930</v>
      </c>
    </row>
    <row r="3680" spans="1:3" x14ac:dyDescent="0.35">
      <c r="A3680" t="s">
        <v>213</v>
      </c>
      <c r="B3680" t="s">
        <v>293</v>
      </c>
      <c r="C3680" t="s">
        <v>3931</v>
      </c>
    </row>
    <row r="3681" spans="1:3" x14ac:dyDescent="0.35">
      <c r="A3681" t="s">
        <v>213</v>
      </c>
      <c r="B3681" t="s">
        <v>293</v>
      </c>
      <c r="C3681" t="s">
        <v>3932</v>
      </c>
    </row>
    <row r="3682" spans="1:3" x14ac:dyDescent="0.35">
      <c r="A3682" t="s">
        <v>213</v>
      </c>
      <c r="B3682" t="s">
        <v>293</v>
      </c>
      <c r="C3682" t="s">
        <v>3933</v>
      </c>
    </row>
    <row r="3683" spans="1:3" x14ac:dyDescent="0.35">
      <c r="A3683" t="s">
        <v>213</v>
      </c>
      <c r="B3683" t="s">
        <v>293</v>
      </c>
      <c r="C3683" t="s">
        <v>3934</v>
      </c>
    </row>
    <row r="3684" spans="1:3" x14ac:dyDescent="0.35">
      <c r="A3684" t="s">
        <v>213</v>
      </c>
      <c r="B3684" t="s">
        <v>293</v>
      </c>
      <c r="C3684" t="s">
        <v>3935</v>
      </c>
    </row>
    <row r="3685" spans="1:3" x14ac:dyDescent="0.35">
      <c r="A3685" t="s">
        <v>213</v>
      </c>
      <c r="B3685" t="s">
        <v>293</v>
      </c>
      <c r="C3685" t="s">
        <v>3936</v>
      </c>
    </row>
    <row r="3686" spans="1:3" x14ac:dyDescent="0.35">
      <c r="A3686" t="s">
        <v>213</v>
      </c>
      <c r="B3686" t="s">
        <v>293</v>
      </c>
      <c r="C3686" t="s">
        <v>3937</v>
      </c>
    </row>
    <row r="3687" spans="1:3" x14ac:dyDescent="0.35">
      <c r="A3687" t="s">
        <v>213</v>
      </c>
      <c r="B3687" t="s">
        <v>293</v>
      </c>
      <c r="C3687" t="s">
        <v>3938</v>
      </c>
    </row>
    <row r="3688" spans="1:3" x14ac:dyDescent="0.35">
      <c r="A3688" t="s">
        <v>213</v>
      </c>
      <c r="B3688" t="s">
        <v>293</v>
      </c>
      <c r="C3688" t="s">
        <v>3939</v>
      </c>
    </row>
    <row r="3689" spans="1:3" x14ac:dyDescent="0.35">
      <c r="A3689" t="s">
        <v>213</v>
      </c>
      <c r="B3689" t="s">
        <v>293</v>
      </c>
      <c r="C3689" t="s">
        <v>3940</v>
      </c>
    </row>
    <row r="3690" spans="1:3" x14ac:dyDescent="0.35">
      <c r="A3690" t="s">
        <v>213</v>
      </c>
      <c r="B3690" t="s">
        <v>293</v>
      </c>
      <c r="C3690" t="s">
        <v>3941</v>
      </c>
    </row>
    <row r="3691" spans="1:3" x14ac:dyDescent="0.35">
      <c r="A3691" t="s">
        <v>213</v>
      </c>
      <c r="B3691" t="s">
        <v>293</v>
      </c>
      <c r="C3691" t="s">
        <v>3942</v>
      </c>
    </row>
    <row r="3692" spans="1:3" x14ac:dyDescent="0.35">
      <c r="A3692" t="s">
        <v>213</v>
      </c>
      <c r="B3692" t="s">
        <v>293</v>
      </c>
      <c r="C3692" t="s">
        <v>3943</v>
      </c>
    </row>
    <row r="3693" spans="1:3" x14ac:dyDescent="0.35">
      <c r="A3693" t="s">
        <v>213</v>
      </c>
      <c r="B3693" t="s">
        <v>293</v>
      </c>
      <c r="C3693" t="s">
        <v>3944</v>
      </c>
    </row>
    <row r="3694" spans="1:3" x14ac:dyDescent="0.35">
      <c r="A3694" t="s">
        <v>213</v>
      </c>
      <c r="B3694" t="s">
        <v>293</v>
      </c>
      <c r="C3694" t="s">
        <v>3945</v>
      </c>
    </row>
    <row r="3695" spans="1:3" x14ac:dyDescent="0.35">
      <c r="A3695" t="s">
        <v>213</v>
      </c>
      <c r="B3695" t="s">
        <v>293</v>
      </c>
      <c r="C3695" t="s">
        <v>3946</v>
      </c>
    </row>
    <row r="3696" spans="1:3" x14ac:dyDescent="0.35">
      <c r="A3696" t="s">
        <v>213</v>
      </c>
      <c r="B3696" t="s">
        <v>293</v>
      </c>
      <c r="C3696" t="s">
        <v>3947</v>
      </c>
    </row>
    <row r="3697" spans="1:3" x14ac:dyDescent="0.35">
      <c r="A3697" t="s">
        <v>213</v>
      </c>
      <c r="B3697" t="s">
        <v>293</v>
      </c>
      <c r="C3697" t="s">
        <v>3948</v>
      </c>
    </row>
    <row r="3698" spans="1:3" x14ac:dyDescent="0.35">
      <c r="A3698" t="s">
        <v>213</v>
      </c>
      <c r="B3698" t="s">
        <v>293</v>
      </c>
      <c r="C3698" t="s">
        <v>3949</v>
      </c>
    </row>
    <row r="3699" spans="1:3" x14ac:dyDescent="0.35">
      <c r="A3699" t="s">
        <v>213</v>
      </c>
      <c r="B3699" t="s">
        <v>293</v>
      </c>
      <c r="C3699" t="s">
        <v>3950</v>
      </c>
    </row>
    <row r="3700" spans="1:3" x14ac:dyDescent="0.35">
      <c r="A3700" t="s">
        <v>213</v>
      </c>
      <c r="B3700" t="s">
        <v>293</v>
      </c>
      <c r="C3700" t="s">
        <v>3951</v>
      </c>
    </row>
    <row r="3701" spans="1:3" x14ac:dyDescent="0.35">
      <c r="A3701" t="s">
        <v>213</v>
      </c>
      <c r="B3701" t="s">
        <v>293</v>
      </c>
      <c r="C3701" t="s">
        <v>3952</v>
      </c>
    </row>
    <row r="3702" spans="1:3" x14ac:dyDescent="0.35">
      <c r="A3702" t="s">
        <v>213</v>
      </c>
      <c r="B3702" t="s">
        <v>293</v>
      </c>
      <c r="C3702" t="s">
        <v>3953</v>
      </c>
    </row>
    <row r="3703" spans="1:3" x14ac:dyDescent="0.35">
      <c r="A3703" t="s">
        <v>213</v>
      </c>
      <c r="B3703" t="s">
        <v>293</v>
      </c>
      <c r="C3703" t="s">
        <v>3954</v>
      </c>
    </row>
    <row r="3704" spans="1:3" x14ac:dyDescent="0.35">
      <c r="A3704" t="s">
        <v>213</v>
      </c>
      <c r="B3704" t="s">
        <v>293</v>
      </c>
      <c r="C3704" t="s">
        <v>3955</v>
      </c>
    </row>
    <row r="3705" spans="1:3" x14ac:dyDescent="0.35">
      <c r="A3705" t="s">
        <v>213</v>
      </c>
      <c r="B3705" t="s">
        <v>293</v>
      </c>
      <c r="C3705" t="s">
        <v>3956</v>
      </c>
    </row>
    <row r="3706" spans="1:3" x14ac:dyDescent="0.35">
      <c r="A3706" t="s">
        <v>213</v>
      </c>
      <c r="B3706" t="s">
        <v>293</v>
      </c>
      <c r="C3706" t="s">
        <v>3957</v>
      </c>
    </row>
    <row r="3707" spans="1:3" x14ac:dyDescent="0.35">
      <c r="A3707" t="s">
        <v>213</v>
      </c>
      <c r="B3707" t="s">
        <v>293</v>
      </c>
      <c r="C3707" t="s">
        <v>3958</v>
      </c>
    </row>
    <row r="3708" spans="1:3" x14ac:dyDescent="0.35">
      <c r="A3708" t="s">
        <v>213</v>
      </c>
      <c r="B3708" t="s">
        <v>293</v>
      </c>
      <c r="C3708" t="s">
        <v>3959</v>
      </c>
    </row>
    <row r="3709" spans="1:3" x14ac:dyDescent="0.35">
      <c r="A3709" t="s">
        <v>213</v>
      </c>
      <c r="B3709" t="s">
        <v>293</v>
      </c>
      <c r="C3709" t="s">
        <v>3960</v>
      </c>
    </row>
    <row r="3710" spans="1:3" x14ac:dyDescent="0.35">
      <c r="A3710" t="s">
        <v>213</v>
      </c>
      <c r="B3710" t="s">
        <v>293</v>
      </c>
      <c r="C3710" t="s">
        <v>3961</v>
      </c>
    </row>
    <row r="3711" spans="1:3" x14ac:dyDescent="0.35">
      <c r="A3711" t="s">
        <v>213</v>
      </c>
      <c r="B3711" t="s">
        <v>293</v>
      </c>
      <c r="C3711" t="s">
        <v>3962</v>
      </c>
    </row>
    <row r="3712" spans="1:3" x14ac:dyDescent="0.35">
      <c r="A3712" t="s">
        <v>213</v>
      </c>
      <c r="B3712" t="s">
        <v>293</v>
      </c>
      <c r="C3712" t="s">
        <v>3963</v>
      </c>
    </row>
    <row r="3713" spans="1:3" x14ac:dyDescent="0.35">
      <c r="A3713" t="s">
        <v>213</v>
      </c>
      <c r="B3713" t="s">
        <v>293</v>
      </c>
      <c r="C3713" t="s">
        <v>3964</v>
      </c>
    </row>
    <row r="3714" spans="1:3" x14ac:dyDescent="0.35">
      <c r="A3714" t="s">
        <v>213</v>
      </c>
      <c r="B3714" t="s">
        <v>293</v>
      </c>
      <c r="C3714" t="s">
        <v>3965</v>
      </c>
    </row>
    <row r="3715" spans="1:3" x14ac:dyDescent="0.35">
      <c r="A3715" t="s">
        <v>213</v>
      </c>
      <c r="B3715" t="s">
        <v>293</v>
      </c>
      <c r="C3715" t="s">
        <v>3966</v>
      </c>
    </row>
    <row r="3716" spans="1:3" x14ac:dyDescent="0.35">
      <c r="A3716" t="s">
        <v>213</v>
      </c>
      <c r="B3716" t="s">
        <v>293</v>
      </c>
      <c r="C3716" t="s">
        <v>3967</v>
      </c>
    </row>
    <row r="3717" spans="1:3" x14ac:dyDescent="0.35">
      <c r="A3717" t="s">
        <v>213</v>
      </c>
      <c r="B3717" t="s">
        <v>293</v>
      </c>
      <c r="C3717" t="s">
        <v>3968</v>
      </c>
    </row>
    <row r="3718" spans="1:3" x14ac:dyDescent="0.35">
      <c r="A3718" t="s">
        <v>213</v>
      </c>
      <c r="B3718" t="s">
        <v>293</v>
      </c>
      <c r="C3718" t="s">
        <v>3969</v>
      </c>
    </row>
    <row r="3719" spans="1:3" x14ac:dyDescent="0.35">
      <c r="A3719" t="s">
        <v>213</v>
      </c>
      <c r="B3719" t="s">
        <v>293</v>
      </c>
      <c r="C3719" t="s">
        <v>3970</v>
      </c>
    </row>
    <row r="3720" spans="1:3" x14ac:dyDescent="0.35">
      <c r="A3720" t="s">
        <v>213</v>
      </c>
      <c r="B3720" t="s">
        <v>293</v>
      </c>
      <c r="C3720" t="s">
        <v>3971</v>
      </c>
    </row>
    <row r="3721" spans="1:3" x14ac:dyDescent="0.35">
      <c r="A3721" t="s">
        <v>213</v>
      </c>
      <c r="B3721" t="s">
        <v>293</v>
      </c>
      <c r="C3721" t="s">
        <v>3972</v>
      </c>
    </row>
    <row r="3722" spans="1:3" x14ac:dyDescent="0.35">
      <c r="A3722" t="s">
        <v>213</v>
      </c>
      <c r="B3722" t="s">
        <v>293</v>
      </c>
      <c r="C3722" t="s">
        <v>3973</v>
      </c>
    </row>
    <row r="3723" spans="1:3" x14ac:dyDescent="0.35">
      <c r="A3723" t="s">
        <v>213</v>
      </c>
      <c r="B3723" t="s">
        <v>293</v>
      </c>
      <c r="C3723" t="s">
        <v>3974</v>
      </c>
    </row>
    <row r="3724" spans="1:3" x14ac:dyDescent="0.35">
      <c r="A3724" t="s">
        <v>213</v>
      </c>
      <c r="B3724" t="s">
        <v>293</v>
      </c>
      <c r="C3724" t="s">
        <v>3975</v>
      </c>
    </row>
    <row r="3725" spans="1:3" x14ac:dyDescent="0.35">
      <c r="A3725" t="s">
        <v>213</v>
      </c>
      <c r="B3725" t="s">
        <v>293</v>
      </c>
      <c r="C3725" t="s">
        <v>3976</v>
      </c>
    </row>
    <row r="3726" spans="1:3" x14ac:dyDescent="0.35">
      <c r="A3726" t="s">
        <v>213</v>
      </c>
      <c r="B3726" t="s">
        <v>293</v>
      </c>
      <c r="C3726" t="s">
        <v>3977</v>
      </c>
    </row>
    <row r="3727" spans="1:3" x14ac:dyDescent="0.35">
      <c r="A3727" t="s">
        <v>213</v>
      </c>
      <c r="B3727" t="s">
        <v>293</v>
      </c>
      <c r="C3727" t="s">
        <v>3978</v>
      </c>
    </row>
    <row r="3728" spans="1:3" x14ac:dyDescent="0.35">
      <c r="A3728" t="s">
        <v>213</v>
      </c>
      <c r="B3728" t="s">
        <v>293</v>
      </c>
      <c r="C3728" t="s">
        <v>3979</v>
      </c>
    </row>
    <row r="3729" spans="1:3" x14ac:dyDescent="0.35">
      <c r="A3729" t="s">
        <v>213</v>
      </c>
      <c r="B3729" t="s">
        <v>293</v>
      </c>
      <c r="C3729" t="s">
        <v>3980</v>
      </c>
    </row>
    <row r="3730" spans="1:3" x14ac:dyDescent="0.35">
      <c r="A3730" t="s">
        <v>213</v>
      </c>
      <c r="B3730" t="s">
        <v>293</v>
      </c>
      <c r="C3730" t="s">
        <v>3981</v>
      </c>
    </row>
    <row r="3731" spans="1:3" x14ac:dyDescent="0.35">
      <c r="A3731" t="s">
        <v>213</v>
      </c>
      <c r="B3731" t="s">
        <v>293</v>
      </c>
      <c r="C3731" t="s">
        <v>3982</v>
      </c>
    </row>
    <row r="3732" spans="1:3" x14ac:dyDescent="0.35">
      <c r="A3732" t="s">
        <v>213</v>
      </c>
      <c r="B3732" t="s">
        <v>293</v>
      </c>
      <c r="C3732" t="s">
        <v>3983</v>
      </c>
    </row>
    <row r="3733" spans="1:3" x14ac:dyDescent="0.35">
      <c r="A3733" t="s">
        <v>213</v>
      </c>
      <c r="B3733" t="s">
        <v>293</v>
      </c>
      <c r="C3733" t="s">
        <v>3984</v>
      </c>
    </row>
    <row r="3734" spans="1:3" x14ac:dyDescent="0.35">
      <c r="A3734" t="s">
        <v>213</v>
      </c>
      <c r="B3734" t="s">
        <v>293</v>
      </c>
      <c r="C3734" t="s">
        <v>3985</v>
      </c>
    </row>
    <row r="3735" spans="1:3" x14ac:dyDescent="0.35">
      <c r="A3735" t="s">
        <v>213</v>
      </c>
      <c r="B3735" t="s">
        <v>293</v>
      </c>
      <c r="C3735" t="s">
        <v>3986</v>
      </c>
    </row>
    <row r="3736" spans="1:3" x14ac:dyDescent="0.35">
      <c r="A3736" t="s">
        <v>213</v>
      </c>
      <c r="B3736" t="s">
        <v>293</v>
      </c>
      <c r="C3736" t="s">
        <v>3987</v>
      </c>
    </row>
    <row r="3737" spans="1:3" x14ac:dyDescent="0.35">
      <c r="A3737" t="s">
        <v>213</v>
      </c>
      <c r="B3737" t="s">
        <v>293</v>
      </c>
      <c r="C3737" t="s">
        <v>3988</v>
      </c>
    </row>
    <row r="3738" spans="1:3" x14ac:dyDescent="0.35">
      <c r="A3738" t="s">
        <v>213</v>
      </c>
      <c r="B3738" t="s">
        <v>293</v>
      </c>
      <c r="C3738" t="s">
        <v>3989</v>
      </c>
    </row>
    <row r="3739" spans="1:3" x14ac:dyDescent="0.35">
      <c r="A3739" t="s">
        <v>213</v>
      </c>
      <c r="B3739" t="s">
        <v>293</v>
      </c>
      <c r="C3739" t="s">
        <v>3990</v>
      </c>
    </row>
    <row r="3740" spans="1:3" x14ac:dyDescent="0.35">
      <c r="A3740" t="s">
        <v>213</v>
      </c>
      <c r="B3740" t="s">
        <v>293</v>
      </c>
      <c r="C3740" t="s">
        <v>3991</v>
      </c>
    </row>
    <row r="3741" spans="1:3" x14ac:dyDescent="0.35">
      <c r="A3741" t="s">
        <v>213</v>
      </c>
      <c r="B3741" t="s">
        <v>293</v>
      </c>
      <c r="C3741" t="s">
        <v>3992</v>
      </c>
    </row>
    <row r="3742" spans="1:3" x14ac:dyDescent="0.35">
      <c r="A3742" t="s">
        <v>213</v>
      </c>
      <c r="B3742" t="s">
        <v>293</v>
      </c>
      <c r="C3742" t="s">
        <v>3993</v>
      </c>
    </row>
    <row r="3743" spans="1:3" x14ac:dyDescent="0.35">
      <c r="A3743" t="s">
        <v>213</v>
      </c>
      <c r="B3743" t="s">
        <v>293</v>
      </c>
      <c r="C3743" t="s">
        <v>3994</v>
      </c>
    </row>
    <row r="3744" spans="1:3" x14ac:dyDescent="0.35">
      <c r="A3744" t="s">
        <v>213</v>
      </c>
      <c r="B3744" t="s">
        <v>293</v>
      </c>
      <c r="C3744" t="s">
        <v>3995</v>
      </c>
    </row>
    <row r="3745" spans="1:3" x14ac:dyDescent="0.35">
      <c r="A3745" t="s">
        <v>213</v>
      </c>
      <c r="B3745" t="s">
        <v>293</v>
      </c>
      <c r="C3745" t="s">
        <v>3996</v>
      </c>
    </row>
    <row r="3746" spans="1:3" x14ac:dyDescent="0.35">
      <c r="A3746" t="s">
        <v>213</v>
      </c>
      <c r="B3746" t="s">
        <v>293</v>
      </c>
      <c r="C3746" t="s">
        <v>3997</v>
      </c>
    </row>
    <row r="3747" spans="1:3" x14ac:dyDescent="0.35">
      <c r="A3747" t="s">
        <v>213</v>
      </c>
      <c r="B3747" t="s">
        <v>293</v>
      </c>
      <c r="C3747" t="s">
        <v>3998</v>
      </c>
    </row>
    <row r="3748" spans="1:3" x14ac:dyDescent="0.35">
      <c r="A3748" t="s">
        <v>213</v>
      </c>
      <c r="B3748" t="s">
        <v>293</v>
      </c>
      <c r="C3748" t="s">
        <v>3999</v>
      </c>
    </row>
    <row r="3749" spans="1:3" x14ac:dyDescent="0.35">
      <c r="A3749" t="s">
        <v>213</v>
      </c>
      <c r="B3749" t="s">
        <v>293</v>
      </c>
      <c r="C3749" t="s">
        <v>4000</v>
      </c>
    </row>
    <row r="3750" spans="1:3" x14ac:dyDescent="0.35">
      <c r="A3750" t="s">
        <v>213</v>
      </c>
      <c r="B3750" t="s">
        <v>293</v>
      </c>
      <c r="C3750" t="s">
        <v>4001</v>
      </c>
    </row>
    <row r="3751" spans="1:3" x14ac:dyDescent="0.35">
      <c r="A3751" t="s">
        <v>213</v>
      </c>
      <c r="B3751" t="s">
        <v>293</v>
      </c>
      <c r="C3751" t="s">
        <v>4002</v>
      </c>
    </row>
    <row r="3752" spans="1:3" x14ac:dyDescent="0.35">
      <c r="A3752" t="s">
        <v>213</v>
      </c>
      <c r="B3752" t="s">
        <v>293</v>
      </c>
      <c r="C3752" t="s">
        <v>4003</v>
      </c>
    </row>
    <row r="3753" spans="1:3" x14ac:dyDescent="0.35">
      <c r="A3753" t="s">
        <v>213</v>
      </c>
      <c r="B3753" t="s">
        <v>293</v>
      </c>
      <c r="C3753" t="s">
        <v>4004</v>
      </c>
    </row>
    <row r="3754" spans="1:3" x14ac:dyDescent="0.35">
      <c r="A3754" t="s">
        <v>213</v>
      </c>
      <c r="B3754" t="s">
        <v>293</v>
      </c>
      <c r="C3754" t="s">
        <v>4005</v>
      </c>
    </row>
    <row r="3755" spans="1:3" x14ac:dyDescent="0.35">
      <c r="A3755" t="s">
        <v>213</v>
      </c>
      <c r="B3755" t="s">
        <v>293</v>
      </c>
      <c r="C3755" t="s">
        <v>4006</v>
      </c>
    </row>
    <row r="3756" spans="1:3" x14ac:dyDescent="0.35">
      <c r="A3756" t="s">
        <v>213</v>
      </c>
      <c r="B3756" t="s">
        <v>293</v>
      </c>
      <c r="C3756" t="s">
        <v>4007</v>
      </c>
    </row>
    <row r="3757" spans="1:3" x14ac:dyDescent="0.35">
      <c r="A3757" t="s">
        <v>213</v>
      </c>
      <c r="B3757" t="s">
        <v>293</v>
      </c>
      <c r="C3757" t="s">
        <v>4008</v>
      </c>
    </row>
    <row r="3758" spans="1:3" x14ac:dyDescent="0.35">
      <c r="A3758" t="s">
        <v>213</v>
      </c>
      <c r="B3758" t="s">
        <v>293</v>
      </c>
      <c r="C3758" t="s">
        <v>4009</v>
      </c>
    </row>
    <row r="3759" spans="1:3" x14ac:dyDescent="0.35">
      <c r="A3759" t="s">
        <v>213</v>
      </c>
      <c r="B3759" t="s">
        <v>293</v>
      </c>
      <c r="C3759" t="s">
        <v>293</v>
      </c>
    </row>
    <row r="3760" spans="1:3" x14ac:dyDescent="0.35">
      <c r="A3760" t="s">
        <v>213</v>
      </c>
      <c r="B3760" t="s">
        <v>293</v>
      </c>
      <c r="C3760" t="s">
        <v>4010</v>
      </c>
    </row>
    <row r="3761" spans="1:3" x14ac:dyDescent="0.35">
      <c r="A3761" t="s">
        <v>213</v>
      </c>
      <c r="B3761" t="s">
        <v>293</v>
      </c>
      <c r="C3761" t="s">
        <v>4011</v>
      </c>
    </row>
    <row r="3762" spans="1:3" x14ac:dyDescent="0.35">
      <c r="A3762" t="s">
        <v>213</v>
      </c>
      <c r="B3762" t="s">
        <v>293</v>
      </c>
      <c r="C3762" t="s">
        <v>4012</v>
      </c>
    </row>
    <row r="3763" spans="1:3" x14ac:dyDescent="0.35">
      <c r="A3763" t="s">
        <v>213</v>
      </c>
      <c r="B3763" t="s">
        <v>293</v>
      </c>
      <c r="C3763" t="s">
        <v>4013</v>
      </c>
    </row>
    <row r="3764" spans="1:3" x14ac:dyDescent="0.35">
      <c r="A3764" t="s">
        <v>213</v>
      </c>
      <c r="B3764" t="s">
        <v>293</v>
      </c>
      <c r="C3764" t="s">
        <v>4014</v>
      </c>
    </row>
    <row r="3765" spans="1:3" x14ac:dyDescent="0.35">
      <c r="A3765" t="s">
        <v>213</v>
      </c>
      <c r="B3765" t="s">
        <v>293</v>
      </c>
      <c r="C3765" t="s">
        <v>4015</v>
      </c>
    </row>
    <row r="3766" spans="1:3" x14ac:dyDescent="0.35">
      <c r="A3766" t="s">
        <v>213</v>
      </c>
      <c r="B3766" t="s">
        <v>293</v>
      </c>
      <c r="C3766" t="s">
        <v>4016</v>
      </c>
    </row>
    <row r="3767" spans="1:3" x14ac:dyDescent="0.35">
      <c r="A3767" t="s">
        <v>213</v>
      </c>
      <c r="B3767" t="s">
        <v>293</v>
      </c>
      <c r="C3767" t="s">
        <v>4017</v>
      </c>
    </row>
    <row r="3768" spans="1:3" x14ac:dyDescent="0.35">
      <c r="A3768" t="s">
        <v>213</v>
      </c>
      <c r="B3768" t="s">
        <v>293</v>
      </c>
      <c r="C3768" t="s">
        <v>4018</v>
      </c>
    </row>
    <row r="3769" spans="1:3" x14ac:dyDescent="0.35">
      <c r="A3769" t="s">
        <v>213</v>
      </c>
      <c r="B3769" t="s">
        <v>293</v>
      </c>
      <c r="C3769" t="s">
        <v>4019</v>
      </c>
    </row>
    <row r="3770" spans="1:3" x14ac:dyDescent="0.35">
      <c r="A3770" t="s">
        <v>213</v>
      </c>
      <c r="B3770" t="s">
        <v>293</v>
      </c>
      <c r="C3770" t="s">
        <v>4020</v>
      </c>
    </row>
    <row r="3771" spans="1:3" x14ac:dyDescent="0.35">
      <c r="A3771" t="s">
        <v>213</v>
      </c>
      <c r="B3771" t="s">
        <v>293</v>
      </c>
      <c r="C3771" t="s">
        <v>4021</v>
      </c>
    </row>
    <row r="3772" spans="1:3" x14ac:dyDescent="0.35">
      <c r="A3772" t="s">
        <v>213</v>
      </c>
      <c r="B3772" t="s">
        <v>293</v>
      </c>
      <c r="C3772" t="s">
        <v>4022</v>
      </c>
    </row>
    <row r="3773" spans="1:3" x14ac:dyDescent="0.35">
      <c r="A3773" t="s">
        <v>213</v>
      </c>
      <c r="B3773" t="s">
        <v>293</v>
      </c>
      <c r="C3773" t="s">
        <v>4023</v>
      </c>
    </row>
    <row r="3774" spans="1:3" x14ac:dyDescent="0.35">
      <c r="A3774" t="s">
        <v>213</v>
      </c>
      <c r="B3774" t="s">
        <v>293</v>
      </c>
      <c r="C3774" t="s">
        <v>4024</v>
      </c>
    </row>
    <row r="3775" spans="1:3" x14ac:dyDescent="0.35">
      <c r="A3775" t="s">
        <v>213</v>
      </c>
      <c r="B3775" t="s">
        <v>293</v>
      </c>
      <c r="C3775" t="s">
        <v>4025</v>
      </c>
    </row>
    <row r="3776" spans="1:3" x14ac:dyDescent="0.35">
      <c r="A3776" t="s">
        <v>213</v>
      </c>
      <c r="B3776" t="s">
        <v>293</v>
      </c>
      <c r="C3776" t="s">
        <v>4026</v>
      </c>
    </row>
    <row r="3777" spans="1:3" x14ac:dyDescent="0.35">
      <c r="A3777" t="s">
        <v>213</v>
      </c>
      <c r="B3777" t="s">
        <v>293</v>
      </c>
      <c r="C3777" t="s">
        <v>4027</v>
      </c>
    </row>
    <row r="3778" spans="1:3" x14ac:dyDescent="0.35">
      <c r="A3778" t="s">
        <v>213</v>
      </c>
      <c r="B3778" t="s">
        <v>293</v>
      </c>
      <c r="C3778" t="s">
        <v>4028</v>
      </c>
    </row>
    <row r="3779" spans="1:3" x14ac:dyDescent="0.35">
      <c r="A3779" t="s">
        <v>213</v>
      </c>
      <c r="B3779" t="s">
        <v>293</v>
      </c>
      <c r="C3779" t="s">
        <v>4029</v>
      </c>
    </row>
    <row r="3780" spans="1:3" x14ac:dyDescent="0.35">
      <c r="A3780" t="s">
        <v>213</v>
      </c>
      <c r="B3780" t="s">
        <v>293</v>
      </c>
      <c r="C3780" t="s">
        <v>4030</v>
      </c>
    </row>
    <row r="3781" spans="1:3" x14ac:dyDescent="0.35">
      <c r="A3781" t="s">
        <v>213</v>
      </c>
      <c r="B3781" t="s">
        <v>293</v>
      </c>
      <c r="C3781" t="s">
        <v>4031</v>
      </c>
    </row>
    <row r="3782" spans="1:3" x14ac:dyDescent="0.35">
      <c r="A3782" t="s">
        <v>213</v>
      </c>
      <c r="B3782" t="s">
        <v>293</v>
      </c>
      <c r="C3782" t="s">
        <v>4032</v>
      </c>
    </row>
    <row r="3783" spans="1:3" x14ac:dyDescent="0.35">
      <c r="A3783" t="s">
        <v>213</v>
      </c>
      <c r="B3783" t="s">
        <v>293</v>
      </c>
      <c r="C3783" t="s">
        <v>4033</v>
      </c>
    </row>
    <row r="3784" spans="1:3" x14ac:dyDescent="0.35">
      <c r="A3784" t="s">
        <v>213</v>
      </c>
      <c r="B3784" t="s">
        <v>293</v>
      </c>
      <c r="C3784" t="s">
        <v>4034</v>
      </c>
    </row>
    <row r="3785" spans="1:3" x14ac:dyDescent="0.35">
      <c r="A3785" t="s">
        <v>213</v>
      </c>
      <c r="B3785" t="s">
        <v>293</v>
      </c>
      <c r="C3785" t="s">
        <v>4035</v>
      </c>
    </row>
    <row r="3786" spans="1:3" x14ac:dyDescent="0.35">
      <c r="A3786" t="s">
        <v>213</v>
      </c>
      <c r="B3786" t="s">
        <v>293</v>
      </c>
      <c r="C3786" t="s">
        <v>4036</v>
      </c>
    </row>
    <row r="3787" spans="1:3" x14ac:dyDescent="0.35">
      <c r="A3787" t="s">
        <v>213</v>
      </c>
      <c r="B3787" t="s">
        <v>293</v>
      </c>
      <c r="C3787" t="s">
        <v>4037</v>
      </c>
    </row>
    <row r="3788" spans="1:3" x14ac:dyDescent="0.35">
      <c r="A3788" t="s">
        <v>213</v>
      </c>
      <c r="B3788" t="s">
        <v>293</v>
      </c>
      <c r="C3788" t="s">
        <v>4038</v>
      </c>
    </row>
    <row r="3789" spans="1:3" x14ac:dyDescent="0.35">
      <c r="A3789" t="s">
        <v>213</v>
      </c>
      <c r="B3789" t="s">
        <v>293</v>
      </c>
      <c r="C3789" t="s">
        <v>4039</v>
      </c>
    </row>
    <row r="3790" spans="1:3" x14ac:dyDescent="0.35">
      <c r="A3790" t="s">
        <v>213</v>
      </c>
      <c r="B3790" t="s">
        <v>293</v>
      </c>
      <c r="C3790" t="s">
        <v>4040</v>
      </c>
    </row>
    <row r="3791" spans="1:3" x14ac:dyDescent="0.35">
      <c r="A3791" t="s">
        <v>213</v>
      </c>
      <c r="B3791" t="s">
        <v>293</v>
      </c>
      <c r="C3791" t="s">
        <v>4041</v>
      </c>
    </row>
    <row r="3792" spans="1:3" x14ac:dyDescent="0.35">
      <c r="A3792" t="s">
        <v>213</v>
      </c>
      <c r="B3792" t="s">
        <v>293</v>
      </c>
      <c r="C3792" t="s">
        <v>4042</v>
      </c>
    </row>
    <row r="3793" spans="1:3" x14ac:dyDescent="0.35">
      <c r="A3793" t="s">
        <v>213</v>
      </c>
      <c r="B3793" t="s">
        <v>293</v>
      </c>
      <c r="C3793" t="s">
        <v>4043</v>
      </c>
    </row>
    <row r="3794" spans="1:3" x14ac:dyDescent="0.35">
      <c r="A3794" t="s">
        <v>213</v>
      </c>
      <c r="B3794" t="s">
        <v>293</v>
      </c>
      <c r="C3794" t="s">
        <v>4044</v>
      </c>
    </row>
    <row r="3795" spans="1:3" x14ac:dyDescent="0.35">
      <c r="A3795" t="s">
        <v>213</v>
      </c>
      <c r="B3795" t="s">
        <v>293</v>
      </c>
      <c r="C3795" t="s">
        <v>4045</v>
      </c>
    </row>
    <row r="3796" spans="1:3" x14ac:dyDescent="0.35">
      <c r="A3796" t="s">
        <v>213</v>
      </c>
      <c r="B3796" t="s">
        <v>293</v>
      </c>
      <c r="C3796" t="s">
        <v>4046</v>
      </c>
    </row>
    <row r="3797" spans="1:3" x14ac:dyDescent="0.35">
      <c r="A3797" t="s">
        <v>213</v>
      </c>
      <c r="B3797" t="s">
        <v>293</v>
      </c>
      <c r="C3797" t="s">
        <v>4047</v>
      </c>
    </row>
    <row r="3798" spans="1:3" x14ac:dyDescent="0.35">
      <c r="A3798" t="s">
        <v>213</v>
      </c>
      <c r="B3798" t="s">
        <v>293</v>
      </c>
      <c r="C3798" t="s">
        <v>4048</v>
      </c>
    </row>
    <row r="3799" spans="1:3" x14ac:dyDescent="0.35">
      <c r="A3799" t="s">
        <v>213</v>
      </c>
      <c r="B3799" t="s">
        <v>293</v>
      </c>
      <c r="C3799" t="s">
        <v>4049</v>
      </c>
    </row>
    <row r="3800" spans="1:3" x14ac:dyDescent="0.35">
      <c r="A3800" t="s">
        <v>213</v>
      </c>
      <c r="B3800" t="s">
        <v>293</v>
      </c>
      <c r="C3800" t="s">
        <v>4050</v>
      </c>
    </row>
    <row r="3801" spans="1:3" x14ac:dyDescent="0.35">
      <c r="A3801" t="s">
        <v>213</v>
      </c>
      <c r="B3801" t="s">
        <v>293</v>
      </c>
      <c r="C3801" t="s">
        <v>4051</v>
      </c>
    </row>
    <row r="3802" spans="1:3" x14ac:dyDescent="0.35">
      <c r="A3802" t="s">
        <v>213</v>
      </c>
      <c r="B3802" t="s">
        <v>293</v>
      </c>
      <c r="C3802" t="s">
        <v>4052</v>
      </c>
    </row>
    <row r="3803" spans="1:3" x14ac:dyDescent="0.35">
      <c r="A3803" t="s">
        <v>213</v>
      </c>
      <c r="B3803" t="s">
        <v>293</v>
      </c>
      <c r="C3803" t="s">
        <v>4053</v>
      </c>
    </row>
    <row r="3804" spans="1:3" x14ac:dyDescent="0.35">
      <c r="A3804" t="s">
        <v>213</v>
      </c>
      <c r="B3804" t="s">
        <v>293</v>
      </c>
      <c r="C3804" t="s">
        <v>4054</v>
      </c>
    </row>
    <row r="3805" spans="1:3" x14ac:dyDescent="0.35">
      <c r="A3805" t="s">
        <v>213</v>
      </c>
      <c r="B3805" t="s">
        <v>293</v>
      </c>
      <c r="C3805" t="s">
        <v>4055</v>
      </c>
    </row>
    <row r="3806" spans="1:3" x14ac:dyDescent="0.35">
      <c r="A3806" t="s">
        <v>213</v>
      </c>
      <c r="B3806" t="s">
        <v>293</v>
      </c>
      <c r="C3806" t="s">
        <v>4056</v>
      </c>
    </row>
    <row r="3807" spans="1:3" x14ac:dyDescent="0.35">
      <c r="A3807" t="s">
        <v>213</v>
      </c>
      <c r="B3807" t="s">
        <v>293</v>
      </c>
      <c r="C3807" t="s">
        <v>4057</v>
      </c>
    </row>
    <row r="3808" spans="1:3" x14ac:dyDescent="0.35">
      <c r="A3808" t="s">
        <v>213</v>
      </c>
      <c r="B3808" t="s">
        <v>293</v>
      </c>
      <c r="C3808" t="s">
        <v>4058</v>
      </c>
    </row>
    <row r="3809" spans="1:3" x14ac:dyDescent="0.35">
      <c r="A3809" t="s">
        <v>213</v>
      </c>
      <c r="B3809" t="s">
        <v>293</v>
      </c>
      <c r="C3809" t="s">
        <v>4059</v>
      </c>
    </row>
    <row r="3810" spans="1:3" x14ac:dyDescent="0.35">
      <c r="A3810" t="s">
        <v>213</v>
      </c>
      <c r="B3810" t="s">
        <v>293</v>
      </c>
      <c r="C3810" t="s">
        <v>4060</v>
      </c>
    </row>
    <row r="3811" spans="1:3" x14ac:dyDescent="0.35">
      <c r="A3811" t="s">
        <v>213</v>
      </c>
      <c r="B3811" t="s">
        <v>293</v>
      </c>
      <c r="C3811" t="s">
        <v>4061</v>
      </c>
    </row>
    <row r="3812" spans="1:3" x14ac:dyDescent="0.35">
      <c r="A3812" t="s">
        <v>213</v>
      </c>
      <c r="B3812" t="s">
        <v>293</v>
      </c>
      <c r="C3812" t="s">
        <v>4062</v>
      </c>
    </row>
    <row r="3813" spans="1:3" x14ac:dyDescent="0.35">
      <c r="A3813" t="s">
        <v>213</v>
      </c>
      <c r="B3813" t="s">
        <v>293</v>
      </c>
      <c r="C3813" t="s">
        <v>4063</v>
      </c>
    </row>
    <row r="3814" spans="1:3" x14ac:dyDescent="0.35">
      <c r="A3814" t="s">
        <v>213</v>
      </c>
      <c r="B3814" t="s">
        <v>293</v>
      </c>
      <c r="C3814" t="s">
        <v>4064</v>
      </c>
    </row>
    <row r="3815" spans="1:3" x14ac:dyDescent="0.35">
      <c r="A3815" t="s">
        <v>213</v>
      </c>
      <c r="B3815" t="s">
        <v>293</v>
      </c>
      <c r="C3815" t="s">
        <v>4065</v>
      </c>
    </row>
    <row r="3816" spans="1:3" x14ac:dyDescent="0.35">
      <c r="A3816" t="s">
        <v>213</v>
      </c>
      <c r="B3816" t="s">
        <v>293</v>
      </c>
      <c r="C3816" t="s">
        <v>4066</v>
      </c>
    </row>
    <row r="3817" spans="1:3" x14ac:dyDescent="0.35">
      <c r="A3817" t="s">
        <v>213</v>
      </c>
      <c r="B3817" t="s">
        <v>293</v>
      </c>
      <c r="C3817" t="s">
        <v>4067</v>
      </c>
    </row>
    <row r="3818" spans="1:3" x14ac:dyDescent="0.35">
      <c r="A3818" t="s">
        <v>213</v>
      </c>
      <c r="B3818" t="s">
        <v>293</v>
      </c>
      <c r="C3818" t="s">
        <v>4068</v>
      </c>
    </row>
    <row r="3819" spans="1:3" x14ac:dyDescent="0.35">
      <c r="A3819" t="s">
        <v>213</v>
      </c>
      <c r="B3819" t="s">
        <v>293</v>
      </c>
      <c r="C3819" t="s">
        <v>4069</v>
      </c>
    </row>
    <row r="3820" spans="1:3" x14ac:dyDescent="0.35">
      <c r="A3820" t="s">
        <v>213</v>
      </c>
      <c r="B3820" t="s">
        <v>293</v>
      </c>
      <c r="C3820" t="s">
        <v>4070</v>
      </c>
    </row>
    <row r="3821" spans="1:3" x14ac:dyDescent="0.35">
      <c r="A3821" t="s">
        <v>213</v>
      </c>
      <c r="B3821" t="s">
        <v>293</v>
      </c>
      <c r="C3821" t="s">
        <v>4071</v>
      </c>
    </row>
    <row r="3822" spans="1:3" x14ac:dyDescent="0.35">
      <c r="A3822" t="s">
        <v>213</v>
      </c>
      <c r="B3822" t="s">
        <v>293</v>
      </c>
      <c r="C3822" t="s">
        <v>4072</v>
      </c>
    </row>
    <row r="3823" spans="1:3" x14ac:dyDescent="0.35">
      <c r="A3823" t="s">
        <v>213</v>
      </c>
      <c r="B3823" t="s">
        <v>293</v>
      </c>
      <c r="C3823" t="s">
        <v>4073</v>
      </c>
    </row>
    <row r="3824" spans="1:3" x14ac:dyDescent="0.35">
      <c r="A3824" t="s">
        <v>213</v>
      </c>
      <c r="B3824" t="s">
        <v>293</v>
      </c>
      <c r="C3824" t="s">
        <v>4074</v>
      </c>
    </row>
    <row r="3825" spans="1:3" x14ac:dyDescent="0.35">
      <c r="A3825" t="s">
        <v>213</v>
      </c>
      <c r="B3825" t="s">
        <v>293</v>
      </c>
      <c r="C3825" t="s">
        <v>4075</v>
      </c>
    </row>
    <row r="3826" spans="1:3" x14ac:dyDescent="0.35">
      <c r="A3826" t="s">
        <v>213</v>
      </c>
      <c r="B3826" t="s">
        <v>293</v>
      </c>
      <c r="C3826" t="s">
        <v>4076</v>
      </c>
    </row>
    <row r="3827" spans="1:3" x14ac:dyDescent="0.35">
      <c r="A3827" t="s">
        <v>213</v>
      </c>
      <c r="B3827" t="s">
        <v>293</v>
      </c>
      <c r="C3827" t="s">
        <v>4077</v>
      </c>
    </row>
    <row r="3828" spans="1:3" x14ac:dyDescent="0.35">
      <c r="A3828" t="s">
        <v>213</v>
      </c>
      <c r="B3828" t="s">
        <v>293</v>
      </c>
      <c r="C3828" t="s">
        <v>4078</v>
      </c>
    </row>
    <row r="3829" spans="1:3" x14ac:dyDescent="0.35">
      <c r="A3829" t="s">
        <v>213</v>
      </c>
      <c r="B3829" t="s">
        <v>293</v>
      </c>
      <c r="C3829" t="s">
        <v>4079</v>
      </c>
    </row>
    <row r="3830" spans="1:3" x14ac:dyDescent="0.35">
      <c r="A3830" t="s">
        <v>213</v>
      </c>
      <c r="B3830" t="s">
        <v>293</v>
      </c>
      <c r="C3830" t="s">
        <v>4080</v>
      </c>
    </row>
    <row r="3831" spans="1:3" x14ac:dyDescent="0.35">
      <c r="A3831" t="s">
        <v>213</v>
      </c>
      <c r="B3831" t="s">
        <v>293</v>
      </c>
      <c r="C3831" t="s">
        <v>4081</v>
      </c>
    </row>
    <row r="3832" spans="1:3" x14ac:dyDescent="0.35">
      <c r="A3832" t="s">
        <v>213</v>
      </c>
      <c r="B3832" t="s">
        <v>293</v>
      </c>
      <c r="C3832" t="s">
        <v>4082</v>
      </c>
    </row>
    <row r="3833" spans="1:3" x14ac:dyDescent="0.35">
      <c r="A3833" t="s">
        <v>213</v>
      </c>
      <c r="B3833" t="s">
        <v>293</v>
      </c>
      <c r="C3833" t="s">
        <v>4083</v>
      </c>
    </row>
    <row r="3834" spans="1:3" x14ac:dyDescent="0.35">
      <c r="A3834" t="s">
        <v>213</v>
      </c>
      <c r="B3834" t="s">
        <v>293</v>
      </c>
      <c r="C3834" t="s">
        <v>4084</v>
      </c>
    </row>
    <row r="3835" spans="1:3" x14ac:dyDescent="0.35">
      <c r="A3835" t="s">
        <v>213</v>
      </c>
      <c r="B3835" t="s">
        <v>293</v>
      </c>
      <c r="C3835" t="s">
        <v>4085</v>
      </c>
    </row>
    <row r="3836" spans="1:3" x14ac:dyDescent="0.35">
      <c r="A3836" t="s">
        <v>213</v>
      </c>
      <c r="B3836" t="s">
        <v>293</v>
      </c>
      <c r="C3836" t="s">
        <v>4086</v>
      </c>
    </row>
    <row r="3837" spans="1:3" x14ac:dyDescent="0.35">
      <c r="A3837" t="s">
        <v>213</v>
      </c>
      <c r="B3837" t="s">
        <v>293</v>
      </c>
      <c r="C3837" t="s">
        <v>4087</v>
      </c>
    </row>
    <row r="3838" spans="1:3" x14ac:dyDescent="0.35">
      <c r="A3838" t="s">
        <v>213</v>
      </c>
      <c r="B3838" t="s">
        <v>74</v>
      </c>
      <c r="C3838" t="s">
        <v>4088</v>
      </c>
    </row>
    <row r="3839" spans="1:3" x14ac:dyDescent="0.35">
      <c r="A3839" t="s">
        <v>213</v>
      </c>
      <c r="B3839" t="s">
        <v>74</v>
      </c>
      <c r="C3839" t="s">
        <v>4089</v>
      </c>
    </row>
    <row r="3840" spans="1:3" x14ac:dyDescent="0.35">
      <c r="A3840" t="s">
        <v>213</v>
      </c>
      <c r="B3840" t="s">
        <v>74</v>
      </c>
      <c r="C3840" t="s">
        <v>4090</v>
      </c>
    </row>
    <row r="3841" spans="1:3" x14ac:dyDescent="0.35">
      <c r="A3841" t="s">
        <v>213</v>
      </c>
      <c r="B3841" t="s">
        <v>74</v>
      </c>
      <c r="C3841" t="s">
        <v>4091</v>
      </c>
    </row>
    <row r="3842" spans="1:3" x14ac:dyDescent="0.35">
      <c r="A3842" t="s">
        <v>213</v>
      </c>
      <c r="B3842" t="s">
        <v>74</v>
      </c>
      <c r="C3842" t="s">
        <v>4092</v>
      </c>
    </row>
    <row r="3843" spans="1:3" x14ac:dyDescent="0.35">
      <c r="A3843" t="s">
        <v>213</v>
      </c>
      <c r="B3843" t="s">
        <v>74</v>
      </c>
      <c r="C3843" t="s">
        <v>4093</v>
      </c>
    </row>
    <row r="3844" spans="1:3" x14ac:dyDescent="0.35">
      <c r="A3844" t="s">
        <v>213</v>
      </c>
      <c r="B3844" t="s">
        <v>74</v>
      </c>
      <c r="C3844" t="s">
        <v>4094</v>
      </c>
    </row>
    <row r="3845" spans="1:3" x14ac:dyDescent="0.35">
      <c r="A3845" t="s">
        <v>213</v>
      </c>
      <c r="B3845" t="s">
        <v>74</v>
      </c>
      <c r="C3845" t="s">
        <v>4095</v>
      </c>
    </row>
    <row r="3846" spans="1:3" x14ac:dyDescent="0.35">
      <c r="A3846" t="s">
        <v>213</v>
      </c>
      <c r="B3846" t="s">
        <v>74</v>
      </c>
      <c r="C3846" t="s">
        <v>4096</v>
      </c>
    </row>
    <row r="3847" spans="1:3" x14ac:dyDescent="0.35">
      <c r="A3847" t="s">
        <v>213</v>
      </c>
      <c r="B3847" t="s">
        <v>74</v>
      </c>
      <c r="C3847" t="s">
        <v>4097</v>
      </c>
    </row>
    <row r="3848" spans="1:3" x14ac:dyDescent="0.35">
      <c r="A3848" t="s">
        <v>213</v>
      </c>
      <c r="B3848" t="s">
        <v>74</v>
      </c>
      <c r="C3848" t="s">
        <v>4098</v>
      </c>
    </row>
    <row r="3849" spans="1:3" x14ac:dyDescent="0.35">
      <c r="A3849" t="s">
        <v>213</v>
      </c>
      <c r="B3849" t="s">
        <v>74</v>
      </c>
      <c r="C3849" t="s">
        <v>4099</v>
      </c>
    </row>
    <row r="3850" spans="1:3" x14ac:dyDescent="0.35">
      <c r="A3850" t="s">
        <v>213</v>
      </c>
      <c r="B3850" t="s">
        <v>74</v>
      </c>
      <c r="C3850" t="s">
        <v>4100</v>
      </c>
    </row>
    <row r="3851" spans="1:3" x14ac:dyDescent="0.35">
      <c r="A3851" t="s">
        <v>213</v>
      </c>
      <c r="B3851" t="s">
        <v>74</v>
      </c>
      <c r="C3851" t="s">
        <v>4101</v>
      </c>
    </row>
    <row r="3852" spans="1:3" x14ac:dyDescent="0.35">
      <c r="A3852" t="s">
        <v>213</v>
      </c>
      <c r="B3852" t="s">
        <v>74</v>
      </c>
      <c r="C3852" t="s">
        <v>4102</v>
      </c>
    </row>
    <row r="3853" spans="1:3" x14ac:dyDescent="0.35">
      <c r="A3853" t="s">
        <v>213</v>
      </c>
      <c r="B3853" t="s">
        <v>74</v>
      </c>
      <c r="C3853" t="s">
        <v>4103</v>
      </c>
    </row>
    <row r="3854" spans="1:3" x14ac:dyDescent="0.35">
      <c r="A3854" t="s">
        <v>213</v>
      </c>
      <c r="B3854" t="s">
        <v>74</v>
      </c>
      <c r="C3854" t="s">
        <v>4104</v>
      </c>
    </row>
    <row r="3855" spans="1:3" x14ac:dyDescent="0.35">
      <c r="A3855" t="s">
        <v>213</v>
      </c>
      <c r="B3855" t="s">
        <v>74</v>
      </c>
      <c r="C3855" t="s">
        <v>4105</v>
      </c>
    </row>
    <row r="3856" spans="1:3" x14ac:dyDescent="0.35">
      <c r="A3856" t="s">
        <v>213</v>
      </c>
      <c r="B3856" t="s">
        <v>74</v>
      </c>
      <c r="C3856" t="s">
        <v>4106</v>
      </c>
    </row>
    <row r="3857" spans="1:3" x14ac:dyDescent="0.35">
      <c r="A3857" t="s">
        <v>213</v>
      </c>
      <c r="B3857" t="s">
        <v>74</v>
      </c>
      <c r="C3857" t="s">
        <v>4107</v>
      </c>
    </row>
    <row r="3858" spans="1:3" x14ac:dyDescent="0.35">
      <c r="A3858" t="s">
        <v>213</v>
      </c>
      <c r="B3858" t="s">
        <v>74</v>
      </c>
      <c r="C3858" t="s">
        <v>4108</v>
      </c>
    </row>
    <row r="3859" spans="1:3" x14ac:dyDescent="0.35">
      <c r="A3859" t="s">
        <v>213</v>
      </c>
      <c r="B3859" t="s">
        <v>74</v>
      </c>
      <c r="C3859" t="s">
        <v>4109</v>
      </c>
    </row>
    <row r="3860" spans="1:3" x14ac:dyDescent="0.35">
      <c r="A3860" t="s">
        <v>213</v>
      </c>
      <c r="B3860" t="s">
        <v>74</v>
      </c>
      <c r="C3860" t="s">
        <v>4110</v>
      </c>
    </row>
    <row r="3861" spans="1:3" x14ac:dyDescent="0.35">
      <c r="A3861" t="s">
        <v>213</v>
      </c>
      <c r="B3861" t="s">
        <v>74</v>
      </c>
      <c r="C3861" t="s">
        <v>4111</v>
      </c>
    </row>
    <row r="3862" spans="1:3" x14ac:dyDescent="0.35">
      <c r="A3862" t="s">
        <v>213</v>
      </c>
      <c r="B3862" t="s">
        <v>74</v>
      </c>
      <c r="C3862" t="s">
        <v>4112</v>
      </c>
    </row>
    <row r="3863" spans="1:3" x14ac:dyDescent="0.35">
      <c r="A3863" t="s">
        <v>213</v>
      </c>
      <c r="B3863" t="s">
        <v>74</v>
      </c>
      <c r="C3863" t="s">
        <v>4113</v>
      </c>
    </row>
    <row r="3864" spans="1:3" x14ac:dyDescent="0.35">
      <c r="A3864" t="s">
        <v>213</v>
      </c>
      <c r="B3864" t="s">
        <v>74</v>
      </c>
      <c r="C3864" t="s">
        <v>4114</v>
      </c>
    </row>
    <row r="3865" spans="1:3" x14ac:dyDescent="0.35">
      <c r="A3865" t="s">
        <v>213</v>
      </c>
      <c r="B3865" t="s">
        <v>74</v>
      </c>
      <c r="C3865" t="s">
        <v>4115</v>
      </c>
    </row>
    <row r="3866" spans="1:3" x14ac:dyDescent="0.35">
      <c r="A3866" t="s">
        <v>213</v>
      </c>
      <c r="B3866" t="s">
        <v>74</v>
      </c>
      <c r="C3866" t="s">
        <v>4116</v>
      </c>
    </row>
    <row r="3867" spans="1:3" x14ac:dyDescent="0.35">
      <c r="A3867" t="s">
        <v>213</v>
      </c>
      <c r="B3867" t="s">
        <v>74</v>
      </c>
      <c r="C3867" t="s">
        <v>4117</v>
      </c>
    </row>
    <row r="3868" spans="1:3" x14ac:dyDescent="0.35">
      <c r="A3868" t="s">
        <v>213</v>
      </c>
      <c r="B3868" t="s">
        <v>74</v>
      </c>
      <c r="C3868" t="s">
        <v>4118</v>
      </c>
    </row>
    <row r="3869" spans="1:3" x14ac:dyDescent="0.35">
      <c r="A3869" t="s">
        <v>213</v>
      </c>
      <c r="B3869" t="s">
        <v>74</v>
      </c>
      <c r="C3869" t="s">
        <v>4119</v>
      </c>
    </row>
    <row r="3870" spans="1:3" x14ac:dyDescent="0.35">
      <c r="A3870" t="s">
        <v>213</v>
      </c>
      <c r="B3870" t="s">
        <v>74</v>
      </c>
      <c r="C3870" t="s">
        <v>4120</v>
      </c>
    </row>
    <row r="3871" spans="1:3" x14ac:dyDescent="0.35">
      <c r="A3871" t="s">
        <v>213</v>
      </c>
      <c r="B3871" t="s">
        <v>74</v>
      </c>
      <c r="C3871" t="s">
        <v>4121</v>
      </c>
    </row>
    <row r="3872" spans="1:3" x14ac:dyDescent="0.35">
      <c r="A3872" t="s">
        <v>213</v>
      </c>
      <c r="B3872" t="s">
        <v>74</v>
      </c>
      <c r="C3872" t="s">
        <v>4122</v>
      </c>
    </row>
    <row r="3873" spans="1:3" x14ac:dyDescent="0.35">
      <c r="A3873" t="s">
        <v>213</v>
      </c>
      <c r="B3873" t="s">
        <v>74</v>
      </c>
      <c r="C3873" t="s">
        <v>4123</v>
      </c>
    </row>
    <row r="3874" spans="1:3" x14ac:dyDescent="0.35">
      <c r="A3874" t="s">
        <v>213</v>
      </c>
      <c r="B3874" t="s">
        <v>74</v>
      </c>
      <c r="C3874" t="s">
        <v>4124</v>
      </c>
    </row>
    <row r="3875" spans="1:3" x14ac:dyDescent="0.35">
      <c r="A3875" t="s">
        <v>213</v>
      </c>
      <c r="B3875" t="s">
        <v>74</v>
      </c>
      <c r="C3875" t="s">
        <v>4125</v>
      </c>
    </row>
    <row r="3876" spans="1:3" x14ac:dyDescent="0.35">
      <c r="A3876" t="s">
        <v>213</v>
      </c>
      <c r="B3876" t="s">
        <v>74</v>
      </c>
      <c r="C3876" t="s">
        <v>4126</v>
      </c>
    </row>
    <row r="3877" spans="1:3" x14ac:dyDescent="0.35">
      <c r="A3877" t="s">
        <v>213</v>
      </c>
      <c r="B3877" t="s">
        <v>74</v>
      </c>
      <c r="C3877" t="s">
        <v>4127</v>
      </c>
    </row>
    <row r="3878" spans="1:3" x14ac:dyDescent="0.35">
      <c r="A3878" t="s">
        <v>213</v>
      </c>
      <c r="B3878" t="s">
        <v>74</v>
      </c>
      <c r="C3878" t="s">
        <v>4128</v>
      </c>
    </row>
    <row r="3879" spans="1:3" x14ac:dyDescent="0.35">
      <c r="A3879" t="s">
        <v>213</v>
      </c>
      <c r="B3879" t="s">
        <v>74</v>
      </c>
      <c r="C3879" t="s">
        <v>4129</v>
      </c>
    </row>
    <row r="3880" spans="1:3" x14ac:dyDescent="0.35">
      <c r="A3880" t="s">
        <v>213</v>
      </c>
      <c r="B3880" t="s">
        <v>74</v>
      </c>
      <c r="C3880" t="s">
        <v>4130</v>
      </c>
    </row>
    <row r="3881" spans="1:3" x14ac:dyDescent="0.35">
      <c r="A3881" t="s">
        <v>213</v>
      </c>
      <c r="B3881" t="s">
        <v>74</v>
      </c>
      <c r="C3881" t="s">
        <v>4131</v>
      </c>
    </row>
    <row r="3882" spans="1:3" x14ac:dyDescent="0.35">
      <c r="A3882" t="s">
        <v>213</v>
      </c>
      <c r="B3882" t="s">
        <v>74</v>
      </c>
      <c r="C3882" t="s">
        <v>4132</v>
      </c>
    </row>
    <row r="3883" spans="1:3" x14ac:dyDescent="0.35">
      <c r="A3883" t="s">
        <v>213</v>
      </c>
      <c r="B3883" t="s">
        <v>74</v>
      </c>
      <c r="C3883" t="s">
        <v>4133</v>
      </c>
    </row>
    <row r="3884" spans="1:3" x14ac:dyDescent="0.35">
      <c r="A3884" t="s">
        <v>213</v>
      </c>
      <c r="B3884" t="s">
        <v>74</v>
      </c>
      <c r="C3884" t="s">
        <v>4134</v>
      </c>
    </row>
    <row r="3885" spans="1:3" x14ac:dyDescent="0.35">
      <c r="A3885" t="s">
        <v>213</v>
      </c>
      <c r="B3885" t="s">
        <v>74</v>
      </c>
      <c r="C3885" t="s">
        <v>4135</v>
      </c>
    </row>
    <row r="3886" spans="1:3" x14ac:dyDescent="0.35">
      <c r="A3886" t="s">
        <v>213</v>
      </c>
      <c r="B3886" t="s">
        <v>74</v>
      </c>
      <c r="C3886" t="s">
        <v>4136</v>
      </c>
    </row>
    <row r="3887" spans="1:3" x14ac:dyDescent="0.35">
      <c r="A3887" t="s">
        <v>213</v>
      </c>
      <c r="B3887" t="s">
        <v>74</v>
      </c>
      <c r="C3887" t="s">
        <v>4137</v>
      </c>
    </row>
    <row r="3888" spans="1:3" x14ac:dyDescent="0.35">
      <c r="A3888" t="s">
        <v>213</v>
      </c>
      <c r="B3888" t="s">
        <v>74</v>
      </c>
      <c r="C3888" t="s">
        <v>4138</v>
      </c>
    </row>
    <row r="3889" spans="1:3" x14ac:dyDescent="0.35">
      <c r="A3889" t="s">
        <v>213</v>
      </c>
      <c r="B3889" t="s">
        <v>74</v>
      </c>
      <c r="C3889" t="s">
        <v>4139</v>
      </c>
    </row>
    <row r="3890" spans="1:3" x14ac:dyDescent="0.35">
      <c r="A3890" t="s">
        <v>213</v>
      </c>
      <c r="B3890" t="s">
        <v>74</v>
      </c>
      <c r="C3890" t="s">
        <v>4140</v>
      </c>
    </row>
    <row r="3891" spans="1:3" x14ac:dyDescent="0.35">
      <c r="A3891" t="s">
        <v>213</v>
      </c>
      <c r="B3891" t="s">
        <v>74</v>
      </c>
      <c r="C3891" t="s">
        <v>4141</v>
      </c>
    </row>
    <row r="3892" spans="1:3" x14ac:dyDescent="0.35">
      <c r="A3892" t="s">
        <v>213</v>
      </c>
      <c r="B3892" t="s">
        <v>74</v>
      </c>
      <c r="C3892" t="s">
        <v>4142</v>
      </c>
    </row>
    <row r="3893" spans="1:3" x14ac:dyDescent="0.35">
      <c r="A3893" t="s">
        <v>213</v>
      </c>
      <c r="B3893" t="s">
        <v>74</v>
      </c>
      <c r="C3893" t="s">
        <v>4143</v>
      </c>
    </row>
    <row r="3894" spans="1:3" x14ac:dyDescent="0.35">
      <c r="A3894" t="s">
        <v>213</v>
      </c>
      <c r="B3894" t="s">
        <v>74</v>
      </c>
      <c r="C3894" t="s">
        <v>4144</v>
      </c>
    </row>
    <row r="3895" spans="1:3" x14ac:dyDescent="0.35">
      <c r="A3895" t="s">
        <v>213</v>
      </c>
      <c r="B3895" t="s">
        <v>74</v>
      </c>
      <c r="C3895" t="s">
        <v>4145</v>
      </c>
    </row>
    <row r="3896" spans="1:3" x14ac:dyDescent="0.35">
      <c r="A3896" t="s">
        <v>213</v>
      </c>
      <c r="B3896" t="s">
        <v>74</v>
      </c>
      <c r="C3896" t="s">
        <v>4146</v>
      </c>
    </row>
    <row r="3897" spans="1:3" x14ac:dyDescent="0.35">
      <c r="A3897" t="s">
        <v>213</v>
      </c>
      <c r="B3897" t="s">
        <v>74</v>
      </c>
      <c r="C3897" t="s">
        <v>74</v>
      </c>
    </row>
    <row r="3898" spans="1:3" x14ac:dyDescent="0.35">
      <c r="A3898" t="s">
        <v>213</v>
      </c>
      <c r="B3898" t="s">
        <v>74</v>
      </c>
      <c r="C3898" t="s">
        <v>4147</v>
      </c>
    </row>
    <row r="3899" spans="1:3" x14ac:dyDescent="0.35">
      <c r="A3899" t="s">
        <v>213</v>
      </c>
      <c r="B3899" t="s">
        <v>74</v>
      </c>
      <c r="C3899" t="s">
        <v>4148</v>
      </c>
    </row>
    <row r="3900" spans="1:3" x14ac:dyDescent="0.35">
      <c r="A3900" t="s">
        <v>213</v>
      </c>
      <c r="B3900" t="s">
        <v>74</v>
      </c>
      <c r="C3900" t="s">
        <v>4149</v>
      </c>
    </row>
    <row r="3901" spans="1:3" x14ac:dyDescent="0.35">
      <c r="A3901" t="s">
        <v>213</v>
      </c>
      <c r="B3901" t="s">
        <v>74</v>
      </c>
      <c r="C3901" t="s">
        <v>4150</v>
      </c>
    </row>
    <row r="3902" spans="1:3" x14ac:dyDescent="0.35">
      <c r="A3902" t="s">
        <v>213</v>
      </c>
      <c r="B3902" t="s">
        <v>74</v>
      </c>
      <c r="C3902" t="s">
        <v>4151</v>
      </c>
    </row>
    <row r="3903" spans="1:3" x14ac:dyDescent="0.35">
      <c r="A3903" t="s">
        <v>213</v>
      </c>
      <c r="B3903" t="s">
        <v>74</v>
      </c>
      <c r="C3903" t="s">
        <v>4152</v>
      </c>
    </row>
    <row r="3904" spans="1:3" x14ac:dyDescent="0.35">
      <c r="A3904" t="s">
        <v>213</v>
      </c>
      <c r="B3904" t="s">
        <v>74</v>
      </c>
      <c r="C3904" t="s">
        <v>4153</v>
      </c>
    </row>
    <row r="3905" spans="1:3" x14ac:dyDescent="0.35">
      <c r="A3905" t="s">
        <v>213</v>
      </c>
      <c r="B3905" t="s">
        <v>74</v>
      </c>
      <c r="C3905" t="s">
        <v>4154</v>
      </c>
    </row>
    <row r="3906" spans="1:3" x14ac:dyDescent="0.35">
      <c r="A3906" t="s">
        <v>213</v>
      </c>
      <c r="B3906" t="s">
        <v>74</v>
      </c>
      <c r="C3906" t="s">
        <v>4155</v>
      </c>
    </row>
    <row r="3907" spans="1:3" x14ac:dyDescent="0.35">
      <c r="A3907" t="s">
        <v>213</v>
      </c>
      <c r="B3907" t="s">
        <v>74</v>
      </c>
      <c r="C3907" t="s">
        <v>4156</v>
      </c>
    </row>
    <row r="3908" spans="1:3" x14ac:dyDescent="0.35">
      <c r="A3908" t="s">
        <v>213</v>
      </c>
      <c r="B3908" t="s">
        <v>74</v>
      </c>
      <c r="C3908" t="s">
        <v>4157</v>
      </c>
    </row>
    <row r="3909" spans="1:3" x14ac:dyDescent="0.35">
      <c r="A3909" t="s">
        <v>213</v>
      </c>
      <c r="B3909" t="s">
        <v>74</v>
      </c>
      <c r="C3909" t="s">
        <v>4158</v>
      </c>
    </row>
    <row r="3910" spans="1:3" x14ac:dyDescent="0.35">
      <c r="A3910" t="s">
        <v>213</v>
      </c>
      <c r="B3910" t="s">
        <v>74</v>
      </c>
      <c r="C3910" t="s">
        <v>4159</v>
      </c>
    </row>
    <row r="3911" spans="1:3" x14ac:dyDescent="0.35">
      <c r="A3911" t="s">
        <v>213</v>
      </c>
      <c r="B3911" t="s">
        <v>74</v>
      </c>
      <c r="C3911" t="s">
        <v>4160</v>
      </c>
    </row>
    <row r="3912" spans="1:3" x14ac:dyDescent="0.35">
      <c r="A3912" t="s">
        <v>213</v>
      </c>
      <c r="B3912" t="s">
        <v>74</v>
      </c>
      <c r="C3912" t="s">
        <v>4161</v>
      </c>
    </row>
    <row r="3913" spans="1:3" x14ac:dyDescent="0.35">
      <c r="A3913" t="s">
        <v>213</v>
      </c>
      <c r="B3913" t="s">
        <v>74</v>
      </c>
      <c r="C3913" t="s">
        <v>4162</v>
      </c>
    </row>
    <row r="3914" spans="1:3" x14ac:dyDescent="0.35">
      <c r="A3914" t="s">
        <v>213</v>
      </c>
      <c r="B3914" t="s">
        <v>74</v>
      </c>
      <c r="C3914" t="s">
        <v>4163</v>
      </c>
    </row>
    <row r="3915" spans="1:3" x14ac:dyDescent="0.35">
      <c r="A3915" t="s">
        <v>213</v>
      </c>
      <c r="B3915" t="s">
        <v>295</v>
      </c>
      <c r="C3915" t="s">
        <v>4164</v>
      </c>
    </row>
    <row r="3916" spans="1:3" x14ac:dyDescent="0.35">
      <c r="A3916" t="s">
        <v>213</v>
      </c>
      <c r="B3916" t="s">
        <v>295</v>
      </c>
      <c r="C3916" t="s">
        <v>4165</v>
      </c>
    </row>
    <row r="3917" spans="1:3" x14ac:dyDescent="0.35">
      <c r="A3917" t="s">
        <v>213</v>
      </c>
      <c r="B3917" t="s">
        <v>295</v>
      </c>
      <c r="C3917" t="s">
        <v>4166</v>
      </c>
    </row>
    <row r="3918" spans="1:3" x14ac:dyDescent="0.35">
      <c r="A3918" t="s">
        <v>213</v>
      </c>
      <c r="B3918" t="s">
        <v>295</v>
      </c>
      <c r="C3918" t="s">
        <v>4167</v>
      </c>
    </row>
    <row r="3919" spans="1:3" x14ac:dyDescent="0.35">
      <c r="A3919" t="s">
        <v>213</v>
      </c>
      <c r="B3919" t="s">
        <v>295</v>
      </c>
      <c r="C3919" t="s">
        <v>4168</v>
      </c>
    </row>
    <row r="3920" spans="1:3" x14ac:dyDescent="0.35">
      <c r="A3920" t="s">
        <v>213</v>
      </c>
      <c r="B3920" t="s">
        <v>295</v>
      </c>
      <c r="C3920" t="s">
        <v>4169</v>
      </c>
    </row>
    <row r="3921" spans="1:3" x14ac:dyDescent="0.35">
      <c r="A3921" t="s">
        <v>213</v>
      </c>
      <c r="B3921" t="s">
        <v>295</v>
      </c>
      <c r="C3921" t="s">
        <v>4170</v>
      </c>
    </row>
    <row r="3922" spans="1:3" x14ac:dyDescent="0.35">
      <c r="A3922" t="s">
        <v>213</v>
      </c>
      <c r="B3922" t="s">
        <v>295</v>
      </c>
      <c r="C3922" t="s">
        <v>4171</v>
      </c>
    </row>
    <row r="3923" spans="1:3" x14ac:dyDescent="0.35">
      <c r="A3923" t="s">
        <v>213</v>
      </c>
      <c r="B3923" t="s">
        <v>295</v>
      </c>
      <c r="C3923" t="s">
        <v>4172</v>
      </c>
    </row>
    <row r="3924" spans="1:3" x14ac:dyDescent="0.35">
      <c r="A3924" t="s">
        <v>213</v>
      </c>
      <c r="B3924" t="s">
        <v>295</v>
      </c>
      <c r="C3924" t="s">
        <v>4173</v>
      </c>
    </row>
    <row r="3925" spans="1:3" x14ac:dyDescent="0.35">
      <c r="A3925" t="s">
        <v>213</v>
      </c>
      <c r="B3925" t="s">
        <v>295</v>
      </c>
      <c r="C3925" t="s">
        <v>4174</v>
      </c>
    </row>
    <row r="3926" spans="1:3" x14ac:dyDescent="0.35">
      <c r="A3926" t="s">
        <v>213</v>
      </c>
      <c r="B3926" t="s">
        <v>295</v>
      </c>
      <c r="C3926" t="s">
        <v>4175</v>
      </c>
    </row>
    <row r="3927" spans="1:3" x14ac:dyDescent="0.35">
      <c r="A3927" t="s">
        <v>213</v>
      </c>
      <c r="B3927" t="s">
        <v>295</v>
      </c>
      <c r="C3927" t="s">
        <v>4176</v>
      </c>
    </row>
    <row r="3928" spans="1:3" x14ac:dyDescent="0.35">
      <c r="A3928" t="s">
        <v>213</v>
      </c>
      <c r="B3928" t="s">
        <v>295</v>
      </c>
      <c r="C3928" t="s">
        <v>4177</v>
      </c>
    </row>
    <row r="3929" spans="1:3" x14ac:dyDescent="0.35">
      <c r="A3929" t="s">
        <v>213</v>
      </c>
      <c r="B3929" t="s">
        <v>295</v>
      </c>
      <c r="C3929" t="s">
        <v>4178</v>
      </c>
    </row>
    <row r="3930" spans="1:3" x14ac:dyDescent="0.35">
      <c r="A3930" t="s">
        <v>213</v>
      </c>
      <c r="B3930" t="s">
        <v>295</v>
      </c>
      <c r="C3930" t="s">
        <v>4179</v>
      </c>
    </row>
    <row r="3931" spans="1:3" x14ac:dyDescent="0.35">
      <c r="A3931" t="s">
        <v>213</v>
      </c>
      <c r="B3931" t="s">
        <v>295</v>
      </c>
      <c r="C3931" t="s">
        <v>4180</v>
      </c>
    </row>
    <row r="3932" spans="1:3" x14ac:dyDescent="0.35">
      <c r="A3932" t="s">
        <v>213</v>
      </c>
      <c r="B3932" t="s">
        <v>295</v>
      </c>
      <c r="C3932" t="s">
        <v>4181</v>
      </c>
    </row>
    <row r="3933" spans="1:3" x14ac:dyDescent="0.35">
      <c r="A3933" t="s">
        <v>213</v>
      </c>
      <c r="B3933" t="s">
        <v>295</v>
      </c>
      <c r="C3933" t="s">
        <v>4182</v>
      </c>
    </row>
    <row r="3934" spans="1:3" x14ac:dyDescent="0.35">
      <c r="A3934" t="s">
        <v>213</v>
      </c>
      <c r="B3934" t="s">
        <v>295</v>
      </c>
      <c r="C3934" t="s">
        <v>4183</v>
      </c>
    </row>
    <row r="3935" spans="1:3" x14ac:dyDescent="0.35">
      <c r="A3935" t="s">
        <v>213</v>
      </c>
      <c r="B3935" t="s">
        <v>295</v>
      </c>
      <c r="C3935" t="s">
        <v>4184</v>
      </c>
    </row>
    <row r="3936" spans="1:3" x14ac:dyDescent="0.35">
      <c r="A3936" t="s">
        <v>213</v>
      </c>
      <c r="B3936" t="s">
        <v>295</v>
      </c>
      <c r="C3936" t="s">
        <v>4185</v>
      </c>
    </row>
    <row r="3937" spans="1:3" x14ac:dyDescent="0.35">
      <c r="A3937" t="s">
        <v>213</v>
      </c>
      <c r="B3937" t="s">
        <v>295</v>
      </c>
      <c r="C3937" t="s">
        <v>4186</v>
      </c>
    </row>
    <row r="3938" spans="1:3" x14ac:dyDescent="0.35">
      <c r="A3938" t="s">
        <v>213</v>
      </c>
      <c r="B3938" t="s">
        <v>295</v>
      </c>
      <c r="C3938" t="s">
        <v>4187</v>
      </c>
    </row>
    <row r="3939" spans="1:3" x14ac:dyDescent="0.35">
      <c r="A3939" t="s">
        <v>213</v>
      </c>
      <c r="B3939" t="s">
        <v>295</v>
      </c>
      <c r="C3939" t="s">
        <v>4188</v>
      </c>
    </row>
    <row r="3940" spans="1:3" x14ac:dyDescent="0.35">
      <c r="A3940" t="s">
        <v>213</v>
      </c>
      <c r="B3940" t="s">
        <v>295</v>
      </c>
      <c r="C3940" t="s">
        <v>4189</v>
      </c>
    </row>
    <row r="3941" spans="1:3" x14ac:dyDescent="0.35">
      <c r="A3941" t="s">
        <v>213</v>
      </c>
      <c r="B3941" t="s">
        <v>295</v>
      </c>
      <c r="C3941" t="s">
        <v>4190</v>
      </c>
    </row>
    <row r="3942" spans="1:3" x14ac:dyDescent="0.35">
      <c r="A3942" t="s">
        <v>213</v>
      </c>
      <c r="B3942" t="s">
        <v>295</v>
      </c>
      <c r="C3942" t="s">
        <v>4191</v>
      </c>
    </row>
    <row r="3943" spans="1:3" x14ac:dyDescent="0.35">
      <c r="A3943" t="s">
        <v>213</v>
      </c>
      <c r="B3943" t="s">
        <v>295</v>
      </c>
      <c r="C3943" t="s">
        <v>4192</v>
      </c>
    </row>
    <row r="3944" spans="1:3" x14ac:dyDescent="0.35">
      <c r="A3944" t="s">
        <v>213</v>
      </c>
      <c r="B3944" t="s">
        <v>295</v>
      </c>
      <c r="C3944" t="s">
        <v>4193</v>
      </c>
    </row>
    <row r="3945" spans="1:3" x14ac:dyDescent="0.35">
      <c r="A3945" t="s">
        <v>213</v>
      </c>
      <c r="B3945" t="s">
        <v>295</v>
      </c>
      <c r="C3945" t="s">
        <v>4194</v>
      </c>
    </row>
    <row r="3946" spans="1:3" x14ac:dyDescent="0.35">
      <c r="A3946" t="s">
        <v>213</v>
      </c>
      <c r="B3946" t="s">
        <v>295</v>
      </c>
      <c r="C3946" t="s">
        <v>4195</v>
      </c>
    </row>
    <row r="3947" spans="1:3" x14ac:dyDescent="0.35">
      <c r="A3947" t="s">
        <v>213</v>
      </c>
      <c r="B3947" t="s">
        <v>295</v>
      </c>
      <c r="C3947" t="s">
        <v>4196</v>
      </c>
    </row>
    <row r="3948" spans="1:3" x14ac:dyDescent="0.35">
      <c r="A3948" t="s">
        <v>213</v>
      </c>
      <c r="B3948" t="s">
        <v>295</v>
      </c>
      <c r="C3948" t="s">
        <v>4197</v>
      </c>
    </row>
    <row r="3949" spans="1:3" x14ac:dyDescent="0.35">
      <c r="A3949" t="s">
        <v>213</v>
      </c>
      <c r="B3949" t="s">
        <v>295</v>
      </c>
      <c r="C3949" t="s">
        <v>4198</v>
      </c>
    </row>
    <row r="3950" spans="1:3" x14ac:dyDescent="0.35">
      <c r="A3950" t="s">
        <v>213</v>
      </c>
      <c r="B3950" t="s">
        <v>295</v>
      </c>
      <c r="C3950" t="s">
        <v>4199</v>
      </c>
    </row>
    <row r="3951" spans="1:3" x14ac:dyDescent="0.35">
      <c r="A3951" t="s">
        <v>213</v>
      </c>
      <c r="B3951" t="s">
        <v>295</v>
      </c>
      <c r="C3951" t="s">
        <v>4200</v>
      </c>
    </row>
    <row r="3952" spans="1:3" x14ac:dyDescent="0.35">
      <c r="A3952" t="s">
        <v>213</v>
      </c>
      <c r="B3952" t="s">
        <v>295</v>
      </c>
      <c r="C3952" t="s">
        <v>4201</v>
      </c>
    </row>
    <row r="3953" spans="1:3" x14ac:dyDescent="0.35">
      <c r="A3953" t="s">
        <v>213</v>
      </c>
      <c r="B3953" t="s">
        <v>295</v>
      </c>
      <c r="C3953" t="s">
        <v>4202</v>
      </c>
    </row>
    <row r="3954" spans="1:3" x14ac:dyDescent="0.35">
      <c r="A3954" t="s">
        <v>213</v>
      </c>
      <c r="B3954" t="s">
        <v>295</v>
      </c>
      <c r="C3954" t="s">
        <v>4203</v>
      </c>
    </row>
    <row r="3955" spans="1:3" x14ac:dyDescent="0.35">
      <c r="A3955" t="s">
        <v>213</v>
      </c>
      <c r="B3955" t="s">
        <v>295</v>
      </c>
      <c r="C3955" t="s">
        <v>4204</v>
      </c>
    </row>
    <row r="3956" spans="1:3" x14ac:dyDescent="0.35">
      <c r="A3956" t="s">
        <v>213</v>
      </c>
      <c r="B3956" t="s">
        <v>295</v>
      </c>
      <c r="C3956" t="s">
        <v>4205</v>
      </c>
    </row>
    <row r="3957" spans="1:3" x14ac:dyDescent="0.35">
      <c r="A3957" t="s">
        <v>213</v>
      </c>
      <c r="B3957" t="s">
        <v>295</v>
      </c>
      <c r="C3957" t="s">
        <v>4206</v>
      </c>
    </row>
    <row r="3958" spans="1:3" x14ac:dyDescent="0.35">
      <c r="A3958" t="s">
        <v>213</v>
      </c>
      <c r="B3958" t="s">
        <v>295</v>
      </c>
      <c r="C3958" t="s">
        <v>4207</v>
      </c>
    </row>
    <row r="3959" spans="1:3" x14ac:dyDescent="0.35">
      <c r="A3959" t="s">
        <v>213</v>
      </c>
      <c r="B3959" t="s">
        <v>295</v>
      </c>
      <c r="C3959" t="s">
        <v>4208</v>
      </c>
    </row>
    <row r="3960" spans="1:3" x14ac:dyDescent="0.35">
      <c r="A3960" t="s">
        <v>213</v>
      </c>
      <c r="B3960" t="s">
        <v>295</v>
      </c>
      <c r="C3960" t="s">
        <v>4209</v>
      </c>
    </row>
    <row r="3961" spans="1:3" x14ac:dyDescent="0.35">
      <c r="A3961" t="s">
        <v>213</v>
      </c>
      <c r="B3961" t="s">
        <v>295</v>
      </c>
      <c r="C3961" t="s">
        <v>4210</v>
      </c>
    </row>
    <row r="3962" spans="1:3" x14ac:dyDescent="0.35">
      <c r="A3962" t="s">
        <v>213</v>
      </c>
      <c r="B3962" t="s">
        <v>295</v>
      </c>
      <c r="C3962" t="s">
        <v>4211</v>
      </c>
    </row>
    <row r="3963" spans="1:3" x14ac:dyDescent="0.35">
      <c r="A3963" t="s">
        <v>213</v>
      </c>
      <c r="B3963" t="s">
        <v>295</v>
      </c>
      <c r="C3963" t="s">
        <v>4212</v>
      </c>
    </row>
    <row r="3964" spans="1:3" x14ac:dyDescent="0.35">
      <c r="A3964" t="s">
        <v>213</v>
      </c>
      <c r="B3964" t="s">
        <v>295</v>
      </c>
      <c r="C3964" t="s">
        <v>4213</v>
      </c>
    </row>
    <row r="3965" spans="1:3" x14ac:dyDescent="0.35">
      <c r="A3965" t="s">
        <v>213</v>
      </c>
      <c r="B3965" t="s">
        <v>295</v>
      </c>
      <c r="C3965" t="s">
        <v>4214</v>
      </c>
    </row>
    <row r="3966" spans="1:3" x14ac:dyDescent="0.35">
      <c r="A3966" t="s">
        <v>213</v>
      </c>
      <c r="B3966" t="s">
        <v>295</v>
      </c>
      <c r="C3966" t="s">
        <v>4215</v>
      </c>
    </row>
    <row r="3967" spans="1:3" x14ac:dyDescent="0.35">
      <c r="A3967" t="s">
        <v>213</v>
      </c>
      <c r="B3967" t="s">
        <v>295</v>
      </c>
      <c r="C3967" t="s">
        <v>4216</v>
      </c>
    </row>
    <row r="3968" spans="1:3" x14ac:dyDescent="0.35">
      <c r="A3968" t="s">
        <v>213</v>
      </c>
      <c r="B3968" t="s">
        <v>295</v>
      </c>
      <c r="C3968" t="s">
        <v>4217</v>
      </c>
    </row>
    <row r="3969" spans="1:3" x14ac:dyDescent="0.35">
      <c r="A3969" t="s">
        <v>213</v>
      </c>
      <c r="B3969" t="s">
        <v>295</v>
      </c>
      <c r="C3969" t="s">
        <v>4218</v>
      </c>
    </row>
    <row r="3970" spans="1:3" x14ac:dyDescent="0.35">
      <c r="A3970" t="s">
        <v>213</v>
      </c>
      <c r="B3970" t="s">
        <v>295</v>
      </c>
      <c r="C3970" t="s">
        <v>4219</v>
      </c>
    </row>
    <row r="3971" spans="1:3" x14ac:dyDescent="0.35">
      <c r="A3971" t="s">
        <v>213</v>
      </c>
      <c r="B3971" t="s">
        <v>295</v>
      </c>
      <c r="C3971" t="s">
        <v>4220</v>
      </c>
    </row>
    <row r="3972" spans="1:3" x14ac:dyDescent="0.35">
      <c r="A3972" t="s">
        <v>213</v>
      </c>
      <c r="B3972" t="s">
        <v>295</v>
      </c>
      <c r="C3972" t="s">
        <v>4221</v>
      </c>
    </row>
    <row r="3973" spans="1:3" x14ac:dyDescent="0.35">
      <c r="A3973" t="s">
        <v>213</v>
      </c>
      <c r="B3973" t="s">
        <v>295</v>
      </c>
      <c r="C3973" t="s">
        <v>4222</v>
      </c>
    </row>
    <row r="3974" spans="1:3" x14ac:dyDescent="0.35">
      <c r="A3974" t="s">
        <v>213</v>
      </c>
      <c r="B3974" t="s">
        <v>295</v>
      </c>
      <c r="C3974" t="s">
        <v>4223</v>
      </c>
    </row>
    <row r="3975" spans="1:3" x14ac:dyDescent="0.35">
      <c r="A3975" t="s">
        <v>213</v>
      </c>
      <c r="B3975" t="s">
        <v>295</v>
      </c>
      <c r="C3975" t="s">
        <v>4224</v>
      </c>
    </row>
    <row r="3976" spans="1:3" x14ac:dyDescent="0.35">
      <c r="A3976" t="s">
        <v>213</v>
      </c>
      <c r="B3976" t="s">
        <v>295</v>
      </c>
      <c r="C3976" t="s">
        <v>4225</v>
      </c>
    </row>
    <row r="3977" spans="1:3" x14ac:dyDescent="0.35">
      <c r="A3977" t="s">
        <v>213</v>
      </c>
      <c r="B3977" t="s">
        <v>295</v>
      </c>
      <c r="C3977" t="s">
        <v>4226</v>
      </c>
    </row>
    <row r="3978" spans="1:3" x14ac:dyDescent="0.35">
      <c r="A3978" t="s">
        <v>213</v>
      </c>
      <c r="B3978" t="s">
        <v>295</v>
      </c>
      <c r="C3978" t="s">
        <v>4227</v>
      </c>
    </row>
    <row r="3979" spans="1:3" x14ac:dyDescent="0.35">
      <c r="A3979" t="s">
        <v>213</v>
      </c>
      <c r="B3979" t="s">
        <v>295</v>
      </c>
      <c r="C3979" t="s">
        <v>4228</v>
      </c>
    </row>
    <row r="3980" spans="1:3" x14ac:dyDescent="0.35">
      <c r="A3980" t="s">
        <v>213</v>
      </c>
      <c r="B3980" t="s">
        <v>295</v>
      </c>
      <c r="C3980" t="s">
        <v>4229</v>
      </c>
    </row>
    <row r="3981" spans="1:3" x14ac:dyDescent="0.35">
      <c r="A3981" t="s">
        <v>213</v>
      </c>
      <c r="B3981" t="s">
        <v>295</v>
      </c>
      <c r="C3981" t="s">
        <v>4230</v>
      </c>
    </row>
    <row r="3982" spans="1:3" x14ac:dyDescent="0.35">
      <c r="A3982" t="s">
        <v>213</v>
      </c>
      <c r="B3982" t="s">
        <v>295</v>
      </c>
      <c r="C3982" t="s">
        <v>4231</v>
      </c>
    </row>
    <row r="3983" spans="1:3" x14ac:dyDescent="0.35">
      <c r="A3983" t="s">
        <v>213</v>
      </c>
      <c r="B3983" t="s">
        <v>295</v>
      </c>
      <c r="C3983" t="s">
        <v>4232</v>
      </c>
    </row>
    <row r="3984" spans="1:3" x14ac:dyDescent="0.35">
      <c r="A3984" t="s">
        <v>213</v>
      </c>
      <c r="B3984" t="s">
        <v>295</v>
      </c>
      <c r="C3984" t="s">
        <v>4233</v>
      </c>
    </row>
    <row r="3985" spans="1:3" x14ac:dyDescent="0.35">
      <c r="A3985" t="s">
        <v>213</v>
      </c>
      <c r="B3985" t="s">
        <v>295</v>
      </c>
      <c r="C3985" t="s">
        <v>4234</v>
      </c>
    </row>
    <row r="3986" spans="1:3" x14ac:dyDescent="0.35">
      <c r="A3986" t="s">
        <v>213</v>
      </c>
      <c r="B3986" t="s">
        <v>295</v>
      </c>
      <c r="C3986" t="s">
        <v>4235</v>
      </c>
    </row>
    <row r="3987" spans="1:3" x14ac:dyDescent="0.35">
      <c r="A3987" t="s">
        <v>213</v>
      </c>
      <c r="B3987" t="s">
        <v>295</v>
      </c>
      <c r="C3987" t="s">
        <v>4236</v>
      </c>
    </row>
    <row r="3988" spans="1:3" x14ac:dyDescent="0.35">
      <c r="A3988" t="s">
        <v>213</v>
      </c>
      <c r="B3988" t="s">
        <v>295</v>
      </c>
      <c r="C3988" t="s">
        <v>4237</v>
      </c>
    </row>
    <row r="3989" spans="1:3" x14ac:dyDescent="0.35">
      <c r="A3989" t="s">
        <v>213</v>
      </c>
      <c r="B3989" t="s">
        <v>295</v>
      </c>
      <c r="C3989" t="s">
        <v>4238</v>
      </c>
    </row>
    <row r="3990" spans="1:3" x14ac:dyDescent="0.35">
      <c r="A3990" t="s">
        <v>213</v>
      </c>
      <c r="B3990" t="s">
        <v>295</v>
      </c>
      <c r="C3990" t="s">
        <v>4239</v>
      </c>
    </row>
    <row r="3991" spans="1:3" x14ac:dyDescent="0.35">
      <c r="A3991" t="s">
        <v>213</v>
      </c>
      <c r="B3991" t="s">
        <v>295</v>
      </c>
      <c r="C3991" t="s">
        <v>4240</v>
      </c>
    </row>
    <row r="3992" spans="1:3" x14ac:dyDescent="0.35">
      <c r="A3992" t="s">
        <v>213</v>
      </c>
      <c r="B3992" t="s">
        <v>295</v>
      </c>
      <c r="C3992" t="s">
        <v>4241</v>
      </c>
    </row>
    <row r="3993" spans="1:3" x14ac:dyDescent="0.35">
      <c r="A3993" t="s">
        <v>213</v>
      </c>
      <c r="B3993" t="s">
        <v>295</v>
      </c>
      <c r="C3993" t="s">
        <v>4242</v>
      </c>
    </row>
    <row r="3994" spans="1:3" x14ac:dyDescent="0.35">
      <c r="A3994" t="s">
        <v>213</v>
      </c>
      <c r="B3994" t="s">
        <v>295</v>
      </c>
      <c r="C3994" t="s">
        <v>4243</v>
      </c>
    </row>
    <row r="3995" spans="1:3" x14ac:dyDescent="0.35">
      <c r="A3995" t="s">
        <v>213</v>
      </c>
      <c r="B3995" t="s">
        <v>295</v>
      </c>
      <c r="C3995" t="s">
        <v>4244</v>
      </c>
    </row>
    <row r="3996" spans="1:3" x14ac:dyDescent="0.35">
      <c r="A3996" t="s">
        <v>213</v>
      </c>
      <c r="B3996" t="s">
        <v>295</v>
      </c>
      <c r="C3996" t="s">
        <v>4245</v>
      </c>
    </row>
    <row r="3997" spans="1:3" x14ac:dyDescent="0.35">
      <c r="A3997" t="s">
        <v>213</v>
      </c>
      <c r="B3997" t="s">
        <v>295</v>
      </c>
      <c r="C3997" t="s">
        <v>4246</v>
      </c>
    </row>
    <row r="3998" spans="1:3" x14ac:dyDescent="0.35">
      <c r="A3998" t="s">
        <v>213</v>
      </c>
      <c r="B3998" t="s">
        <v>295</v>
      </c>
      <c r="C3998" t="s">
        <v>4247</v>
      </c>
    </row>
    <row r="3999" spans="1:3" x14ac:dyDescent="0.35">
      <c r="A3999" t="s">
        <v>213</v>
      </c>
      <c r="B3999" t="s">
        <v>295</v>
      </c>
      <c r="C3999" t="s">
        <v>4248</v>
      </c>
    </row>
    <row r="4000" spans="1:3" x14ac:dyDescent="0.35">
      <c r="A4000" t="s">
        <v>213</v>
      </c>
      <c r="B4000" t="s">
        <v>295</v>
      </c>
      <c r="C4000" t="s">
        <v>4249</v>
      </c>
    </row>
    <row r="4001" spans="1:3" x14ac:dyDescent="0.35">
      <c r="A4001" t="s">
        <v>213</v>
      </c>
      <c r="B4001" t="s">
        <v>295</v>
      </c>
      <c r="C4001" t="s">
        <v>4250</v>
      </c>
    </row>
    <row r="4002" spans="1:3" x14ac:dyDescent="0.35">
      <c r="A4002" t="s">
        <v>213</v>
      </c>
      <c r="B4002" t="s">
        <v>295</v>
      </c>
      <c r="C4002" t="s">
        <v>4251</v>
      </c>
    </row>
    <row r="4003" spans="1:3" x14ac:dyDescent="0.35">
      <c r="A4003" t="s">
        <v>213</v>
      </c>
      <c r="B4003" t="s">
        <v>295</v>
      </c>
      <c r="C4003" t="s">
        <v>4252</v>
      </c>
    </row>
    <row r="4004" spans="1:3" x14ac:dyDescent="0.35">
      <c r="A4004" t="s">
        <v>213</v>
      </c>
      <c r="B4004" t="s">
        <v>295</v>
      </c>
      <c r="C4004" t="s">
        <v>4253</v>
      </c>
    </row>
    <row r="4005" spans="1:3" x14ac:dyDescent="0.35">
      <c r="A4005" t="s">
        <v>213</v>
      </c>
      <c r="B4005" t="s">
        <v>295</v>
      </c>
      <c r="C4005" t="s">
        <v>4254</v>
      </c>
    </row>
    <row r="4006" spans="1:3" x14ac:dyDescent="0.35">
      <c r="A4006" t="s">
        <v>213</v>
      </c>
      <c r="B4006" t="s">
        <v>295</v>
      </c>
      <c r="C4006" t="s">
        <v>4255</v>
      </c>
    </row>
    <row r="4007" spans="1:3" x14ac:dyDescent="0.35">
      <c r="A4007" t="s">
        <v>213</v>
      </c>
      <c r="B4007" t="s">
        <v>295</v>
      </c>
      <c r="C4007" t="s">
        <v>4256</v>
      </c>
    </row>
    <row r="4008" spans="1:3" x14ac:dyDescent="0.35">
      <c r="A4008" t="s">
        <v>213</v>
      </c>
      <c r="B4008" t="s">
        <v>295</v>
      </c>
      <c r="C4008" t="s">
        <v>4257</v>
      </c>
    </row>
    <row r="4009" spans="1:3" x14ac:dyDescent="0.35">
      <c r="A4009" t="s">
        <v>213</v>
      </c>
      <c r="B4009" t="s">
        <v>295</v>
      </c>
      <c r="C4009" t="s">
        <v>4258</v>
      </c>
    </row>
    <row r="4010" spans="1:3" x14ac:dyDescent="0.35">
      <c r="A4010" t="s">
        <v>213</v>
      </c>
      <c r="B4010" t="s">
        <v>295</v>
      </c>
      <c r="C4010" t="s">
        <v>4259</v>
      </c>
    </row>
    <row r="4011" spans="1:3" x14ac:dyDescent="0.35">
      <c r="A4011" t="s">
        <v>213</v>
      </c>
      <c r="B4011" t="s">
        <v>295</v>
      </c>
      <c r="C4011" t="s">
        <v>4260</v>
      </c>
    </row>
    <row r="4012" spans="1:3" x14ac:dyDescent="0.35">
      <c r="A4012" t="s">
        <v>213</v>
      </c>
      <c r="B4012" t="s">
        <v>295</v>
      </c>
      <c r="C4012" t="s">
        <v>4261</v>
      </c>
    </row>
    <row r="4013" spans="1:3" x14ac:dyDescent="0.35">
      <c r="A4013" t="s">
        <v>213</v>
      </c>
      <c r="B4013" t="s">
        <v>295</v>
      </c>
      <c r="C4013" t="s">
        <v>4262</v>
      </c>
    </row>
    <row r="4014" spans="1:3" x14ac:dyDescent="0.35">
      <c r="A4014" t="s">
        <v>213</v>
      </c>
      <c r="B4014" t="s">
        <v>295</v>
      </c>
      <c r="C4014" t="s">
        <v>4263</v>
      </c>
    </row>
    <row r="4015" spans="1:3" x14ac:dyDescent="0.35">
      <c r="A4015" t="s">
        <v>213</v>
      </c>
      <c r="B4015" t="s">
        <v>295</v>
      </c>
      <c r="C4015" t="s">
        <v>4264</v>
      </c>
    </row>
    <row r="4016" spans="1:3" x14ac:dyDescent="0.35">
      <c r="A4016" t="s">
        <v>213</v>
      </c>
      <c r="B4016" t="s">
        <v>295</v>
      </c>
      <c r="C4016" t="s">
        <v>4265</v>
      </c>
    </row>
    <row r="4017" spans="1:3" x14ac:dyDescent="0.35">
      <c r="A4017" t="s">
        <v>213</v>
      </c>
      <c r="B4017" t="s">
        <v>295</v>
      </c>
      <c r="C4017" t="s">
        <v>4266</v>
      </c>
    </row>
    <row r="4018" spans="1:3" x14ac:dyDescent="0.35">
      <c r="A4018" t="s">
        <v>213</v>
      </c>
      <c r="B4018" t="s">
        <v>295</v>
      </c>
      <c r="C4018" t="s">
        <v>4267</v>
      </c>
    </row>
    <row r="4019" spans="1:3" x14ac:dyDescent="0.35">
      <c r="A4019" t="s">
        <v>213</v>
      </c>
      <c r="B4019" t="s">
        <v>295</v>
      </c>
      <c r="C4019" t="s">
        <v>4268</v>
      </c>
    </row>
    <row r="4020" spans="1:3" x14ac:dyDescent="0.35">
      <c r="A4020" t="s">
        <v>213</v>
      </c>
      <c r="B4020" t="s">
        <v>295</v>
      </c>
      <c r="C4020" t="s">
        <v>4269</v>
      </c>
    </row>
    <row r="4021" spans="1:3" x14ac:dyDescent="0.35">
      <c r="A4021" t="s">
        <v>213</v>
      </c>
      <c r="B4021" t="s">
        <v>295</v>
      </c>
      <c r="C4021" t="s">
        <v>4270</v>
      </c>
    </row>
    <row r="4022" spans="1:3" x14ac:dyDescent="0.35">
      <c r="A4022" t="s">
        <v>213</v>
      </c>
      <c r="B4022" t="s">
        <v>295</v>
      </c>
      <c r="C4022" t="s">
        <v>4271</v>
      </c>
    </row>
    <row r="4023" spans="1:3" x14ac:dyDescent="0.35">
      <c r="A4023" t="s">
        <v>213</v>
      </c>
      <c r="B4023" t="s">
        <v>295</v>
      </c>
      <c r="C4023" t="s">
        <v>4272</v>
      </c>
    </row>
    <row r="4024" spans="1:3" x14ac:dyDescent="0.35">
      <c r="A4024" t="s">
        <v>213</v>
      </c>
      <c r="B4024" t="s">
        <v>295</v>
      </c>
      <c r="C4024" t="s">
        <v>4273</v>
      </c>
    </row>
    <row r="4025" spans="1:3" x14ac:dyDescent="0.35">
      <c r="A4025" t="s">
        <v>213</v>
      </c>
      <c r="B4025" t="s">
        <v>295</v>
      </c>
      <c r="C4025" t="s">
        <v>4274</v>
      </c>
    </row>
    <row r="4026" spans="1:3" x14ac:dyDescent="0.35">
      <c r="A4026" t="s">
        <v>213</v>
      </c>
      <c r="B4026" t="s">
        <v>295</v>
      </c>
      <c r="C4026" t="s">
        <v>4275</v>
      </c>
    </row>
    <row r="4027" spans="1:3" x14ac:dyDescent="0.35">
      <c r="A4027" t="s">
        <v>213</v>
      </c>
      <c r="B4027" t="s">
        <v>295</v>
      </c>
      <c r="C4027" t="s">
        <v>4276</v>
      </c>
    </row>
    <row r="4028" spans="1:3" x14ac:dyDescent="0.35">
      <c r="A4028" t="s">
        <v>213</v>
      </c>
      <c r="B4028" t="s">
        <v>295</v>
      </c>
      <c r="C4028" t="s">
        <v>4277</v>
      </c>
    </row>
    <row r="4029" spans="1:3" x14ac:dyDescent="0.35">
      <c r="A4029" t="s">
        <v>213</v>
      </c>
      <c r="B4029" t="s">
        <v>295</v>
      </c>
      <c r="C4029" t="s">
        <v>4278</v>
      </c>
    </row>
    <row r="4030" spans="1:3" x14ac:dyDescent="0.35">
      <c r="A4030" t="s">
        <v>213</v>
      </c>
      <c r="B4030" t="s">
        <v>295</v>
      </c>
      <c r="C4030" t="s">
        <v>4279</v>
      </c>
    </row>
    <row r="4031" spans="1:3" x14ac:dyDescent="0.35">
      <c r="A4031" t="s">
        <v>213</v>
      </c>
      <c r="B4031" t="s">
        <v>295</v>
      </c>
      <c r="C4031" t="s">
        <v>4280</v>
      </c>
    </row>
    <row r="4032" spans="1:3" x14ac:dyDescent="0.35">
      <c r="A4032" t="s">
        <v>213</v>
      </c>
      <c r="B4032" t="s">
        <v>295</v>
      </c>
      <c r="C4032" t="s">
        <v>4281</v>
      </c>
    </row>
    <row r="4033" spans="1:3" x14ac:dyDescent="0.35">
      <c r="A4033" t="s">
        <v>213</v>
      </c>
      <c r="B4033" t="s">
        <v>295</v>
      </c>
      <c r="C4033" t="s">
        <v>4282</v>
      </c>
    </row>
    <row r="4034" spans="1:3" x14ac:dyDescent="0.35">
      <c r="A4034" t="s">
        <v>213</v>
      </c>
      <c r="B4034" t="s">
        <v>295</v>
      </c>
      <c r="C4034" t="s">
        <v>4283</v>
      </c>
    </row>
    <row r="4035" spans="1:3" x14ac:dyDescent="0.35">
      <c r="A4035" t="s">
        <v>213</v>
      </c>
      <c r="B4035" t="s">
        <v>295</v>
      </c>
      <c r="C4035" t="s">
        <v>4284</v>
      </c>
    </row>
    <row r="4036" spans="1:3" x14ac:dyDescent="0.35">
      <c r="A4036" t="s">
        <v>213</v>
      </c>
      <c r="B4036" t="s">
        <v>295</v>
      </c>
      <c r="C4036" t="s">
        <v>4285</v>
      </c>
    </row>
    <row r="4037" spans="1:3" x14ac:dyDescent="0.35">
      <c r="A4037" t="s">
        <v>213</v>
      </c>
      <c r="B4037" t="s">
        <v>295</v>
      </c>
      <c r="C4037" t="s">
        <v>4286</v>
      </c>
    </row>
    <row r="4038" spans="1:3" x14ac:dyDescent="0.35">
      <c r="A4038" t="s">
        <v>213</v>
      </c>
      <c r="B4038" t="s">
        <v>295</v>
      </c>
      <c r="C4038" t="s">
        <v>4287</v>
      </c>
    </row>
    <row r="4039" spans="1:3" x14ac:dyDescent="0.35">
      <c r="A4039" t="s">
        <v>213</v>
      </c>
      <c r="B4039" t="s">
        <v>295</v>
      </c>
      <c r="C4039" t="s">
        <v>4288</v>
      </c>
    </row>
    <row r="4040" spans="1:3" x14ac:dyDescent="0.35">
      <c r="A4040" t="s">
        <v>213</v>
      </c>
      <c r="B4040" t="s">
        <v>295</v>
      </c>
      <c r="C4040" t="s">
        <v>4289</v>
      </c>
    </row>
    <row r="4041" spans="1:3" x14ac:dyDescent="0.35">
      <c r="A4041" t="s">
        <v>213</v>
      </c>
      <c r="B4041" t="s">
        <v>295</v>
      </c>
      <c r="C4041" t="s">
        <v>4290</v>
      </c>
    </row>
    <row r="4042" spans="1:3" x14ac:dyDescent="0.35">
      <c r="A4042" t="s">
        <v>213</v>
      </c>
      <c r="B4042" t="s">
        <v>295</v>
      </c>
      <c r="C4042" t="s">
        <v>4291</v>
      </c>
    </row>
    <row r="4043" spans="1:3" x14ac:dyDescent="0.35">
      <c r="A4043" t="s">
        <v>213</v>
      </c>
      <c r="B4043" t="s">
        <v>295</v>
      </c>
      <c r="C4043" t="s">
        <v>4292</v>
      </c>
    </row>
    <row r="4044" spans="1:3" x14ac:dyDescent="0.35">
      <c r="A4044" t="s">
        <v>213</v>
      </c>
      <c r="B4044" t="s">
        <v>295</v>
      </c>
      <c r="C4044" t="s">
        <v>295</v>
      </c>
    </row>
    <row r="4045" spans="1:3" x14ac:dyDescent="0.35">
      <c r="A4045" t="s">
        <v>213</v>
      </c>
      <c r="B4045" t="s">
        <v>295</v>
      </c>
      <c r="C4045" t="s">
        <v>4293</v>
      </c>
    </row>
    <row r="4046" spans="1:3" x14ac:dyDescent="0.35">
      <c r="A4046" t="s">
        <v>213</v>
      </c>
      <c r="B4046" t="s">
        <v>295</v>
      </c>
      <c r="C4046" t="s">
        <v>4294</v>
      </c>
    </row>
    <row r="4047" spans="1:3" x14ac:dyDescent="0.35">
      <c r="A4047" t="s">
        <v>213</v>
      </c>
      <c r="B4047" t="s">
        <v>295</v>
      </c>
      <c r="C4047" t="s">
        <v>4295</v>
      </c>
    </row>
    <row r="4048" spans="1:3" x14ac:dyDescent="0.35">
      <c r="A4048" t="s">
        <v>213</v>
      </c>
      <c r="B4048" t="s">
        <v>295</v>
      </c>
      <c r="C4048" t="s">
        <v>4296</v>
      </c>
    </row>
    <row r="4049" spans="1:3" x14ac:dyDescent="0.35">
      <c r="A4049" t="s">
        <v>213</v>
      </c>
      <c r="B4049" t="s">
        <v>295</v>
      </c>
      <c r="C4049" t="s">
        <v>4297</v>
      </c>
    </row>
    <row r="4050" spans="1:3" x14ac:dyDescent="0.35">
      <c r="A4050" t="s">
        <v>213</v>
      </c>
      <c r="B4050" t="s">
        <v>295</v>
      </c>
      <c r="C4050" t="s">
        <v>4298</v>
      </c>
    </row>
    <row r="4051" spans="1:3" x14ac:dyDescent="0.35">
      <c r="A4051" t="s">
        <v>214</v>
      </c>
      <c r="B4051" t="s">
        <v>229</v>
      </c>
      <c r="C4051" t="s">
        <v>4299</v>
      </c>
    </row>
    <row r="4052" spans="1:3" x14ac:dyDescent="0.35">
      <c r="A4052" t="s">
        <v>214</v>
      </c>
      <c r="B4052" t="s">
        <v>229</v>
      </c>
      <c r="C4052" t="s">
        <v>229</v>
      </c>
    </row>
    <row r="4053" spans="1:3" x14ac:dyDescent="0.35">
      <c r="A4053" t="s">
        <v>214</v>
      </c>
      <c r="B4053" t="s">
        <v>229</v>
      </c>
      <c r="C4053" t="s">
        <v>4300</v>
      </c>
    </row>
    <row r="4054" spans="1:3" x14ac:dyDescent="0.35">
      <c r="A4054" t="s">
        <v>214</v>
      </c>
      <c r="B4054" t="s">
        <v>229</v>
      </c>
      <c r="C4054" t="s">
        <v>4301</v>
      </c>
    </row>
    <row r="4055" spans="1:3" x14ac:dyDescent="0.35">
      <c r="A4055" t="s">
        <v>214</v>
      </c>
      <c r="B4055" t="s">
        <v>229</v>
      </c>
      <c r="C4055" t="s">
        <v>4302</v>
      </c>
    </row>
    <row r="4056" spans="1:3" x14ac:dyDescent="0.35">
      <c r="A4056" t="s">
        <v>214</v>
      </c>
      <c r="B4056" t="s">
        <v>229</v>
      </c>
      <c r="C4056" t="s">
        <v>4303</v>
      </c>
    </row>
    <row r="4057" spans="1:3" x14ac:dyDescent="0.35">
      <c r="A4057" t="s">
        <v>214</v>
      </c>
      <c r="B4057" t="s">
        <v>229</v>
      </c>
      <c r="C4057" t="s">
        <v>4304</v>
      </c>
    </row>
    <row r="4058" spans="1:3" x14ac:dyDescent="0.35">
      <c r="A4058" t="s">
        <v>214</v>
      </c>
      <c r="B4058" t="s">
        <v>229</v>
      </c>
      <c r="C4058" t="s">
        <v>4305</v>
      </c>
    </row>
    <row r="4059" spans="1:3" x14ac:dyDescent="0.35">
      <c r="A4059" t="s">
        <v>214</v>
      </c>
      <c r="B4059" t="s">
        <v>229</v>
      </c>
      <c r="C4059" t="s">
        <v>4306</v>
      </c>
    </row>
    <row r="4060" spans="1:3" x14ac:dyDescent="0.35">
      <c r="A4060" t="s">
        <v>214</v>
      </c>
      <c r="B4060" t="s">
        <v>229</v>
      </c>
      <c r="C4060" t="s">
        <v>4307</v>
      </c>
    </row>
    <row r="4061" spans="1:3" x14ac:dyDescent="0.35">
      <c r="A4061" t="s">
        <v>214</v>
      </c>
      <c r="B4061" t="s">
        <v>229</v>
      </c>
      <c r="C4061" t="s">
        <v>4308</v>
      </c>
    </row>
    <row r="4062" spans="1:3" x14ac:dyDescent="0.35">
      <c r="A4062" t="s">
        <v>214</v>
      </c>
      <c r="B4062" t="s">
        <v>229</v>
      </c>
      <c r="C4062" t="s">
        <v>4309</v>
      </c>
    </row>
    <row r="4063" spans="1:3" x14ac:dyDescent="0.35">
      <c r="A4063" t="s">
        <v>214</v>
      </c>
      <c r="B4063" t="s">
        <v>229</v>
      </c>
      <c r="C4063" t="s">
        <v>4310</v>
      </c>
    </row>
    <row r="4064" spans="1:3" x14ac:dyDescent="0.35">
      <c r="A4064" t="s">
        <v>214</v>
      </c>
      <c r="B4064" t="s">
        <v>229</v>
      </c>
      <c r="C4064" t="s">
        <v>4311</v>
      </c>
    </row>
    <row r="4065" spans="1:3" x14ac:dyDescent="0.35">
      <c r="A4065" t="s">
        <v>214</v>
      </c>
      <c r="B4065" t="s">
        <v>229</v>
      </c>
      <c r="C4065" t="s">
        <v>4312</v>
      </c>
    </row>
    <row r="4066" spans="1:3" x14ac:dyDescent="0.35">
      <c r="A4066" t="s">
        <v>214</v>
      </c>
      <c r="B4066" t="s">
        <v>229</v>
      </c>
      <c r="C4066" t="s">
        <v>4313</v>
      </c>
    </row>
    <row r="4067" spans="1:3" x14ac:dyDescent="0.35">
      <c r="A4067" t="s">
        <v>214</v>
      </c>
      <c r="B4067" t="s">
        <v>229</v>
      </c>
      <c r="C4067" t="s">
        <v>4314</v>
      </c>
    </row>
    <row r="4068" spans="1:3" x14ac:dyDescent="0.35">
      <c r="A4068" t="s">
        <v>214</v>
      </c>
      <c r="B4068" t="s">
        <v>229</v>
      </c>
      <c r="C4068" t="s">
        <v>4315</v>
      </c>
    </row>
    <row r="4069" spans="1:3" x14ac:dyDescent="0.35">
      <c r="A4069" t="s">
        <v>214</v>
      </c>
      <c r="B4069" t="s">
        <v>229</v>
      </c>
      <c r="C4069" t="s">
        <v>4316</v>
      </c>
    </row>
    <row r="4070" spans="1:3" x14ac:dyDescent="0.35">
      <c r="A4070" t="s">
        <v>214</v>
      </c>
      <c r="B4070" t="s">
        <v>229</v>
      </c>
      <c r="C4070" t="s">
        <v>4317</v>
      </c>
    </row>
    <row r="4071" spans="1:3" x14ac:dyDescent="0.35">
      <c r="A4071" t="s">
        <v>214</v>
      </c>
      <c r="B4071" t="s">
        <v>229</v>
      </c>
      <c r="C4071" t="s">
        <v>4318</v>
      </c>
    </row>
    <row r="4072" spans="1:3" x14ac:dyDescent="0.35">
      <c r="A4072" t="s">
        <v>214</v>
      </c>
      <c r="B4072" t="s">
        <v>229</v>
      </c>
      <c r="C4072" t="s">
        <v>4319</v>
      </c>
    </row>
    <row r="4073" spans="1:3" x14ac:dyDescent="0.35">
      <c r="A4073" t="s">
        <v>214</v>
      </c>
      <c r="B4073" t="s">
        <v>229</v>
      </c>
      <c r="C4073" t="s">
        <v>4320</v>
      </c>
    </row>
    <row r="4074" spans="1:3" x14ac:dyDescent="0.35">
      <c r="A4074" t="s">
        <v>214</v>
      </c>
      <c r="B4074" t="s">
        <v>229</v>
      </c>
      <c r="C4074" t="s">
        <v>4321</v>
      </c>
    </row>
    <row r="4075" spans="1:3" x14ac:dyDescent="0.35">
      <c r="A4075" t="s">
        <v>214</v>
      </c>
      <c r="B4075" t="s">
        <v>229</v>
      </c>
      <c r="C4075" t="s">
        <v>4322</v>
      </c>
    </row>
    <row r="4076" spans="1:3" x14ac:dyDescent="0.35">
      <c r="A4076" t="s">
        <v>214</v>
      </c>
      <c r="B4076" t="s">
        <v>229</v>
      </c>
      <c r="C4076" t="s">
        <v>4323</v>
      </c>
    </row>
    <row r="4077" spans="1:3" x14ac:dyDescent="0.35">
      <c r="A4077" t="s">
        <v>214</v>
      </c>
      <c r="B4077" t="s">
        <v>229</v>
      </c>
      <c r="C4077" t="s">
        <v>4324</v>
      </c>
    </row>
    <row r="4078" spans="1:3" x14ac:dyDescent="0.35">
      <c r="A4078" t="s">
        <v>214</v>
      </c>
      <c r="B4078" t="s">
        <v>229</v>
      </c>
      <c r="C4078" t="s">
        <v>4325</v>
      </c>
    </row>
    <row r="4079" spans="1:3" x14ac:dyDescent="0.35">
      <c r="A4079" t="s">
        <v>214</v>
      </c>
      <c r="B4079" t="s">
        <v>229</v>
      </c>
      <c r="C4079" t="s">
        <v>4326</v>
      </c>
    </row>
    <row r="4080" spans="1:3" x14ac:dyDescent="0.35">
      <c r="A4080" t="s">
        <v>214</v>
      </c>
      <c r="B4080" t="s">
        <v>229</v>
      </c>
      <c r="C4080" t="s">
        <v>4327</v>
      </c>
    </row>
    <row r="4081" spans="1:3" x14ac:dyDescent="0.35">
      <c r="A4081" t="s">
        <v>214</v>
      </c>
      <c r="B4081" t="s">
        <v>229</v>
      </c>
      <c r="C4081" t="s">
        <v>4328</v>
      </c>
    </row>
    <row r="4082" spans="1:3" x14ac:dyDescent="0.35">
      <c r="A4082" t="s">
        <v>214</v>
      </c>
      <c r="B4082" t="s">
        <v>229</v>
      </c>
      <c r="C4082" t="s">
        <v>4329</v>
      </c>
    </row>
    <row r="4083" spans="1:3" x14ac:dyDescent="0.35">
      <c r="A4083" t="s">
        <v>214</v>
      </c>
      <c r="B4083" t="s">
        <v>229</v>
      </c>
      <c r="C4083" t="s">
        <v>4330</v>
      </c>
    </row>
    <row r="4084" spans="1:3" x14ac:dyDescent="0.35">
      <c r="A4084" t="s">
        <v>214</v>
      </c>
      <c r="B4084" t="s">
        <v>229</v>
      </c>
      <c r="C4084" t="s">
        <v>4331</v>
      </c>
    </row>
    <row r="4085" spans="1:3" x14ac:dyDescent="0.35">
      <c r="A4085" t="s">
        <v>214</v>
      </c>
      <c r="B4085" t="s">
        <v>229</v>
      </c>
      <c r="C4085" t="s">
        <v>4332</v>
      </c>
    </row>
    <row r="4086" spans="1:3" x14ac:dyDescent="0.35">
      <c r="A4086" t="s">
        <v>214</v>
      </c>
      <c r="B4086" t="s">
        <v>229</v>
      </c>
      <c r="C4086" t="s">
        <v>4333</v>
      </c>
    </row>
    <row r="4087" spans="1:3" x14ac:dyDescent="0.35">
      <c r="A4087" t="s">
        <v>214</v>
      </c>
      <c r="B4087" t="s">
        <v>229</v>
      </c>
      <c r="C4087" t="s">
        <v>4334</v>
      </c>
    </row>
    <row r="4088" spans="1:3" x14ac:dyDescent="0.35">
      <c r="A4088" t="s">
        <v>214</v>
      </c>
      <c r="B4088" t="s">
        <v>229</v>
      </c>
      <c r="C4088" t="s">
        <v>4335</v>
      </c>
    </row>
    <row r="4089" spans="1:3" x14ac:dyDescent="0.35">
      <c r="A4089" t="s">
        <v>214</v>
      </c>
      <c r="B4089" t="s">
        <v>229</v>
      </c>
      <c r="C4089" t="s">
        <v>4336</v>
      </c>
    </row>
    <row r="4090" spans="1:3" x14ac:dyDescent="0.35">
      <c r="A4090" t="s">
        <v>214</v>
      </c>
      <c r="B4090" t="s">
        <v>229</v>
      </c>
      <c r="C4090" t="s">
        <v>4337</v>
      </c>
    </row>
    <row r="4091" spans="1:3" x14ac:dyDescent="0.35">
      <c r="A4091" t="s">
        <v>214</v>
      </c>
      <c r="B4091" t="s">
        <v>229</v>
      </c>
      <c r="C4091" t="s">
        <v>4338</v>
      </c>
    </row>
    <row r="4092" spans="1:3" x14ac:dyDescent="0.35">
      <c r="A4092" t="s">
        <v>214</v>
      </c>
      <c r="B4092" t="s">
        <v>229</v>
      </c>
      <c r="C4092" t="s">
        <v>4339</v>
      </c>
    </row>
    <row r="4093" spans="1:3" x14ac:dyDescent="0.35">
      <c r="A4093" t="s">
        <v>214</v>
      </c>
      <c r="B4093" t="s">
        <v>229</v>
      </c>
      <c r="C4093" t="s">
        <v>4340</v>
      </c>
    </row>
    <row r="4094" spans="1:3" x14ac:dyDescent="0.35">
      <c r="A4094" t="s">
        <v>214</v>
      </c>
      <c r="B4094" t="s">
        <v>229</v>
      </c>
      <c r="C4094" t="s">
        <v>4341</v>
      </c>
    </row>
    <row r="4095" spans="1:3" x14ac:dyDescent="0.35">
      <c r="A4095" t="s">
        <v>214</v>
      </c>
      <c r="B4095" t="s">
        <v>229</v>
      </c>
      <c r="C4095" t="s">
        <v>4342</v>
      </c>
    </row>
    <row r="4096" spans="1:3" x14ac:dyDescent="0.35">
      <c r="A4096" t="s">
        <v>214</v>
      </c>
      <c r="B4096" t="s">
        <v>229</v>
      </c>
      <c r="C4096" t="s">
        <v>4343</v>
      </c>
    </row>
    <row r="4097" spans="1:3" x14ac:dyDescent="0.35">
      <c r="A4097" t="s">
        <v>214</v>
      </c>
      <c r="B4097" t="s">
        <v>229</v>
      </c>
      <c r="C4097" t="s">
        <v>4344</v>
      </c>
    </row>
    <row r="4098" spans="1:3" x14ac:dyDescent="0.35">
      <c r="A4098" t="s">
        <v>214</v>
      </c>
      <c r="B4098" t="s">
        <v>242</v>
      </c>
      <c r="C4098" t="s">
        <v>4345</v>
      </c>
    </row>
    <row r="4099" spans="1:3" x14ac:dyDescent="0.35">
      <c r="A4099" t="s">
        <v>214</v>
      </c>
      <c r="B4099" t="s">
        <v>242</v>
      </c>
      <c r="C4099" t="s">
        <v>4346</v>
      </c>
    </row>
    <row r="4100" spans="1:3" x14ac:dyDescent="0.35">
      <c r="A4100" t="s">
        <v>214</v>
      </c>
      <c r="B4100" t="s">
        <v>242</v>
      </c>
      <c r="C4100" t="s">
        <v>4347</v>
      </c>
    </row>
    <row r="4101" spans="1:3" x14ac:dyDescent="0.35">
      <c r="A4101" t="s">
        <v>214</v>
      </c>
      <c r="B4101" t="s">
        <v>242</v>
      </c>
      <c r="C4101" t="s">
        <v>4348</v>
      </c>
    </row>
    <row r="4102" spans="1:3" x14ac:dyDescent="0.35">
      <c r="A4102" t="s">
        <v>214</v>
      </c>
      <c r="B4102" t="s">
        <v>242</v>
      </c>
      <c r="C4102" t="s">
        <v>242</v>
      </c>
    </row>
    <row r="4103" spans="1:3" x14ac:dyDescent="0.35">
      <c r="A4103" t="s">
        <v>214</v>
      </c>
      <c r="B4103" t="s">
        <v>242</v>
      </c>
      <c r="C4103" t="s">
        <v>4349</v>
      </c>
    </row>
    <row r="4104" spans="1:3" x14ac:dyDescent="0.35">
      <c r="A4104" t="s">
        <v>214</v>
      </c>
      <c r="B4104" t="s">
        <v>242</v>
      </c>
      <c r="C4104" t="s">
        <v>4350</v>
      </c>
    </row>
    <row r="4105" spans="1:3" x14ac:dyDescent="0.35">
      <c r="A4105" t="s">
        <v>214</v>
      </c>
      <c r="B4105" t="s">
        <v>242</v>
      </c>
      <c r="C4105" t="s">
        <v>4351</v>
      </c>
    </row>
    <row r="4106" spans="1:3" x14ac:dyDescent="0.35">
      <c r="A4106" t="s">
        <v>214</v>
      </c>
      <c r="B4106" t="s">
        <v>242</v>
      </c>
      <c r="C4106" t="s">
        <v>4352</v>
      </c>
    </row>
    <row r="4107" spans="1:3" x14ac:dyDescent="0.35">
      <c r="A4107" t="s">
        <v>214</v>
      </c>
      <c r="B4107" t="s">
        <v>242</v>
      </c>
      <c r="C4107" t="s">
        <v>4353</v>
      </c>
    </row>
    <row r="4108" spans="1:3" x14ac:dyDescent="0.35">
      <c r="A4108" t="s">
        <v>214</v>
      </c>
      <c r="B4108" t="s">
        <v>242</v>
      </c>
      <c r="C4108" t="s">
        <v>4354</v>
      </c>
    </row>
    <row r="4109" spans="1:3" x14ac:dyDescent="0.35">
      <c r="A4109" t="s">
        <v>214</v>
      </c>
      <c r="B4109" t="s">
        <v>242</v>
      </c>
      <c r="C4109" t="s">
        <v>4355</v>
      </c>
    </row>
    <row r="4110" spans="1:3" x14ac:dyDescent="0.35">
      <c r="A4110" t="s">
        <v>214</v>
      </c>
      <c r="B4110" t="s">
        <v>242</v>
      </c>
      <c r="C4110" t="s">
        <v>4356</v>
      </c>
    </row>
    <row r="4111" spans="1:3" x14ac:dyDescent="0.35">
      <c r="A4111" t="s">
        <v>214</v>
      </c>
      <c r="B4111" t="s">
        <v>242</v>
      </c>
      <c r="C4111" t="s">
        <v>4357</v>
      </c>
    </row>
    <row r="4112" spans="1:3" x14ac:dyDescent="0.35">
      <c r="A4112" t="s">
        <v>214</v>
      </c>
      <c r="B4112" t="s">
        <v>242</v>
      </c>
      <c r="C4112" t="s">
        <v>4358</v>
      </c>
    </row>
    <row r="4113" spans="1:3" x14ac:dyDescent="0.35">
      <c r="A4113" t="s">
        <v>214</v>
      </c>
      <c r="B4113" t="s">
        <v>242</v>
      </c>
      <c r="C4113" t="s">
        <v>4359</v>
      </c>
    </row>
    <row r="4114" spans="1:3" x14ac:dyDescent="0.35">
      <c r="A4114" t="s">
        <v>214</v>
      </c>
      <c r="B4114" t="s">
        <v>242</v>
      </c>
      <c r="C4114" t="s">
        <v>4360</v>
      </c>
    </row>
    <row r="4115" spans="1:3" x14ac:dyDescent="0.35">
      <c r="A4115" t="s">
        <v>214</v>
      </c>
      <c r="B4115" t="s">
        <v>242</v>
      </c>
      <c r="C4115" t="s">
        <v>4361</v>
      </c>
    </row>
    <row r="4116" spans="1:3" x14ac:dyDescent="0.35">
      <c r="A4116" t="s">
        <v>214</v>
      </c>
      <c r="B4116" t="s">
        <v>242</v>
      </c>
      <c r="C4116" t="s">
        <v>4362</v>
      </c>
    </row>
    <row r="4117" spans="1:3" x14ac:dyDescent="0.35">
      <c r="A4117" t="s">
        <v>214</v>
      </c>
      <c r="B4117" t="s">
        <v>242</v>
      </c>
      <c r="C4117" t="s">
        <v>4363</v>
      </c>
    </row>
    <row r="4118" spans="1:3" x14ac:dyDescent="0.35">
      <c r="A4118" t="s">
        <v>214</v>
      </c>
      <c r="B4118" t="s">
        <v>242</v>
      </c>
      <c r="C4118" t="s">
        <v>4364</v>
      </c>
    </row>
    <row r="4119" spans="1:3" x14ac:dyDescent="0.35">
      <c r="A4119" t="s">
        <v>214</v>
      </c>
      <c r="B4119" t="s">
        <v>242</v>
      </c>
      <c r="C4119" t="s">
        <v>4365</v>
      </c>
    </row>
    <row r="4120" spans="1:3" x14ac:dyDescent="0.35">
      <c r="A4120" t="s">
        <v>214</v>
      </c>
      <c r="B4120" t="s">
        <v>242</v>
      </c>
      <c r="C4120" t="s">
        <v>4366</v>
      </c>
    </row>
    <row r="4121" spans="1:3" x14ac:dyDescent="0.35">
      <c r="A4121" t="s">
        <v>214</v>
      </c>
      <c r="B4121" t="s">
        <v>242</v>
      </c>
      <c r="C4121" t="s">
        <v>4367</v>
      </c>
    </row>
    <row r="4122" spans="1:3" x14ac:dyDescent="0.35">
      <c r="A4122" t="s">
        <v>214</v>
      </c>
      <c r="B4122" t="s">
        <v>242</v>
      </c>
      <c r="C4122" t="s">
        <v>4368</v>
      </c>
    </row>
    <row r="4123" spans="1:3" x14ac:dyDescent="0.35">
      <c r="A4123" t="s">
        <v>214</v>
      </c>
      <c r="B4123" t="s">
        <v>242</v>
      </c>
      <c r="C4123" t="s">
        <v>4369</v>
      </c>
    </row>
    <row r="4124" spans="1:3" x14ac:dyDescent="0.35">
      <c r="A4124" t="s">
        <v>214</v>
      </c>
      <c r="B4124" t="s">
        <v>242</v>
      </c>
      <c r="C4124" t="s">
        <v>4370</v>
      </c>
    </row>
    <row r="4125" spans="1:3" x14ac:dyDescent="0.35">
      <c r="A4125" t="s">
        <v>214</v>
      </c>
      <c r="B4125" t="s">
        <v>242</v>
      </c>
      <c r="C4125" t="s">
        <v>4371</v>
      </c>
    </row>
    <row r="4126" spans="1:3" x14ac:dyDescent="0.35">
      <c r="A4126" t="s">
        <v>214</v>
      </c>
      <c r="B4126" t="s">
        <v>242</v>
      </c>
      <c r="C4126" t="s">
        <v>4372</v>
      </c>
    </row>
    <row r="4127" spans="1:3" x14ac:dyDescent="0.35">
      <c r="A4127" t="s">
        <v>214</v>
      </c>
      <c r="B4127" t="s">
        <v>242</v>
      </c>
      <c r="C4127" t="s">
        <v>4373</v>
      </c>
    </row>
    <row r="4128" spans="1:3" x14ac:dyDescent="0.35">
      <c r="A4128" t="s">
        <v>214</v>
      </c>
      <c r="B4128" t="s">
        <v>242</v>
      </c>
      <c r="C4128" t="s">
        <v>4374</v>
      </c>
    </row>
    <row r="4129" spans="1:3" x14ac:dyDescent="0.35">
      <c r="A4129" t="s">
        <v>214</v>
      </c>
      <c r="B4129" t="s">
        <v>242</v>
      </c>
      <c r="C4129" t="s">
        <v>4375</v>
      </c>
    </row>
    <row r="4130" spans="1:3" x14ac:dyDescent="0.35">
      <c r="A4130" t="s">
        <v>214</v>
      </c>
      <c r="B4130" t="s">
        <v>242</v>
      </c>
      <c r="C4130" t="s">
        <v>4376</v>
      </c>
    </row>
    <row r="4131" spans="1:3" x14ac:dyDescent="0.35">
      <c r="A4131" t="s">
        <v>214</v>
      </c>
      <c r="B4131" t="s">
        <v>257</v>
      </c>
      <c r="C4131" t="s">
        <v>4377</v>
      </c>
    </row>
    <row r="4132" spans="1:3" x14ac:dyDescent="0.35">
      <c r="A4132" t="s">
        <v>214</v>
      </c>
      <c r="B4132" t="s">
        <v>257</v>
      </c>
      <c r="C4132" t="s">
        <v>4378</v>
      </c>
    </row>
    <row r="4133" spans="1:3" x14ac:dyDescent="0.35">
      <c r="A4133" t="s">
        <v>214</v>
      </c>
      <c r="B4133" t="s">
        <v>257</v>
      </c>
      <c r="C4133" t="s">
        <v>4379</v>
      </c>
    </row>
    <row r="4134" spans="1:3" x14ac:dyDescent="0.35">
      <c r="A4134" t="s">
        <v>214</v>
      </c>
      <c r="B4134" t="s">
        <v>257</v>
      </c>
      <c r="C4134" t="s">
        <v>4380</v>
      </c>
    </row>
    <row r="4135" spans="1:3" x14ac:dyDescent="0.35">
      <c r="A4135" t="s">
        <v>214</v>
      </c>
      <c r="B4135" t="s">
        <v>257</v>
      </c>
      <c r="C4135" t="s">
        <v>4381</v>
      </c>
    </row>
    <row r="4136" spans="1:3" x14ac:dyDescent="0.35">
      <c r="A4136" t="s">
        <v>214</v>
      </c>
      <c r="B4136" t="s">
        <v>257</v>
      </c>
      <c r="C4136" t="s">
        <v>257</v>
      </c>
    </row>
    <row r="4137" spans="1:3" x14ac:dyDescent="0.35">
      <c r="A4137" t="s">
        <v>214</v>
      </c>
      <c r="B4137" t="s">
        <v>257</v>
      </c>
      <c r="C4137" t="s">
        <v>4382</v>
      </c>
    </row>
    <row r="4138" spans="1:3" x14ac:dyDescent="0.35">
      <c r="A4138" t="s">
        <v>214</v>
      </c>
      <c r="B4138" t="s">
        <v>257</v>
      </c>
      <c r="C4138" t="s">
        <v>4383</v>
      </c>
    </row>
    <row r="4139" spans="1:3" x14ac:dyDescent="0.35">
      <c r="A4139" t="s">
        <v>214</v>
      </c>
      <c r="B4139" t="s">
        <v>257</v>
      </c>
      <c r="C4139" t="s">
        <v>4384</v>
      </c>
    </row>
    <row r="4140" spans="1:3" x14ac:dyDescent="0.35">
      <c r="A4140" t="s">
        <v>214</v>
      </c>
      <c r="B4140" t="s">
        <v>257</v>
      </c>
      <c r="C4140" t="s">
        <v>4385</v>
      </c>
    </row>
    <row r="4141" spans="1:3" x14ac:dyDescent="0.35">
      <c r="A4141" t="s">
        <v>214</v>
      </c>
      <c r="B4141" t="s">
        <v>257</v>
      </c>
      <c r="C4141" t="s">
        <v>4386</v>
      </c>
    </row>
    <row r="4142" spans="1:3" x14ac:dyDescent="0.35">
      <c r="A4142" t="s">
        <v>214</v>
      </c>
      <c r="B4142" t="s">
        <v>257</v>
      </c>
      <c r="C4142" t="s">
        <v>4387</v>
      </c>
    </row>
    <row r="4143" spans="1:3" x14ac:dyDescent="0.35">
      <c r="A4143" t="s">
        <v>214</v>
      </c>
      <c r="B4143" t="s">
        <v>257</v>
      </c>
      <c r="C4143" t="s">
        <v>4388</v>
      </c>
    </row>
    <row r="4144" spans="1:3" x14ac:dyDescent="0.35">
      <c r="A4144" t="s">
        <v>214</v>
      </c>
      <c r="B4144" t="s">
        <v>257</v>
      </c>
      <c r="C4144" t="s">
        <v>4389</v>
      </c>
    </row>
    <row r="4145" spans="1:3" x14ac:dyDescent="0.35">
      <c r="A4145" t="s">
        <v>214</v>
      </c>
      <c r="B4145" t="s">
        <v>257</v>
      </c>
      <c r="C4145" t="s">
        <v>4390</v>
      </c>
    </row>
    <row r="4146" spans="1:3" x14ac:dyDescent="0.35">
      <c r="A4146" t="s">
        <v>214</v>
      </c>
      <c r="B4146" t="s">
        <v>257</v>
      </c>
      <c r="C4146" t="s">
        <v>4391</v>
      </c>
    </row>
    <row r="4147" spans="1:3" x14ac:dyDescent="0.35">
      <c r="A4147" t="s">
        <v>214</v>
      </c>
      <c r="B4147" t="s">
        <v>257</v>
      </c>
      <c r="C4147" t="s">
        <v>4392</v>
      </c>
    </row>
    <row r="4148" spans="1:3" x14ac:dyDescent="0.35">
      <c r="A4148" t="s">
        <v>214</v>
      </c>
      <c r="B4148" t="s">
        <v>257</v>
      </c>
      <c r="C4148" t="s">
        <v>4393</v>
      </c>
    </row>
    <row r="4149" spans="1:3" x14ac:dyDescent="0.35">
      <c r="A4149" t="s">
        <v>214</v>
      </c>
      <c r="B4149" t="s">
        <v>257</v>
      </c>
      <c r="C4149" t="s">
        <v>4394</v>
      </c>
    </row>
    <row r="4150" spans="1:3" x14ac:dyDescent="0.35">
      <c r="A4150" t="s">
        <v>214</v>
      </c>
      <c r="B4150" t="s">
        <v>257</v>
      </c>
      <c r="C4150" t="s">
        <v>4395</v>
      </c>
    </row>
    <row r="4151" spans="1:3" x14ac:dyDescent="0.35">
      <c r="A4151" t="s">
        <v>214</v>
      </c>
      <c r="B4151" t="s">
        <v>257</v>
      </c>
      <c r="C4151" t="s">
        <v>4396</v>
      </c>
    </row>
    <row r="4152" spans="1:3" x14ac:dyDescent="0.35">
      <c r="A4152" t="s">
        <v>214</v>
      </c>
      <c r="B4152" t="s">
        <v>257</v>
      </c>
      <c r="C4152" t="s">
        <v>4397</v>
      </c>
    </row>
    <row r="4153" spans="1:3" x14ac:dyDescent="0.35">
      <c r="A4153" t="s">
        <v>214</v>
      </c>
      <c r="B4153" t="s">
        <v>257</v>
      </c>
      <c r="C4153" t="s">
        <v>4398</v>
      </c>
    </row>
    <row r="4154" spans="1:3" x14ac:dyDescent="0.35">
      <c r="A4154" t="s">
        <v>214</v>
      </c>
      <c r="B4154" t="s">
        <v>257</v>
      </c>
      <c r="C4154" t="s">
        <v>4399</v>
      </c>
    </row>
    <row r="4155" spans="1:3" x14ac:dyDescent="0.35">
      <c r="A4155" t="s">
        <v>214</v>
      </c>
      <c r="B4155" t="s">
        <v>257</v>
      </c>
      <c r="C4155" t="s">
        <v>4400</v>
      </c>
    </row>
    <row r="4156" spans="1:3" x14ac:dyDescent="0.35">
      <c r="A4156" t="s">
        <v>214</v>
      </c>
      <c r="B4156" t="s">
        <v>257</v>
      </c>
      <c r="C4156" t="s">
        <v>4401</v>
      </c>
    </row>
    <row r="4157" spans="1:3" x14ac:dyDescent="0.35">
      <c r="A4157" t="s">
        <v>214</v>
      </c>
      <c r="B4157" t="s">
        <v>257</v>
      </c>
      <c r="C4157" t="s">
        <v>4402</v>
      </c>
    </row>
    <row r="4158" spans="1:3" x14ac:dyDescent="0.35">
      <c r="A4158" t="s">
        <v>214</v>
      </c>
      <c r="B4158" t="s">
        <v>257</v>
      </c>
      <c r="C4158" t="s">
        <v>4403</v>
      </c>
    </row>
    <row r="4159" spans="1:3" x14ac:dyDescent="0.35">
      <c r="A4159" t="s">
        <v>214</v>
      </c>
      <c r="B4159" t="s">
        <v>257</v>
      </c>
      <c r="C4159" t="s">
        <v>4404</v>
      </c>
    </row>
    <row r="4160" spans="1:3" x14ac:dyDescent="0.35">
      <c r="A4160" t="s">
        <v>214</v>
      </c>
      <c r="B4160" t="s">
        <v>257</v>
      </c>
      <c r="C4160" t="s">
        <v>4405</v>
      </c>
    </row>
    <row r="4161" spans="1:3" x14ac:dyDescent="0.35">
      <c r="A4161" t="s">
        <v>214</v>
      </c>
      <c r="B4161" t="s">
        <v>257</v>
      </c>
      <c r="C4161" t="s">
        <v>4406</v>
      </c>
    </row>
    <row r="4162" spans="1:3" x14ac:dyDescent="0.35">
      <c r="A4162" t="s">
        <v>214</v>
      </c>
      <c r="B4162" t="s">
        <v>257</v>
      </c>
      <c r="C4162" t="s">
        <v>4407</v>
      </c>
    </row>
    <row r="4163" spans="1:3" x14ac:dyDescent="0.35">
      <c r="A4163" t="s">
        <v>214</v>
      </c>
      <c r="B4163" t="s">
        <v>257</v>
      </c>
      <c r="C4163" t="s">
        <v>4408</v>
      </c>
    </row>
    <row r="4164" spans="1:3" x14ac:dyDescent="0.35">
      <c r="A4164" t="s">
        <v>214</v>
      </c>
      <c r="B4164" t="s">
        <v>257</v>
      </c>
      <c r="C4164" t="s">
        <v>4409</v>
      </c>
    </row>
    <row r="4165" spans="1:3" x14ac:dyDescent="0.35">
      <c r="A4165" t="s">
        <v>214</v>
      </c>
      <c r="B4165" t="s">
        <v>257</v>
      </c>
      <c r="C4165" t="s">
        <v>4410</v>
      </c>
    </row>
    <row r="4166" spans="1:3" x14ac:dyDescent="0.35">
      <c r="A4166" t="s">
        <v>214</v>
      </c>
      <c r="B4166" t="s">
        <v>257</v>
      </c>
      <c r="C4166" t="s">
        <v>4411</v>
      </c>
    </row>
    <row r="4167" spans="1:3" x14ac:dyDescent="0.35">
      <c r="A4167" t="s">
        <v>214</v>
      </c>
      <c r="B4167" t="s">
        <v>257</v>
      </c>
      <c r="C4167" t="s">
        <v>4412</v>
      </c>
    </row>
    <row r="4168" spans="1:3" x14ac:dyDescent="0.35">
      <c r="A4168" t="s">
        <v>214</v>
      </c>
      <c r="B4168" t="s">
        <v>257</v>
      </c>
      <c r="C4168" t="s">
        <v>4413</v>
      </c>
    </row>
    <row r="4169" spans="1:3" x14ac:dyDescent="0.35">
      <c r="A4169" t="s">
        <v>214</v>
      </c>
      <c r="B4169" t="s">
        <v>257</v>
      </c>
      <c r="C4169" t="s">
        <v>4414</v>
      </c>
    </row>
    <row r="4170" spans="1:3" x14ac:dyDescent="0.35">
      <c r="A4170" t="s">
        <v>214</v>
      </c>
      <c r="B4170" t="s">
        <v>257</v>
      </c>
      <c r="C4170" t="s">
        <v>4415</v>
      </c>
    </row>
    <row r="4171" spans="1:3" x14ac:dyDescent="0.35">
      <c r="A4171" t="s">
        <v>214</v>
      </c>
      <c r="B4171" t="s">
        <v>269</v>
      </c>
      <c r="C4171" t="s">
        <v>4416</v>
      </c>
    </row>
    <row r="4172" spans="1:3" x14ac:dyDescent="0.35">
      <c r="A4172" t="s">
        <v>214</v>
      </c>
      <c r="B4172" t="s">
        <v>269</v>
      </c>
      <c r="C4172" t="s">
        <v>4417</v>
      </c>
    </row>
    <row r="4173" spans="1:3" x14ac:dyDescent="0.35">
      <c r="A4173" t="s">
        <v>214</v>
      </c>
      <c r="B4173" t="s">
        <v>269</v>
      </c>
      <c r="C4173" t="s">
        <v>4418</v>
      </c>
    </row>
    <row r="4174" spans="1:3" x14ac:dyDescent="0.35">
      <c r="A4174" t="s">
        <v>214</v>
      </c>
      <c r="B4174" t="s">
        <v>269</v>
      </c>
      <c r="C4174" t="s">
        <v>4419</v>
      </c>
    </row>
    <row r="4175" spans="1:3" x14ac:dyDescent="0.35">
      <c r="A4175" t="s">
        <v>214</v>
      </c>
      <c r="B4175" t="s">
        <v>269</v>
      </c>
      <c r="C4175" t="s">
        <v>4420</v>
      </c>
    </row>
    <row r="4176" spans="1:3" x14ac:dyDescent="0.35">
      <c r="A4176" t="s">
        <v>214</v>
      </c>
      <c r="B4176" t="s">
        <v>269</v>
      </c>
      <c r="C4176" t="s">
        <v>4421</v>
      </c>
    </row>
    <row r="4177" spans="1:3" x14ac:dyDescent="0.35">
      <c r="A4177" t="s">
        <v>214</v>
      </c>
      <c r="B4177" t="s">
        <v>269</v>
      </c>
      <c r="C4177" t="s">
        <v>4422</v>
      </c>
    </row>
    <row r="4178" spans="1:3" x14ac:dyDescent="0.35">
      <c r="A4178" t="s">
        <v>214</v>
      </c>
      <c r="B4178" t="s">
        <v>269</v>
      </c>
      <c r="C4178" t="s">
        <v>4423</v>
      </c>
    </row>
    <row r="4179" spans="1:3" x14ac:dyDescent="0.35">
      <c r="A4179" t="s">
        <v>214</v>
      </c>
      <c r="B4179" t="s">
        <v>269</v>
      </c>
      <c r="C4179" t="s">
        <v>4424</v>
      </c>
    </row>
    <row r="4180" spans="1:3" x14ac:dyDescent="0.35">
      <c r="A4180" t="s">
        <v>214</v>
      </c>
      <c r="B4180" t="s">
        <v>269</v>
      </c>
      <c r="C4180" t="s">
        <v>4425</v>
      </c>
    </row>
    <row r="4181" spans="1:3" x14ac:dyDescent="0.35">
      <c r="A4181" t="s">
        <v>214</v>
      </c>
      <c r="B4181" t="s">
        <v>269</v>
      </c>
      <c r="C4181" t="s">
        <v>4426</v>
      </c>
    </row>
    <row r="4182" spans="1:3" x14ac:dyDescent="0.35">
      <c r="A4182" t="s">
        <v>214</v>
      </c>
      <c r="B4182" t="s">
        <v>269</v>
      </c>
      <c r="C4182" t="s">
        <v>4427</v>
      </c>
    </row>
    <row r="4183" spans="1:3" x14ac:dyDescent="0.35">
      <c r="A4183" t="s">
        <v>214</v>
      </c>
      <c r="B4183" t="s">
        <v>269</v>
      </c>
      <c r="C4183" t="s">
        <v>4428</v>
      </c>
    </row>
    <row r="4184" spans="1:3" x14ac:dyDescent="0.35">
      <c r="A4184" t="s">
        <v>214</v>
      </c>
      <c r="B4184" t="s">
        <v>269</v>
      </c>
      <c r="C4184" t="s">
        <v>4429</v>
      </c>
    </row>
    <row r="4185" spans="1:3" x14ac:dyDescent="0.35">
      <c r="A4185" t="s">
        <v>214</v>
      </c>
      <c r="B4185" t="s">
        <v>269</v>
      </c>
      <c r="C4185" t="s">
        <v>4430</v>
      </c>
    </row>
    <row r="4186" spans="1:3" x14ac:dyDescent="0.35">
      <c r="A4186" t="s">
        <v>214</v>
      </c>
      <c r="B4186" t="s">
        <v>269</v>
      </c>
      <c r="C4186" t="s">
        <v>4431</v>
      </c>
    </row>
    <row r="4187" spans="1:3" x14ac:dyDescent="0.35">
      <c r="A4187" t="s">
        <v>214</v>
      </c>
      <c r="B4187" t="s">
        <v>269</v>
      </c>
      <c r="C4187" t="s">
        <v>4432</v>
      </c>
    </row>
    <row r="4188" spans="1:3" x14ac:dyDescent="0.35">
      <c r="A4188" t="s">
        <v>214</v>
      </c>
      <c r="B4188" t="s">
        <v>269</v>
      </c>
      <c r="C4188" t="s">
        <v>4433</v>
      </c>
    </row>
    <row r="4189" spans="1:3" x14ac:dyDescent="0.35">
      <c r="A4189" t="s">
        <v>214</v>
      </c>
      <c r="B4189" t="s">
        <v>269</v>
      </c>
      <c r="C4189" t="s">
        <v>4434</v>
      </c>
    </row>
    <row r="4190" spans="1:3" x14ac:dyDescent="0.35">
      <c r="A4190" t="s">
        <v>214</v>
      </c>
      <c r="B4190" t="s">
        <v>269</v>
      </c>
      <c r="C4190" t="s">
        <v>4435</v>
      </c>
    </row>
    <row r="4191" spans="1:3" x14ac:dyDescent="0.35">
      <c r="A4191" t="s">
        <v>214</v>
      </c>
      <c r="B4191" t="s">
        <v>269</v>
      </c>
      <c r="C4191" t="s">
        <v>269</v>
      </c>
    </row>
    <row r="4192" spans="1:3" x14ac:dyDescent="0.35">
      <c r="A4192" t="s">
        <v>214</v>
      </c>
      <c r="B4192" t="s">
        <v>269</v>
      </c>
      <c r="C4192" t="s">
        <v>4436</v>
      </c>
    </row>
    <row r="4193" spans="1:3" x14ac:dyDescent="0.35">
      <c r="A4193" t="s">
        <v>214</v>
      </c>
      <c r="B4193" t="s">
        <v>269</v>
      </c>
      <c r="C4193" t="s">
        <v>4437</v>
      </c>
    </row>
    <row r="4194" spans="1:3" x14ac:dyDescent="0.35">
      <c r="A4194" t="s">
        <v>214</v>
      </c>
      <c r="B4194" t="s">
        <v>269</v>
      </c>
      <c r="C4194" t="s">
        <v>4438</v>
      </c>
    </row>
    <row r="4195" spans="1:3" x14ac:dyDescent="0.35">
      <c r="A4195" t="s">
        <v>214</v>
      </c>
      <c r="B4195" t="s">
        <v>269</v>
      </c>
      <c r="C4195" t="s">
        <v>4439</v>
      </c>
    </row>
    <row r="4196" spans="1:3" x14ac:dyDescent="0.35">
      <c r="A4196" t="s">
        <v>214</v>
      </c>
      <c r="B4196" t="s">
        <v>269</v>
      </c>
      <c r="C4196" t="s">
        <v>4440</v>
      </c>
    </row>
    <row r="4197" spans="1:3" x14ac:dyDescent="0.35">
      <c r="A4197" t="s">
        <v>214</v>
      </c>
      <c r="B4197" t="s">
        <v>269</v>
      </c>
      <c r="C4197" t="s">
        <v>4441</v>
      </c>
    </row>
    <row r="4198" spans="1:3" x14ac:dyDescent="0.35">
      <c r="A4198" t="s">
        <v>214</v>
      </c>
      <c r="B4198" t="s">
        <v>269</v>
      </c>
      <c r="C4198" t="s">
        <v>4442</v>
      </c>
    </row>
    <row r="4199" spans="1:3" x14ac:dyDescent="0.35">
      <c r="A4199" t="s">
        <v>214</v>
      </c>
      <c r="B4199" t="s">
        <v>269</v>
      </c>
      <c r="C4199" t="s">
        <v>4443</v>
      </c>
    </row>
    <row r="4200" spans="1:3" x14ac:dyDescent="0.35">
      <c r="A4200" t="s">
        <v>214</v>
      </c>
      <c r="B4200" t="s">
        <v>269</v>
      </c>
      <c r="C4200" t="s">
        <v>4444</v>
      </c>
    </row>
    <row r="4201" spans="1:3" x14ac:dyDescent="0.35">
      <c r="A4201" t="s">
        <v>214</v>
      </c>
      <c r="B4201" t="s">
        <v>269</v>
      </c>
      <c r="C4201" t="s">
        <v>4445</v>
      </c>
    </row>
    <row r="4202" spans="1:3" x14ac:dyDescent="0.35">
      <c r="A4202" t="s">
        <v>214</v>
      </c>
      <c r="B4202" t="s">
        <v>269</v>
      </c>
      <c r="C4202" t="s">
        <v>4446</v>
      </c>
    </row>
    <row r="4203" spans="1:3" x14ac:dyDescent="0.35">
      <c r="A4203" t="s">
        <v>214</v>
      </c>
      <c r="B4203" t="s">
        <v>269</v>
      </c>
      <c r="C4203" t="s">
        <v>4447</v>
      </c>
    </row>
    <row r="4204" spans="1:3" x14ac:dyDescent="0.35">
      <c r="A4204" t="s">
        <v>214</v>
      </c>
      <c r="B4204" t="s">
        <v>269</v>
      </c>
      <c r="C4204" t="s">
        <v>4448</v>
      </c>
    </row>
    <row r="4205" spans="1:3" x14ac:dyDescent="0.35">
      <c r="A4205" t="s">
        <v>214</v>
      </c>
      <c r="B4205" t="s">
        <v>269</v>
      </c>
      <c r="C4205" t="s">
        <v>4449</v>
      </c>
    </row>
    <row r="4206" spans="1:3" x14ac:dyDescent="0.35">
      <c r="A4206" t="s">
        <v>214</v>
      </c>
      <c r="B4206" t="s">
        <v>269</v>
      </c>
      <c r="C4206" t="s">
        <v>4450</v>
      </c>
    </row>
    <row r="4207" spans="1:3" x14ac:dyDescent="0.35">
      <c r="A4207" t="s">
        <v>214</v>
      </c>
      <c r="B4207" t="s">
        <v>269</v>
      </c>
      <c r="C4207" t="s">
        <v>4451</v>
      </c>
    </row>
    <row r="4208" spans="1:3" x14ac:dyDescent="0.35">
      <c r="A4208" t="s">
        <v>214</v>
      </c>
      <c r="B4208" t="s">
        <v>269</v>
      </c>
      <c r="C4208" t="s">
        <v>4452</v>
      </c>
    </row>
    <row r="4209" spans="1:3" x14ac:dyDescent="0.35">
      <c r="A4209" t="s">
        <v>214</v>
      </c>
      <c r="B4209" t="s">
        <v>269</v>
      </c>
      <c r="C4209" t="s">
        <v>4453</v>
      </c>
    </row>
    <row r="4210" spans="1:3" x14ac:dyDescent="0.35">
      <c r="A4210" t="s">
        <v>214</v>
      </c>
      <c r="B4210" t="s">
        <v>269</v>
      </c>
      <c r="C4210" t="s">
        <v>4454</v>
      </c>
    </row>
    <row r="4211" spans="1:3" x14ac:dyDescent="0.35">
      <c r="A4211" t="s">
        <v>214</v>
      </c>
      <c r="B4211" t="s">
        <v>269</v>
      </c>
      <c r="C4211" t="s">
        <v>4455</v>
      </c>
    </row>
    <row r="4212" spans="1:3" x14ac:dyDescent="0.35">
      <c r="A4212" t="s">
        <v>214</v>
      </c>
      <c r="B4212" t="s">
        <v>269</v>
      </c>
      <c r="C4212" t="s">
        <v>4456</v>
      </c>
    </row>
    <row r="4213" spans="1:3" x14ac:dyDescent="0.35">
      <c r="A4213" t="s">
        <v>214</v>
      </c>
      <c r="B4213" t="s">
        <v>269</v>
      </c>
      <c r="C4213" t="s">
        <v>4457</v>
      </c>
    </row>
    <row r="4214" spans="1:3" x14ac:dyDescent="0.35">
      <c r="A4214" t="s">
        <v>214</v>
      </c>
      <c r="B4214" t="s">
        <v>269</v>
      </c>
      <c r="C4214" t="s">
        <v>4458</v>
      </c>
    </row>
    <row r="4215" spans="1:3" x14ac:dyDescent="0.35">
      <c r="A4215" t="s">
        <v>214</v>
      </c>
      <c r="B4215" t="s">
        <v>269</v>
      </c>
      <c r="C4215" t="s">
        <v>4459</v>
      </c>
    </row>
    <row r="4216" spans="1:3" x14ac:dyDescent="0.35">
      <c r="A4216" t="s">
        <v>214</v>
      </c>
      <c r="B4216" t="s">
        <v>269</v>
      </c>
      <c r="C4216" t="s">
        <v>4460</v>
      </c>
    </row>
    <row r="4217" spans="1:3" x14ac:dyDescent="0.35">
      <c r="A4217" t="s">
        <v>214</v>
      </c>
      <c r="B4217" t="s">
        <v>269</v>
      </c>
      <c r="C4217" t="s">
        <v>4461</v>
      </c>
    </row>
    <row r="4218" spans="1:3" x14ac:dyDescent="0.35">
      <c r="A4218" t="s">
        <v>214</v>
      </c>
      <c r="B4218" t="s">
        <v>269</v>
      </c>
      <c r="C4218" t="s">
        <v>4462</v>
      </c>
    </row>
    <row r="4219" spans="1:3" x14ac:dyDescent="0.35">
      <c r="A4219" t="s">
        <v>214</v>
      </c>
      <c r="B4219" t="s">
        <v>269</v>
      </c>
      <c r="C4219" t="s">
        <v>4463</v>
      </c>
    </row>
    <row r="4220" spans="1:3" x14ac:dyDescent="0.35">
      <c r="A4220" t="s">
        <v>214</v>
      </c>
      <c r="B4220" t="s">
        <v>269</v>
      </c>
      <c r="C4220" t="s">
        <v>4464</v>
      </c>
    </row>
    <row r="4221" spans="1:3" x14ac:dyDescent="0.35">
      <c r="A4221" t="s">
        <v>214</v>
      </c>
      <c r="B4221" t="s">
        <v>269</v>
      </c>
      <c r="C4221" t="s">
        <v>4465</v>
      </c>
    </row>
    <row r="4222" spans="1:3" x14ac:dyDescent="0.35">
      <c r="A4222" t="s">
        <v>214</v>
      </c>
      <c r="B4222" t="s">
        <v>269</v>
      </c>
      <c r="C4222" t="s">
        <v>4466</v>
      </c>
    </row>
    <row r="4223" spans="1:3" x14ac:dyDescent="0.35">
      <c r="A4223" t="s">
        <v>214</v>
      </c>
      <c r="B4223" t="s">
        <v>269</v>
      </c>
      <c r="C4223" t="s">
        <v>4467</v>
      </c>
    </row>
    <row r="4224" spans="1:3" x14ac:dyDescent="0.35">
      <c r="A4224" t="s">
        <v>214</v>
      </c>
      <c r="B4224" t="s">
        <v>269</v>
      </c>
      <c r="C4224" t="s">
        <v>4468</v>
      </c>
    </row>
    <row r="4225" spans="1:3" x14ac:dyDescent="0.35">
      <c r="A4225" t="s">
        <v>214</v>
      </c>
      <c r="B4225" t="s">
        <v>269</v>
      </c>
      <c r="C4225" t="s">
        <v>4469</v>
      </c>
    </row>
    <row r="4226" spans="1:3" x14ac:dyDescent="0.35">
      <c r="A4226" t="s">
        <v>214</v>
      </c>
      <c r="B4226" t="s">
        <v>273</v>
      </c>
      <c r="C4226" t="s">
        <v>4470</v>
      </c>
    </row>
    <row r="4227" spans="1:3" x14ac:dyDescent="0.35">
      <c r="A4227" t="s">
        <v>214</v>
      </c>
      <c r="B4227" t="s">
        <v>273</v>
      </c>
      <c r="C4227" t="s">
        <v>4471</v>
      </c>
    </row>
    <row r="4228" spans="1:3" x14ac:dyDescent="0.35">
      <c r="A4228" t="s">
        <v>214</v>
      </c>
      <c r="B4228" t="s">
        <v>273</v>
      </c>
      <c r="C4228" t="s">
        <v>4472</v>
      </c>
    </row>
    <row r="4229" spans="1:3" x14ac:dyDescent="0.35">
      <c r="A4229" t="s">
        <v>214</v>
      </c>
      <c r="B4229" t="s">
        <v>273</v>
      </c>
      <c r="C4229" t="s">
        <v>4473</v>
      </c>
    </row>
    <row r="4230" spans="1:3" x14ac:dyDescent="0.35">
      <c r="A4230" t="s">
        <v>214</v>
      </c>
      <c r="B4230" t="s">
        <v>273</v>
      </c>
      <c r="C4230" t="s">
        <v>4474</v>
      </c>
    </row>
    <row r="4231" spans="1:3" x14ac:dyDescent="0.35">
      <c r="A4231" t="s">
        <v>214</v>
      </c>
      <c r="B4231" t="s">
        <v>273</v>
      </c>
      <c r="C4231" t="s">
        <v>4475</v>
      </c>
    </row>
    <row r="4232" spans="1:3" x14ac:dyDescent="0.35">
      <c r="A4232" t="s">
        <v>214</v>
      </c>
      <c r="B4232" t="s">
        <v>273</v>
      </c>
      <c r="C4232" t="s">
        <v>4476</v>
      </c>
    </row>
    <row r="4233" spans="1:3" x14ac:dyDescent="0.35">
      <c r="A4233" t="s">
        <v>214</v>
      </c>
      <c r="B4233" t="s">
        <v>273</v>
      </c>
      <c r="C4233" t="s">
        <v>4477</v>
      </c>
    </row>
    <row r="4234" spans="1:3" x14ac:dyDescent="0.35">
      <c r="A4234" t="s">
        <v>214</v>
      </c>
      <c r="B4234" t="s">
        <v>273</v>
      </c>
      <c r="C4234" t="s">
        <v>4478</v>
      </c>
    </row>
    <row r="4235" spans="1:3" x14ac:dyDescent="0.35">
      <c r="A4235" t="s">
        <v>214</v>
      </c>
      <c r="B4235" t="s">
        <v>273</v>
      </c>
      <c r="C4235" t="s">
        <v>4479</v>
      </c>
    </row>
    <row r="4236" spans="1:3" x14ac:dyDescent="0.35">
      <c r="A4236" t="s">
        <v>214</v>
      </c>
      <c r="B4236" t="s">
        <v>273</v>
      </c>
      <c r="C4236" t="s">
        <v>4480</v>
      </c>
    </row>
    <row r="4237" spans="1:3" x14ac:dyDescent="0.35">
      <c r="A4237" t="s">
        <v>214</v>
      </c>
      <c r="B4237" t="s">
        <v>273</v>
      </c>
      <c r="C4237" t="s">
        <v>4481</v>
      </c>
    </row>
    <row r="4238" spans="1:3" x14ac:dyDescent="0.35">
      <c r="A4238" t="s">
        <v>214</v>
      </c>
      <c r="B4238" t="s">
        <v>273</v>
      </c>
      <c r="C4238" t="s">
        <v>4482</v>
      </c>
    </row>
    <row r="4239" spans="1:3" x14ac:dyDescent="0.35">
      <c r="A4239" t="s">
        <v>214</v>
      </c>
      <c r="B4239" t="s">
        <v>273</v>
      </c>
      <c r="C4239" t="s">
        <v>4483</v>
      </c>
    </row>
    <row r="4240" spans="1:3" x14ac:dyDescent="0.35">
      <c r="A4240" t="s">
        <v>214</v>
      </c>
      <c r="B4240" t="s">
        <v>273</v>
      </c>
      <c r="C4240" t="s">
        <v>4484</v>
      </c>
    </row>
    <row r="4241" spans="1:3" x14ac:dyDescent="0.35">
      <c r="A4241" t="s">
        <v>214</v>
      </c>
      <c r="B4241" t="s">
        <v>273</v>
      </c>
      <c r="C4241" t="s">
        <v>4485</v>
      </c>
    </row>
    <row r="4242" spans="1:3" x14ac:dyDescent="0.35">
      <c r="A4242" t="s">
        <v>214</v>
      </c>
      <c r="B4242" t="s">
        <v>273</v>
      </c>
      <c r="C4242" t="s">
        <v>4486</v>
      </c>
    </row>
    <row r="4243" spans="1:3" x14ac:dyDescent="0.35">
      <c r="A4243" t="s">
        <v>214</v>
      </c>
      <c r="B4243" t="s">
        <v>273</v>
      </c>
      <c r="C4243" t="s">
        <v>4487</v>
      </c>
    </row>
    <row r="4244" spans="1:3" x14ac:dyDescent="0.35">
      <c r="A4244" t="s">
        <v>214</v>
      </c>
      <c r="B4244" t="s">
        <v>273</v>
      </c>
      <c r="C4244" t="s">
        <v>4488</v>
      </c>
    </row>
    <row r="4245" spans="1:3" x14ac:dyDescent="0.35">
      <c r="A4245" t="s">
        <v>214</v>
      </c>
      <c r="B4245" t="s">
        <v>273</v>
      </c>
      <c r="C4245" t="s">
        <v>4489</v>
      </c>
    </row>
    <row r="4246" spans="1:3" x14ac:dyDescent="0.35">
      <c r="A4246" t="s">
        <v>214</v>
      </c>
      <c r="B4246" t="s">
        <v>273</v>
      </c>
      <c r="C4246" t="s">
        <v>4490</v>
      </c>
    </row>
    <row r="4247" spans="1:3" x14ac:dyDescent="0.35">
      <c r="A4247" t="s">
        <v>214</v>
      </c>
      <c r="B4247" t="s">
        <v>273</v>
      </c>
      <c r="C4247" t="s">
        <v>4491</v>
      </c>
    </row>
    <row r="4248" spans="1:3" x14ac:dyDescent="0.35">
      <c r="A4248" t="s">
        <v>214</v>
      </c>
      <c r="B4248" t="s">
        <v>273</v>
      </c>
      <c r="C4248" t="s">
        <v>4492</v>
      </c>
    </row>
    <row r="4249" spans="1:3" x14ac:dyDescent="0.35">
      <c r="A4249" t="s">
        <v>214</v>
      </c>
      <c r="B4249" t="s">
        <v>273</v>
      </c>
      <c r="C4249" t="s">
        <v>4493</v>
      </c>
    </row>
    <row r="4250" spans="1:3" x14ac:dyDescent="0.35">
      <c r="A4250" t="s">
        <v>214</v>
      </c>
      <c r="B4250" t="s">
        <v>273</v>
      </c>
      <c r="C4250" t="s">
        <v>4494</v>
      </c>
    </row>
    <row r="4251" spans="1:3" x14ac:dyDescent="0.35">
      <c r="A4251" t="s">
        <v>214</v>
      </c>
      <c r="B4251" t="s">
        <v>273</v>
      </c>
      <c r="C4251" t="s">
        <v>4495</v>
      </c>
    </row>
    <row r="4252" spans="1:3" x14ac:dyDescent="0.35">
      <c r="A4252" t="s">
        <v>214</v>
      </c>
      <c r="B4252" t="s">
        <v>273</v>
      </c>
      <c r="C4252" t="s">
        <v>4496</v>
      </c>
    </row>
    <row r="4253" spans="1:3" x14ac:dyDescent="0.35">
      <c r="A4253" t="s">
        <v>214</v>
      </c>
      <c r="B4253" t="s">
        <v>273</v>
      </c>
      <c r="C4253" t="s">
        <v>4497</v>
      </c>
    </row>
    <row r="4254" spans="1:3" x14ac:dyDescent="0.35">
      <c r="A4254" t="s">
        <v>214</v>
      </c>
      <c r="B4254" t="s">
        <v>273</v>
      </c>
      <c r="C4254" t="s">
        <v>4498</v>
      </c>
    </row>
    <row r="4255" spans="1:3" x14ac:dyDescent="0.35">
      <c r="A4255" t="s">
        <v>214</v>
      </c>
      <c r="B4255" t="s">
        <v>273</v>
      </c>
      <c r="C4255" t="s">
        <v>4499</v>
      </c>
    </row>
    <row r="4256" spans="1:3" x14ac:dyDescent="0.35">
      <c r="A4256" t="s">
        <v>214</v>
      </c>
      <c r="B4256" t="s">
        <v>273</v>
      </c>
      <c r="C4256" t="s">
        <v>4500</v>
      </c>
    </row>
    <row r="4257" spans="1:3" x14ac:dyDescent="0.35">
      <c r="A4257" t="s">
        <v>214</v>
      </c>
      <c r="B4257" t="s">
        <v>273</v>
      </c>
      <c r="C4257" t="s">
        <v>3359</v>
      </c>
    </row>
    <row r="4258" spans="1:3" x14ac:dyDescent="0.35">
      <c r="A4258" t="s">
        <v>214</v>
      </c>
      <c r="B4258" t="s">
        <v>273</v>
      </c>
      <c r="C4258" t="s">
        <v>4501</v>
      </c>
    </row>
    <row r="4259" spans="1:3" x14ac:dyDescent="0.35">
      <c r="A4259" t="s">
        <v>214</v>
      </c>
      <c r="B4259" t="s">
        <v>273</v>
      </c>
      <c r="C4259" t="s">
        <v>4502</v>
      </c>
    </row>
    <row r="4260" spans="1:3" x14ac:dyDescent="0.35">
      <c r="A4260" t="s">
        <v>214</v>
      </c>
      <c r="B4260" t="s">
        <v>273</v>
      </c>
      <c r="C4260" t="s">
        <v>4503</v>
      </c>
    </row>
    <row r="4261" spans="1:3" x14ac:dyDescent="0.35">
      <c r="A4261" t="s">
        <v>214</v>
      </c>
      <c r="B4261" t="s">
        <v>273</v>
      </c>
      <c r="C4261" t="s">
        <v>4504</v>
      </c>
    </row>
    <row r="4262" spans="1:3" x14ac:dyDescent="0.35">
      <c r="A4262" t="s">
        <v>214</v>
      </c>
      <c r="B4262" t="s">
        <v>273</v>
      </c>
      <c r="C4262" t="s">
        <v>4505</v>
      </c>
    </row>
    <row r="4263" spans="1:3" x14ac:dyDescent="0.35">
      <c r="A4263" t="s">
        <v>214</v>
      </c>
      <c r="B4263" t="s">
        <v>273</v>
      </c>
      <c r="C4263" t="s">
        <v>4506</v>
      </c>
    </row>
    <row r="4264" spans="1:3" x14ac:dyDescent="0.35">
      <c r="A4264" t="s">
        <v>214</v>
      </c>
      <c r="B4264" t="s">
        <v>273</v>
      </c>
      <c r="C4264" t="s">
        <v>4507</v>
      </c>
    </row>
    <row r="4265" spans="1:3" x14ac:dyDescent="0.35">
      <c r="A4265" t="s">
        <v>214</v>
      </c>
      <c r="B4265" t="s">
        <v>273</v>
      </c>
      <c r="C4265" t="s">
        <v>4508</v>
      </c>
    </row>
    <row r="4266" spans="1:3" x14ac:dyDescent="0.35">
      <c r="A4266" t="s">
        <v>214</v>
      </c>
      <c r="B4266" t="s">
        <v>273</v>
      </c>
      <c r="C4266" t="s">
        <v>4509</v>
      </c>
    </row>
    <row r="4267" spans="1:3" x14ac:dyDescent="0.35">
      <c r="A4267" t="s">
        <v>214</v>
      </c>
      <c r="B4267" t="s">
        <v>273</v>
      </c>
      <c r="C4267" t="s">
        <v>4510</v>
      </c>
    </row>
    <row r="4268" spans="1:3" x14ac:dyDescent="0.35">
      <c r="A4268" t="s">
        <v>214</v>
      </c>
      <c r="B4268" t="s">
        <v>273</v>
      </c>
      <c r="C4268" t="s">
        <v>4511</v>
      </c>
    </row>
    <row r="4269" spans="1:3" x14ac:dyDescent="0.35">
      <c r="A4269" t="s">
        <v>214</v>
      </c>
      <c r="B4269" t="s">
        <v>273</v>
      </c>
      <c r="C4269" t="s">
        <v>4512</v>
      </c>
    </row>
    <row r="4270" spans="1:3" x14ac:dyDescent="0.35">
      <c r="A4270" t="s">
        <v>214</v>
      </c>
      <c r="B4270" t="s">
        <v>273</v>
      </c>
      <c r="C4270" t="s">
        <v>4513</v>
      </c>
    </row>
    <row r="4271" spans="1:3" x14ac:dyDescent="0.35">
      <c r="A4271" t="s">
        <v>214</v>
      </c>
      <c r="B4271" t="s">
        <v>273</v>
      </c>
      <c r="C4271" t="s">
        <v>4514</v>
      </c>
    </row>
    <row r="4272" spans="1:3" x14ac:dyDescent="0.35">
      <c r="A4272" t="s">
        <v>214</v>
      </c>
      <c r="B4272" t="s">
        <v>273</v>
      </c>
      <c r="C4272" t="s">
        <v>4515</v>
      </c>
    </row>
    <row r="4273" spans="1:3" x14ac:dyDescent="0.35">
      <c r="A4273" t="s">
        <v>214</v>
      </c>
      <c r="B4273" t="s">
        <v>273</v>
      </c>
      <c r="C4273" t="s">
        <v>4516</v>
      </c>
    </row>
    <row r="4274" spans="1:3" x14ac:dyDescent="0.35">
      <c r="A4274" t="s">
        <v>214</v>
      </c>
      <c r="B4274" t="s">
        <v>273</v>
      </c>
      <c r="C4274" t="s">
        <v>4517</v>
      </c>
    </row>
    <row r="4275" spans="1:3" x14ac:dyDescent="0.35">
      <c r="A4275" t="s">
        <v>214</v>
      </c>
      <c r="B4275" t="s">
        <v>273</v>
      </c>
      <c r="C4275" t="s">
        <v>4518</v>
      </c>
    </row>
    <row r="4276" spans="1:3" x14ac:dyDescent="0.35">
      <c r="A4276" t="s">
        <v>215</v>
      </c>
      <c r="B4276" t="s">
        <v>230</v>
      </c>
      <c r="C4276" t="s">
        <v>4519</v>
      </c>
    </row>
    <row r="4277" spans="1:3" x14ac:dyDescent="0.35">
      <c r="A4277" t="s">
        <v>215</v>
      </c>
      <c r="B4277" t="s">
        <v>230</v>
      </c>
      <c r="C4277" t="s">
        <v>4520</v>
      </c>
    </row>
    <row r="4278" spans="1:3" x14ac:dyDescent="0.35">
      <c r="A4278" t="s">
        <v>215</v>
      </c>
      <c r="B4278" t="s">
        <v>230</v>
      </c>
      <c r="C4278" t="s">
        <v>4521</v>
      </c>
    </row>
    <row r="4279" spans="1:3" x14ac:dyDescent="0.35">
      <c r="A4279" t="s">
        <v>215</v>
      </c>
      <c r="B4279" t="s">
        <v>230</v>
      </c>
      <c r="C4279" t="s">
        <v>4522</v>
      </c>
    </row>
    <row r="4280" spans="1:3" x14ac:dyDescent="0.35">
      <c r="A4280" t="s">
        <v>215</v>
      </c>
      <c r="B4280" t="s">
        <v>230</v>
      </c>
      <c r="C4280" t="s">
        <v>4523</v>
      </c>
    </row>
    <row r="4281" spans="1:3" x14ac:dyDescent="0.35">
      <c r="A4281" t="s">
        <v>215</v>
      </c>
      <c r="B4281" t="s">
        <v>230</v>
      </c>
      <c r="C4281" t="s">
        <v>230</v>
      </c>
    </row>
    <row r="4282" spans="1:3" x14ac:dyDescent="0.35">
      <c r="A4282" t="s">
        <v>215</v>
      </c>
      <c r="B4282" t="s">
        <v>230</v>
      </c>
      <c r="C4282" t="s">
        <v>4524</v>
      </c>
    </row>
    <row r="4283" spans="1:3" x14ac:dyDescent="0.35">
      <c r="A4283" t="s">
        <v>215</v>
      </c>
      <c r="B4283" t="s">
        <v>230</v>
      </c>
      <c r="C4283" t="s">
        <v>4525</v>
      </c>
    </row>
    <row r="4284" spans="1:3" x14ac:dyDescent="0.35">
      <c r="A4284" t="s">
        <v>215</v>
      </c>
      <c r="B4284" t="s">
        <v>230</v>
      </c>
      <c r="C4284" t="s">
        <v>4526</v>
      </c>
    </row>
    <row r="4285" spans="1:3" x14ac:dyDescent="0.35">
      <c r="A4285" t="s">
        <v>215</v>
      </c>
      <c r="B4285" t="s">
        <v>230</v>
      </c>
      <c r="C4285" t="s">
        <v>4527</v>
      </c>
    </row>
    <row r="4286" spans="1:3" x14ac:dyDescent="0.35">
      <c r="A4286" t="s">
        <v>215</v>
      </c>
      <c r="B4286" t="s">
        <v>230</v>
      </c>
      <c r="C4286" t="s">
        <v>4528</v>
      </c>
    </row>
    <row r="4287" spans="1:3" x14ac:dyDescent="0.35">
      <c r="A4287" t="s">
        <v>215</v>
      </c>
      <c r="B4287" t="s">
        <v>230</v>
      </c>
      <c r="C4287" t="s">
        <v>4529</v>
      </c>
    </row>
    <row r="4288" spans="1:3" x14ac:dyDescent="0.35">
      <c r="A4288" t="s">
        <v>215</v>
      </c>
      <c r="B4288" t="s">
        <v>230</v>
      </c>
      <c r="C4288" t="s">
        <v>4530</v>
      </c>
    </row>
    <row r="4289" spans="1:3" x14ac:dyDescent="0.35">
      <c r="A4289" t="s">
        <v>215</v>
      </c>
      <c r="B4289" t="s">
        <v>230</v>
      </c>
      <c r="C4289" t="s">
        <v>4531</v>
      </c>
    </row>
    <row r="4290" spans="1:3" x14ac:dyDescent="0.35">
      <c r="A4290" t="s">
        <v>215</v>
      </c>
      <c r="B4290" t="s">
        <v>230</v>
      </c>
      <c r="C4290" t="s">
        <v>4532</v>
      </c>
    </row>
    <row r="4291" spans="1:3" x14ac:dyDescent="0.35">
      <c r="A4291" t="s">
        <v>215</v>
      </c>
      <c r="B4291" t="s">
        <v>230</v>
      </c>
      <c r="C4291" t="s">
        <v>4533</v>
      </c>
    </row>
    <row r="4292" spans="1:3" x14ac:dyDescent="0.35">
      <c r="A4292" t="s">
        <v>215</v>
      </c>
      <c r="B4292" t="s">
        <v>230</v>
      </c>
      <c r="C4292" t="s">
        <v>4534</v>
      </c>
    </row>
    <row r="4293" spans="1:3" x14ac:dyDescent="0.35">
      <c r="A4293" t="s">
        <v>215</v>
      </c>
      <c r="B4293" t="s">
        <v>230</v>
      </c>
      <c r="C4293" t="s">
        <v>4535</v>
      </c>
    </row>
    <row r="4294" spans="1:3" x14ac:dyDescent="0.35">
      <c r="A4294" t="s">
        <v>215</v>
      </c>
      <c r="B4294" t="s">
        <v>230</v>
      </c>
      <c r="C4294" t="s">
        <v>4536</v>
      </c>
    </row>
    <row r="4295" spans="1:3" x14ac:dyDescent="0.35">
      <c r="A4295" t="s">
        <v>215</v>
      </c>
      <c r="B4295" t="s">
        <v>230</v>
      </c>
      <c r="C4295" t="s">
        <v>4537</v>
      </c>
    </row>
    <row r="4296" spans="1:3" x14ac:dyDescent="0.35">
      <c r="A4296" t="s">
        <v>215</v>
      </c>
      <c r="B4296" t="s">
        <v>230</v>
      </c>
      <c r="C4296" t="s">
        <v>4538</v>
      </c>
    </row>
    <row r="4297" spans="1:3" x14ac:dyDescent="0.35">
      <c r="A4297" t="s">
        <v>215</v>
      </c>
      <c r="B4297" t="s">
        <v>230</v>
      </c>
      <c r="C4297" t="s">
        <v>4539</v>
      </c>
    </row>
    <row r="4298" spans="1:3" x14ac:dyDescent="0.35">
      <c r="A4298" t="s">
        <v>215</v>
      </c>
      <c r="B4298" t="s">
        <v>230</v>
      </c>
      <c r="C4298" t="s">
        <v>4540</v>
      </c>
    </row>
    <row r="4299" spans="1:3" x14ac:dyDescent="0.35">
      <c r="A4299" t="s">
        <v>215</v>
      </c>
      <c r="B4299" t="s">
        <v>230</v>
      </c>
      <c r="C4299" t="s">
        <v>4541</v>
      </c>
    </row>
    <row r="4300" spans="1:3" x14ac:dyDescent="0.35">
      <c r="A4300" t="s">
        <v>215</v>
      </c>
      <c r="B4300" t="s">
        <v>230</v>
      </c>
      <c r="C4300" t="s">
        <v>4542</v>
      </c>
    </row>
    <row r="4301" spans="1:3" x14ac:dyDescent="0.35">
      <c r="A4301" t="s">
        <v>215</v>
      </c>
      <c r="B4301" t="s">
        <v>230</v>
      </c>
      <c r="C4301" t="s">
        <v>4543</v>
      </c>
    </row>
    <row r="4302" spans="1:3" x14ac:dyDescent="0.35">
      <c r="A4302" t="s">
        <v>215</v>
      </c>
      <c r="B4302" t="s">
        <v>230</v>
      </c>
      <c r="C4302" t="s">
        <v>4544</v>
      </c>
    </row>
    <row r="4303" spans="1:3" x14ac:dyDescent="0.35">
      <c r="A4303" t="s">
        <v>215</v>
      </c>
      <c r="B4303" t="s">
        <v>230</v>
      </c>
      <c r="C4303" t="s">
        <v>4545</v>
      </c>
    </row>
    <row r="4304" spans="1:3" x14ac:dyDescent="0.35">
      <c r="A4304" t="s">
        <v>215</v>
      </c>
      <c r="B4304" t="s">
        <v>230</v>
      </c>
      <c r="C4304" t="s">
        <v>4546</v>
      </c>
    </row>
    <row r="4305" spans="1:3" x14ac:dyDescent="0.35">
      <c r="A4305" t="s">
        <v>215</v>
      </c>
      <c r="B4305" t="s">
        <v>230</v>
      </c>
      <c r="C4305" t="s">
        <v>4547</v>
      </c>
    </row>
    <row r="4306" spans="1:3" x14ac:dyDescent="0.35">
      <c r="A4306" t="s">
        <v>215</v>
      </c>
      <c r="B4306" t="s">
        <v>230</v>
      </c>
      <c r="C4306" t="s">
        <v>4548</v>
      </c>
    </row>
    <row r="4307" spans="1:3" x14ac:dyDescent="0.35">
      <c r="A4307" t="s">
        <v>215</v>
      </c>
      <c r="B4307" t="s">
        <v>230</v>
      </c>
      <c r="C4307" t="s">
        <v>4549</v>
      </c>
    </row>
    <row r="4308" spans="1:3" x14ac:dyDescent="0.35">
      <c r="A4308" t="s">
        <v>215</v>
      </c>
      <c r="B4308" t="s">
        <v>230</v>
      </c>
      <c r="C4308" t="s">
        <v>4550</v>
      </c>
    </row>
    <row r="4309" spans="1:3" x14ac:dyDescent="0.35">
      <c r="A4309" t="s">
        <v>215</v>
      </c>
      <c r="B4309" t="s">
        <v>230</v>
      </c>
      <c r="C4309" t="s">
        <v>4551</v>
      </c>
    </row>
    <row r="4310" spans="1:3" x14ac:dyDescent="0.35">
      <c r="A4310" t="s">
        <v>215</v>
      </c>
      <c r="B4310" t="s">
        <v>230</v>
      </c>
      <c r="C4310" t="s">
        <v>4552</v>
      </c>
    </row>
    <row r="4311" spans="1:3" x14ac:dyDescent="0.35">
      <c r="A4311" t="s">
        <v>215</v>
      </c>
      <c r="B4311" t="s">
        <v>230</v>
      </c>
      <c r="C4311" t="s">
        <v>4553</v>
      </c>
    </row>
    <row r="4312" spans="1:3" x14ac:dyDescent="0.35">
      <c r="A4312" t="s">
        <v>215</v>
      </c>
      <c r="B4312" t="s">
        <v>230</v>
      </c>
      <c r="C4312" t="s">
        <v>4554</v>
      </c>
    </row>
    <row r="4313" spans="1:3" x14ac:dyDescent="0.35">
      <c r="A4313" t="s">
        <v>215</v>
      </c>
      <c r="B4313" t="s">
        <v>230</v>
      </c>
      <c r="C4313" t="s">
        <v>4555</v>
      </c>
    </row>
    <row r="4314" spans="1:3" x14ac:dyDescent="0.35">
      <c r="A4314" t="s">
        <v>215</v>
      </c>
      <c r="B4314" t="s">
        <v>230</v>
      </c>
      <c r="C4314" t="s">
        <v>215</v>
      </c>
    </row>
    <row r="4315" spans="1:3" x14ac:dyDescent="0.35">
      <c r="A4315" t="s">
        <v>215</v>
      </c>
      <c r="B4315" t="s">
        <v>230</v>
      </c>
      <c r="C4315" t="s">
        <v>4556</v>
      </c>
    </row>
    <row r="4316" spans="1:3" x14ac:dyDescent="0.35">
      <c r="A4316" t="s">
        <v>215</v>
      </c>
      <c r="B4316" t="s">
        <v>230</v>
      </c>
      <c r="C4316" t="s">
        <v>4557</v>
      </c>
    </row>
    <row r="4317" spans="1:3" x14ac:dyDescent="0.35">
      <c r="A4317" t="s">
        <v>215</v>
      </c>
      <c r="B4317" t="s">
        <v>230</v>
      </c>
      <c r="C4317" t="s">
        <v>4558</v>
      </c>
    </row>
    <row r="4318" spans="1:3" x14ac:dyDescent="0.35">
      <c r="A4318" t="s">
        <v>215</v>
      </c>
      <c r="B4318" t="s">
        <v>230</v>
      </c>
      <c r="C4318" t="s">
        <v>4559</v>
      </c>
    </row>
    <row r="4319" spans="1:3" x14ac:dyDescent="0.35">
      <c r="A4319" t="s">
        <v>215</v>
      </c>
      <c r="B4319" t="s">
        <v>230</v>
      </c>
      <c r="C4319" t="s">
        <v>4560</v>
      </c>
    </row>
    <row r="4320" spans="1:3" x14ac:dyDescent="0.35">
      <c r="A4320" t="s">
        <v>215</v>
      </c>
      <c r="B4320" t="s">
        <v>230</v>
      </c>
      <c r="C4320" t="s">
        <v>4561</v>
      </c>
    </row>
    <row r="4321" spans="1:3" x14ac:dyDescent="0.35">
      <c r="A4321" t="s">
        <v>215</v>
      </c>
      <c r="B4321" t="s">
        <v>230</v>
      </c>
      <c r="C4321" t="s">
        <v>4562</v>
      </c>
    </row>
    <row r="4322" spans="1:3" x14ac:dyDescent="0.35">
      <c r="A4322" t="s">
        <v>215</v>
      </c>
      <c r="B4322" t="s">
        <v>230</v>
      </c>
      <c r="C4322" t="s">
        <v>4563</v>
      </c>
    </row>
    <row r="4323" spans="1:3" x14ac:dyDescent="0.35">
      <c r="A4323" t="s">
        <v>215</v>
      </c>
      <c r="B4323" t="s">
        <v>230</v>
      </c>
      <c r="C4323" t="s">
        <v>4564</v>
      </c>
    </row>
    <row r="4324" spans="1:3" x14ac:dyDescent="0.35">
      <c r="A4324" t="s">
        <v>215</v>
      </c>
      <c r="B4324" t="s">
        <v>230</v>
      </c>
      <c r="C4324" t="s">
        <v>4565</v>
      </c>
    </row>
    <row r="4325" spans="1:3" x14ac:dyDescent="0.35">
      <c r="A4325" t="s">
        <v>215</v>
      </c>
      <c r="B4325" t="s">
        <v>230</v>
      </c>
      <c r="C4325" t="s">
        <v>4566</v>
      </c>
    </row>
    <row r="4326" spans="1:3" x14ac:dyDescent="0.35">
      <c r="A4326" t="s">
        <v>215</v>
      </c>
      <c r="B4326" t="s">
        <v>230</v>
      </c>
      <c r="C4326" t="s">
        <v>4567</v>
      </c>
    </row>
    <row r="4327" spans="1:3" x14ac:dyDescent="0.35">
      <c r="A4327" t="s">
        <v>215</v>
      </c>
      <c r="B4327" t="s">
        <v>230</v>
      </c>
      <c r="C4327" t="s">
        <v>4568</v>
      </c>
    </row>
    <row r="4328" spans="1:3" x14ac:dyDescent="0.35">
      <c r="A4328" t="s">
        <v>215</v>
      </c>
      <c r="B4328" t="s">
        <v>230</v>
      </c>
      <c r="C4328" t="s">
        <v>4569</v>
      </c>
    </row>
    <row r="4329" spans="1:3" x14ac:dyDescent="0.35">
      <c r="A4329" t="s">
        <v>215</v>
      </c>
      <c r="B4329" t="s">
        <v>230</v>
      </c>
      <c r="C4329" t="s">
        <v>4570</v>
      </c>
    </row>
    <row r="4330" spans="1:3" x14ac:dyDescent="0.35">
      <c r="A4330" t="s">
        <v>215</v>
      </c>
      <c r="B4330" t="s">
        <v>230</v>
      </c>
      <c r="C4330" t="s">
        <v>4571</v>
      </c>
    </row>
    <row r="4331" spans="1:3" x14ac:dyDescent="0.35">
      <c r="A4331" t="s">
        <v>215</v>
      </c>
      <c r="B4331" t="s">
        <v>230</v>
      </c>
      <c r="C4331" t="s">
        <v>4572</v>
      </c>
    </row>
    <row r="4332" spans="1:3" x14ac:dyDescent="0.35">
      <c r="A4332" t="s">
        <v>215</v>
      </c>
      <c r="B4332" t="s">
        <v>230</v>
      </c>
      <c r="C4332" t="s">
        <v>4573</v>
      </c>
    </row>
    <row r="4333" spans="1:3" x14ac:dyDescent="0.35">
      <c r="A4333" t="s">
        <v>215</v>
      </c>
      <c r="B4333" t="s">
        <v>230</v>
      </c>
      <c r="C4333" t="s">
        <v>4574</v>
      </c>
    </row>
    <row r="4334" spans="1:3" x14ac:dyDescent="0.35">
      <c r="A4334" t="s">
        <v>215</v>
      </c>
      <c r="B4334" t="s">
        <v>230</v>
      </c>
      <c r="C4334" t="s">
        <v>4575</v>
      </c>
    </row>
    <row r="4335" spans="1:3" x14ac:dyDescent="0.35">
      <c r="A4335" t="s">
        <v>215</v>
      </c>
      <c r="B4335" t="s">
        <v>230</v>
      </c>
      <c r="C4335" t="s">
        <v>4576</v>
      </c>
    </row>
    <row r="4336" spans="1:3" x14ac:dyDescent="0.35">
      <c r="A4336" t="s">
        <v>215</v>
      </c>
      <c r="B4336" t="s">
        <v>230</v>
      </c>
      <c r="C4336" t="s">
        <v>4577</v>
      </c>
    </row>
    <row r="4337" spans="1:3" x14ac:dyDescent="0.35">
      <c r="A4337" t="s">
        <v>215</v>
      </c>
      <c r="B4337" t="s">
        <v>230</v>
      </c>
      <c r="C4337" t="s">
        <v>4578</v>
      </c>
    </row>
    <row r="4338" spans="1:3" x14ac:dyDescent="0.35">
      <c r="A4338" t="s">
        <v>215</v>
      </c>
      <c r="B4338" t="s">
        <v>230</v>
      </c>
      <c r="C4338" t="s">
        <v>4579</v>
      </c>
    </row>
    <row r="4339" spans="1:3" x14ac:dyDescent="0.35">
      <c r="A4339" t="s">
        <v>215</v>
      </c>
      <c r="B4339" t="s">
        <v>230</v>
      </c>
      <c r="C4339" t="s">
        <v>4580</v>
      </c>
    </row>
    <row r="4340" spans="1:3" x14ac:dyDescent="0.35">
      <c r="A4340" t="s">
        <v>215</v>
      </c>
      <c r="B4340" t="s">
        <v>230</v>
      </c>
      <c r="C4340" t="s">
        <v>4581</v>
      </c>
    </row>
    <row r="4341" spans="1:3" x14ac:dyDescent="0.35">
      <c r="A4341" t="s">
        <v>215</v>
      </c>
      <c r="B4341" t="s">
        <v>230</v>
      </c>
      <c r="C4341" t="s">
        <v>4582</v>
      </c>
    </row>
    <row r="4342" spans="1:3" x14ac:dyDescent="0.35">
      <c r="A4342" t="s">
        <v>215</v>
      </c>
      <c r="B4342" t="s">
        <v>230</v>
      </c>
      <c r="C4342" t="s">
        <v>4583</v>
      </c>
    </row>
    <row r="4343" spans="1:3" x14ac:dyDescent="0.35">
      <c r="A4343" t="s">
        <v>215</v>
      </c>
      <c r="B4343" t="s">
        <v>230</v>
      </c>
      <c r="C4343" t="s">
        <v>4584</v>
      </c>
    </row>
    <row r="4344" spans="1:3" x14ac:dyDescent="0.35">
      <c r="A4344" t="s">
        <v>215</v>
      </c>
      <c r="B4344" t="s">
        <v>230</v>
      </c>
      <c r="C4344" t="s">
        <v>4585</v>
      </c>
    </row>
    <row r="4345" spans="1:3" x14ac:dyDescent="0.35">
      <c r="A4345" t="s">
        <v>215</v>
      </c>
      <c r="B4345" t="s">
        <v>230</v>
      </c>
      <c r="C4345" t="s">
        <v>4586</v>
      </c>
    </row>
    <row r="4346" spans="1:3" x14ac:dyDescent="0.35">
      <c r="A4346" t="s">
        <v>215</v>
      </c>
      <c r="B4346" t="s">
        <v>230</v>
      </c>
      <c r="C4346" t="s">
        <v>4587</v>
      </c>
    </row>
    <row r="4347" spans="1:3" x14ac:dyDescent="0.35">
      <c r="A4347" t="s">
        <v>215</v>
      </c>
      <c r="B4347" t="s">
        <v>230</v>
      </c>
      <c r="C4347" t="s">
        <v>4588</v>
      </c>
    </row>
    <row r="4348" spans="1:3" x14ac:dyDescent="0.35">
      <c r="A4348" t="s">
        <v>215</v>
      </c>
      <c r="B4348" t="s">
        <v>230</v>
      </c>
      <c r="C4348" t="s">
        <v>4589</v>
      </c>
    </row>
    <row r="4349" spans="1:3" x14ac:dyDescent="0.35">
      <c r="A4349" t="s">
        <v>215</v>
      </c>
      <c r="B4349" t="s">
        <v>230</v>
      </c>
      <c r="C4349" t="s">
        <v>4590</v>
      </c>
    </row>
    <row r="4350" spans="1:3" x14ac:dyDescent="0.35">
      <c r="A4350" t="s">
        <v>215</v>
      </c>
      <c r="B4350" t="s">
        <v>230</v>
      </c>
      <c r="C4350" t="s">
        <v>4591</v>
      </c>
    </row>
    <row r="4351" spans="1:3" x14ac:dyDescent="0.35">
      <c r="A4351" t="s">
        <v>215</v>
      </c>
      <c r="B4351" t="s">
        <v>230</v>
      </c>
      <c r="C4351" t="s">
        <v>4592</v>
      </c>
    </row>
    <row r="4352" spans="1:3" x14ac:dyDescent="0.35">
      <c r="A4352" t="s">
        <v>215</v>
      </c>
      <c r="B4352" t="s">
        <v>230</v>
      </c>
      <c r="C4352" t="s">
        <v>4593</v>
      </c>
    </row>
    <row r="4353" spans="1:3" x14ac:dyDescent="0.35">
      <c r="A4353" t="s">
        <v>215</v>
      </c>
      <c r="B4353" t="s">
        <v>230</v>
      </c>
      <c r="C4353" t="s">
        <v>4594</v>
      </c>
    </row>
    <row r="4354" spans="1:3" x14ac:dyDescent="0.35">
      <c r="A4354" t="s">
        <v>215</v>
      </c>
      <c r="B4354" t="s">
        <v>230</v>
      </c>
      <c r="C4354" t="s">
        <v>4595</v>
      </c>
    </row>
    <row r="4355" spans="1:3" x14ac:dyDescent="0.35">
      <c r="A4355" t="s">
        <v>215</v>
      </c>
      <c r="B4355" t="s">
        <v>230</v>
      </c>
      <c r="C4355" t="s">
        <v>4596</v>
      </c>
    </row>
    <row r="4356" spans="1:3" x14ac:dyDescent="0.35">
      <c r="A4356" t="s">
        <v>215</v>
      </c>
      <c r="B4356" t="s">
        <v>230</v>
      </c>
      <c r="C4356" t="s">
        <v>4597</v>
      </c>
    </row>
    <row r="4357" spans="1:3" x14ac:dyDescent="0.35">
      <c r="A4357" t="s">
        <v>215</v>
      </c>
      <c r="B4357" t="s">
        <v>230</v>
      </c>
      <c r="C4357" t="s">
        <v>4598</v>
      </c>
    </row>
    <row r="4358" spans="1:3" x14ac:dyDescent="0.35">
      <c r="A4358" t="s">
        <v>215</v>
      </c>
      <c r="B4358" t="s">
        <v>230</v>
      </c>
      <c r="C4358" t="s">
        <v>4599</v>
      </c>
    </row>
    <row r="4359" spans="1:3" x14ac:dyDescent="0.35">
      <c r="A4359" t="s">
        <v>215</v>
      </c>
      <c r="B4359" t="s">
        <v>230</v>
      </c>
      <c r="C4359" t="s">
        <v>4600</v>
      </c>
    </row>
    <row r="4360" spans="1:3" x14ac:dyDescent="0.35">
      <c r="A4360" t="s">
        <v>215</v>
      </c>
      <c r="B4360" t="s">
        <v>243</v>
      </c>
      <c r="C4360" t="s">
        <v>4601</v>
      </c>
    </row>
    <row r="4361" spans="1:3" x14ac:dyDescent="0.35">
      <c r="A4361" t="s">
        <v>215</v>
      </c>
      <c r="B4361" t="s">
        <v>243</v>
      </c>
      <c r="C4361" t="s">
        <v>4602</v>
      </c>
    </row>
    <row r="4362" spans="1:3" x14ac:dyDescent="0.35">
      <c r="A4362" t="s">
        <v>215</v>
      </c>
      <c r="B4362" t="s">
        <v>243</v>
      </c>
      <c r="C4362" t="s">
        <v>4603</v>
      </c>
    </row>
    <row r="4363" spans="1:3" x14ac:dyDescent="0.35">
      <c r="A4363" t="s">
        <v>215</v>
      </c>
      <c r="B4363" t="s">
        <v>243</v>
      </c>
      <c r="C4363" t="s">
        <v>4604</v>
      </c>
    </row>
    <row r="4364" spans="1:3" x14ac:dyDescent="0.35">
      <c r="A4364" t="s">
        <v>215</v>
      </c>
      <c r="B4364" t="s">
        <v>243</v>
      </c>
      <c r="C4364" t="s">
        <v>4605</v>
      </c>
    </row>
    <row r="4365" spans="1:3" x14ac:dyDescent="0.35">
      <c r="A4365" t="s">
        <v>215</v>
      </c>
      <c r="B4365" t="s">
        <v>243</v>
      </c>
      <c r="C4365" t="s">
        <v>4606</v>
      </c>
    </row>
    <row r="4366" spans="1:3" x14ac:dyDescent="0.35">
      <c r="A4366" t="s">
        <v>215</v>
      </c>
      <c r="B4366" t="s">
        <v>243</v>
      </c>
      <c r="C4366" t="s">
        <v>4607</v>
      </c>
    </row>
    <row r="4367" spans="1:3" x14ac:dyDescent="0.35">
      <c r="A4367" t="s">
        <v>215</v>
      </c>
      <c r="B4367" t="s">
        <v>243</v>
      </c>
      <c r="C4367" t="s">
        <v>4608</v>
      </c>
    </row>
    <row r="4368" spans="1:3" x14ac:dyDescent="0.35">
      <c r="A4368" t="s">
        <v>215</v>
      </c>
      <c r="B4368" t="s">
        <v>243</v>
      </c>
      <c r="C4368" t="s">
        <v>4609</v>
      </c>
    </row>
    <row r="4369" spans="1:3" x14ac:dyDescent="0.35">
      <c r="A4369" t="s">
        <v>215</v>
      </c>
      <c r="B4369" t="s">
        <v>243</v>
      </c>
      <c r="C4369" t="s">
        <v>4610</v>
      </c>
    </row>
    <row r="4370" spans="1:3" x14ac:dyDescent="0.35">
      <c r="A4370" t="s">
        <v>215</v>
      </c>
      <c r="B4370" t="s">
        <v>243</v>
      </c>
      <c r="C4370" t="s">
        <v>4611</v>
      </c>
    </row>
    <row r="4371" spans="1:3" x14ac:dyDescent="0.35">
      <c r="A4371" t="s">
        <v>215</v>
      </c>
      <c r="B4371" t="s">
        <v>243</v>
      </c>
      <c r="C4371" t="s">
        <v>4612</v>
      </c>
    </row>
    <row r="4372" spans="1:3" x14ac:dyDescent="0.35">
      <c r="A4372" t="s">
        <v>215</v>
      </c>
      <c r="B4372" t="s">
        <v>243</v>
      </c>
      <c r="C4372" t="s">
        <v>4613</v>
      </c>
    </row>
    <row r="4373" spans="1:3" x14ac:dyDescent="0.35">
      <c r="A4373" t="s">
        <v>215</v>
      </c>
      <c r="B4373" t="s">
        <v>243</v>
      </c>
      <c r="C4373" t="s">
        <v>4614</v>
      </c>
    </row>
    <row r="4374" spans="1:3" x14ac:dyDescent="0.35">
      <c r="A4374" t="s">
        <v>215</v>
      </c>
      <c r="B4374" t="s">
        <v>243</v>
      </c>
      <c r="C4374" t="s">
        <v>4615</v>
      </c>
    </row>
    <row r="4375" spans="1:3" x14ac:dyDescent="0.35">
      <c r="A4375" t="s">
        <v>215</v>
      </c>
      <c r="B4375" t="s">
        <v>243</v>
      </c>
      <c r="C4375" t="s">
        <v>4616</v>
      </c>
    </row>
    <row r="4376" spans="1:3" x14ac:dyDescent="0.35">
      <c r="A4376" t="s">
        <v>215</v>
      </c>
      <c r="B4376" t="s">
        <v>243</v>
      </c>
      <c r="C4376" t="s">
        <v>4617</v>
      </c>
    </row>
    <row r="4377" spans="1:3" x14ac:dyDescent="0.35">
      <c r="A4377" t="s">
        <v>215</v>
      </c>
      <c r="B4377" t="s">
        <v>243</v>
      </c>
      <c r="C4377" t="s">
        <v>4618</v>
      </c>
    </row>
    <row r="4378" spans="1:3" x14ac:dyDescent="0.35">
      <c r="A4378" t="s">
        <v>215</v>
      </c>
      <c r="B4378" t="s">
        <v>243</v>
      </c>
      <c r="C4378" t="s">
        <v>4619</v>
      </c>
    </row>
    <row r="4379" spans="1:3" x14ac:dyDescent="0.35">
      <c r="A4379" t="s">
        <v>215</v>
      </c>
      <c r="B4379" t="s">
        <v>243</v>
      </c>
      <c r="C4379" t="s">
        <v>4620</v>
      </c>
    </row>
    <row r="4380" spans="1:3" x14ac:dyDescent="0.35">
      <c r="A4380" t="s">
        <v>215</v>
      </c>
      <c r="B4380" t="s">
        <v>243</v>
      </c>
      <c r="C4380" t="s">
        <v>4621</v>
      </c>
    </row>
    <row r="4381" spans="1:3" x14ac:dyDescent="0.35">
      <c r="A4381" t="s">
        <v>215</v>
      </c>
      <c r="B4381" t="s">
        <v>243</v>
      </c>
      <c r="C4381" t="s">
        <v>4622</v>
      </c>
    </row>
    <row r="4382" spans="1:3" x14ac:dyDescent="0.35">
      <c r="A4382" t="s">
        <v>215</v>
      </c>
      <c r="B4382" t="s">
        <v>243</v>
      </c>
      <c r="C4382" t="s">
        <v>243</v>
      </c>
    </row>
    <row r="4383" spans="1:3" x14ac:dyDescent="0.35">
      <c r="A4383" t="s">
        <v>215</v>
      </c>
      <c r="B4383" t="s">
        <v>243</v>
      </c>
      <c r="C4383" t="s">
        <v>4623</v>
      </c>
    </row>
    <row r="4384" spans="1:3" x14ac:dyDescent="0.35">
      <c r="A4384" t="s">
        <v>215</v>
      </c>
      <c r="B4384" t="s">
        <v>243</v>
      </c>
      <c r="C4384" t="s">
        <v>4624</v>
      </c>
    </row>
    <row r="4385" spans="1:3" x14ac:dyDescent="0.35">
      <c r="A4385" t="s">
        <v>215</v>
      </c>
      <c r="B4385" t="s">
        <v>243</v>
      </c>
      <c r="C4385" t="s">
        <v>4625</v>
      </c>
    </row>
    <row r="4386" spans="1:3" x14ac:dyDescent="0.35">
      <c r="A4386" t="s">
        <v>215</v>
      </c>
      <c r="B4386" t="s">
        <v>243</v>
      </c>
      <c r="C4386" t="s">
        <v>4626</v>
      </c>
    </row>
    <row r="4387" spans="1:3" x14ac:dyDescent="0.35">
      <c r="A4387" t="s">
        <v>215</v>
      </c>
      <c r="B4387" t="s">
        <v>243</v>
      </c>
      <c r="C4387" t="s">
        <v>4627</v>
      </c>
    </row>
    <row r="4388" spans="1:3" x14ac:dyDescent="0.35">
      <c r="A4388" t="s">
        <v>215</v>
      </c>
      <c r="B4388" t="s">
        <v>243</v>
      </c>
      <c r="C4388" t="s">
        <v>4628</v>
      </c>
    </row>
    <row r="4389" spans="1:3" x14ac:dyDescent="0.35">
      <c r="A4389" t="s">
        <v>215</v>
      </c>
      <c r="B4389" t="s">
        <v>243</v>
      </c>
      <c r="C4389" t="s">
        <v>4629</v>
      </c>
    </row>
    <row r="4390" spans="1:3" x14ac:dyDescent="0.35">
      <c r="A4390" t="s">
        <v>215</v>
      </c>
      <c r="B4390" t="s">
        <v>243</v>
      </c>
      <c r="C4390" t="s">
        <v>4630</v>
      </c>
    </row>
    <row r="4391" spans="1:3" x14ac:dyDescent="0.35">
      <c r="A4391" t="s">
        <v>215</v>
      </c>
      <c r="B4391" t="s">
        <v>243</v>
      </c>
      <c r="C4391" t="s">
        <v>4631</v>
      </c>
    </row>
    <row r="4392" spans="1:3" x14ac:dyDescent="0.35">
      <c r="A4392" t="s">
        <v>215</v>
      </c>
      <c r="B4392" t="s">
        <v>243</v>
      </c>
      <c r="C4392" t="s">
        <v>4632</v>
      </c>
    </row>
    <row r="4393" spans="1:3" x14ac:dyDescent="0.35">
      <c r="A4393" t="s">
        <v>215</v>
      </c>
      <c r="B4393" t="s">
        <v>243</v>
      </c>
      <c r="C4393" t="s">
        <v>4633</v>
      </c>
    </row>
    <row r="4394" spans="1:3" x14ac:dyDescent="0.35">
      <c r="A4394" t="s">
        <v>215</v>
      </c>
      <c r="B4394" t="s">
        <v>243</v>
      </c>
      <c r="C4394" t="s">
        <v>4634</v>
      </c>
    </row>
    <row r="4395" spans="1:3" x14ac:dyDescent="0.35">
      <c r="A4395" t="s">
        <v>215</v>
      </c>
      <c r="B4395" t="s">
        <v>243</v>
      </c>
      <c r="C4395" t="s">
        <v>4635</v>
      </c>
    </row>
    <row r="4396" spans="1:3" x14ac:dyDescent="0.35">
      <c r="A4396" t="s">
        <v>215</v>
      </c>
      <c r="B4396" t="s">
        <v>243</v>
      </c>
      <c r="C4396" t="s">
        <v>4636</v>
      </c>
    </row>
    <row r="4397" spans="1:3" x14ac:dyDescent="0.35">
      <c r="A4397" t="s">
        <v>215</v>
      </c>
      <c r="B4397" t="s">
        <v>243</v>
      </c>
      <c r="C4397" t="s">
        <v>4637</v>
      </c>
    </row>
    <row r="4398" spans="1:3" x14ac:dyDescent="0.35">
      <c r="A4398" t="s">
        <v>215</v>
      </c>
      <c r="B4398" t="s">
        <v>243</v>
      </c>
      <c r="C4398" t="s">
        <v>4638</v>
      </c>
    </row>
    <row r="4399" spans="1:3" x14ac:dyDescent="0.35">
      <c r="A4399" t="s">
        <v>215</v>
      </c>
      <c r="B4399" t="s">
        <v>243</v>
      </c>
      <c r="C4399" t="s">
        <v>4639</v>
      </c>
    </row>
    <row r="4400" spans="1:3" x14ac:dyDescent="0.35">
      <c r="A4400" t="s">
        <v>215</v>
      </c>
      <c r="B4400" t="s">
        <v>243</v>
      </c>
      <c r="C4400" t="s">
        <v>4640</v>
      </c>
    </row>
    <row r="4401" spans="1:3" x14ac:dyDescent="0.35">
      <c r="A4401" t="s">
        <v>215</v>
      </c>
      <c r="B4401" t="s">
        <v>243</v>
      </c>
      <c r="C4401" t="s">
        <v>4641</v>
      </c>
    </row>
    <row r="4402" spans="1:3" x14ac:dyDescent="0.35">
      <c r="A4402" t="s">
        <v>215</v>
      </c>
      <c r="B4402" t="s">
        <v>243</v>
      </c>
      <c r="C4402" t="s">
        <v>4642</v>
      </c>
    </row>
    <row r="4403" spans="1:3" x14ac:dyDescent="0.35">
      <c r="A4403" t="s">
        <v>215</v>
      </c>
      <c r="B4403" t="s">
        <v>243</v>
      </c>
      <c r="C4403" t="s">
        <v>4643</v>
      </c>
    </row>
    <row r="4404" spans="1:3" x14ac:dyDescent="0.35">
      <c r="A4404" t="s">
        <v>215</v>
      </c>
      <c r="B4404" t="s">
        <v>243</v>
      </c>
      <c r="C4404" t="s">
        <v>4644</v>
      </c>
    </row>
    <row r="4405" spans="1:3" x14ac:dyDescent="0.35">
      <c r="A4405" t="s">
        <v>215</v>
      </c>
      <c r="B4405" t="s">
        <v>243</v>
      </c>
      <c r="C4405" t="s">
        <v>4645</v>
      </c>
    </row>
    <row r="4406" spans="1:3" x14ac:dyDescent="0.35">
      <c r="A4406" t="s">
        <v>215</v>
      </c>
      <c r="B4406" t="s">
        <v>243</v>
      </c>
      <c r="C4406" t="s">
        <v>4646</v>
      </c>
    </row>
    <row r="4407" spans="1:3" x14ac:dyDescent="0.35">
      <c r="A4407" t="s">
        <v>215</v>
      </c>
      <c r="B4407" t="s">
        <v>243</v>
      </c>
      <c r="C4407" t="s">
        <v>4647</v>
      </c>
    </row>
    <row r="4408" spans="1:3" x14ac:dyDescent="0.35">
      <c r="A4408" t="s">
        <v>215</v>
      </c>
      <c r="B4408" t="s">
        <v>243</v>
      </c>
      <c r="C4408" t="s">
        <v>4648</v>
      </c>
    </row>
    <row r="4409" spans="1:3" x14ac:dyDescent="0.35">
      <c r="A4409" t="s">
        <v>215</v>
      </c>
      <c r="B4409" t="s">
        <v>243</v>
      </c>
      <c r="C4409" t="s">
        <v>4649</v>
      </c>
    </row>
    <row r="4410" spans="1:3" x14ac:dyDescent="0.35">
      <c r="A4410" t="s">
        <v>215</v>
      </c>
      <c r="B4410" t="s">
        <v>243</v>
      </c>
      <c r="C4410" t="s">
        <v>4650</v>
      </c>
    </row>
    <row r="4411" spans="1:3" x14ac:dyDescent="0.35">
      <c r="A4411" t="s">
        <v>215</v>
      </c>
      <c r="B4411" t="s">
        <v>243</v>
      </c>
      <c r="C4411" t="s">
        <v>4651</v>
      </c>
    </row>
    <row r="4412" spans="1:3" x14ac:dyDescent="0.35">
      <c r="A4412" t="s">
        <v>216</v>
      </c>
      <c r="B4412" t="s">
        <v>231</v>
      </c>
      <c r="C4412" t="s">
        <v>4652</v>
      </c>
    </row>
    <row r="4413" spans="1:3" x14ac:dyDescent="0.35">
      <c r="A4413" t="s">
        <v>216</v>
      </c>
      <c r="B4413" t="s">
        <v>231</v>
      </c>
      <c r="C4413" t="s">
        <v>4653</v>
      </c>
    </row>
    <row r="4414" spans="1:3" x14ac:dyDescent="0.35">
      <c r="A4414" t="s">
        <v>216</v>
      </c>
      <c r="B4414" t="s">
        <v>231</v>
      </c>
      <c r="C4414" t="s">
        <v>231</v>
      </c>
    </row>
    <row r="4415" spans="1:3" x14ac:dyDescent="0.35">
      <c r="A4415" t="s">
        <v>216</v>
      </c>
      <c r="B4415" t="s">
        <v>231</v>
      </c>
      <c r="C4415" t="s">
        <v>4654</v>
      </c>
    </row>
    <row r="4416" spans="1:3" x14ac:dyDescent="0.35">
      <c r="A4416" t="s">
        <v>216</v>
      </c>
      <c r="B4416" t="s">
        <v>231</v>
      </c>
      <c r="C4416" t="s">
        <v>4655</v>
      </c>
    </row>
    <row r="4417" spans="1:3" x14ac:dyDescent="0.35">
      <c r="A4417" t="s">
        <v>216</v>
      </c>
      <c r="B4417" t="s">
        <v>231</v>
      </c>
      <c r="C4417" t="s">
        <v>4656</v>
      </c>
    </row>
    <row r="4418" spans="1:3" x14ac:dyDescent="0.35">
      <c r="A4418" t="s">
        <v>216</v>
      </c>
      <c r="B4418" t="s">
        <v>231</v>
      </c>
      <c r="C4418" t="s">
        <v>4657</v>
      </c>
    </row>
    <row r="4419" spans="1:3" x14ac:dyDescent="0.35">
      <c r="A4419" t="s">
        <v>216</v>
      </c>
      <c r="B4419" t="s">
        <v>231</v>
      </c>
      <c r="C4419" t="s">
        <v>4658</v>
      </c>
    </row>
    <row r="4420" spans="1:3" x14ac:dyDescent="0.35">
      <c r="A4420" t="s">
        <v>216</v>
      </c>
      <c r="B4420" t="s">
        <v>231</v>
      </c>
      <c r="C4420" t="s">
        <v>4659</v>
      </c>
    </row>
    <row r="4421" spans="1:3" x14ac:dyDescent="0.35">
      <c r="A4421" t="s">
        <v>216</v>
      </c>
      <c r="B4421" t="s">
        <v>231</v>
      </c>
      <c r="C4421" t="s">
        <v>4660</v>
      </c>
    </row>
    <row r="4422" spans="1:3" x14ac:dyDescent="0.35">
      <c r="A4422" t="s">
        <v>216</v>
      </c>
      <c r="B4422" t="s">
        <v>231</v>
      </c>
      <c r="C4422" t="s">
        <v>4661</v>
      </c>
    </row>
    <row r="4423" spans="1:3" x14ac:dyDescent="0.35">
      <c r="A4423" t="s">
        <v>216</v>
      </c>
      <c r="B4423" t="s">
        <v>231</v>
      </c>
      <c r="C4423" t="s">
        <v>4662</v>
      </c>
    </row>
    <row r="4424" spans="1:3" x14ac:dyDescent="0.35">
      <c r="A4424" t="s">
        <v>216</v>
      </c>
      <c r="B4424" t="s">
        <v>231</v>
      </c>
      <c r="C4424" t="s">
        <v>4663</v>
      </c>
    </row>
    <row r="4425" spans="1:3" x14ac:dyDescent="0.35">
      <c r="A4425" t="s">
        <v>216</v>
      </c>
      <c r="B4425" t="s">
        <v>231</v>
      </c>
      <c r="C4425" t="s">
        <v>4664</v>
      </c>
    </row>
    <row r="4426" spans="1:3" x14ac:dyDescent="0.35">
      <c r="A4426" t="s">
        <v>216</v>
      </c>
      <c r="B4426" t="s">
        <v>231</v>
      </c>
      <c r="C4426" t="s">
        <v>4665</v>
      </c>
    </row>
    <row r="4427" spans="1:3" x14ac:dyDescent="0.35">
      <c r="A4427" t="s">
        <v>216</v>
      </c>
      <c r="B4427" t="s">
        <v>231</v>
      </c>
      <c r="C4427" t="s">
        <v>4666</v>
      </c>
    </row>
    <row r="4428" spans="1:3" x14ac:dyDescent="0.35">
      <c r="A4428" t="s">
        <v>216</v>
      </c>
      <c r="B4428" t="s">
        <v>231</v>
      </c>
      <c r="C4428" t="s">
        <v>4667</v>
      </c>
    </row>
    <row r="4429" spans="1:3" x14ac:dyDescent="0.35">
      <c r="A4429" t="s">
        <v>216</v>
      </c>
      <c r="B4429" t="s">
        <v>231</v>
      </c>
      <c r="C4429" t="s">
        <v>4668</v>
      </c>
    </row>
    <row r="4430" spans="1:3" x14ac:dyDescent="0.35">
      <c r="A4430" t="s">
        <v>216</v>
      </c>
      <c r="B4430" t="s">
        <v>231</v>
      </c>
      <c r="C4430" t="s">
        <v>4669</v>
      </c>
    </row>
    <row r="4431" spans="1:3" x14ac:dyDescent="0.35">
      <c r="A4431" t="s">
        <v>216</v>
      </c>
      <c r="B4431" t="s">
        <v>231</v>
      </c>
      <c r="C4431" t="s">
        <v>4670</v>
      </c>
    </row>
    <row r="4432" spans="1:3" x14ac:dyDescent="0.35">
      <c r="A4432" t="s">
        <v>216</v>
      </c>
      <c r="B4432" t="s">
        <v>231</v>
      </c>
      <c r="C4432" t="s">
        <v>4671</v>
      </c>
    </row>
    <row r="4433" spans="1:3" x14ac:dyDescent="0.35">
      <c r="A4433" t="s">
        <v>216</v>
      </c>
      <c r="B4433" t="s">
        <v>231</v>
      </c>
      <c r="C4433" t="s">
        <v>4672</v>
      </c>
    </row>
    <row r="4434" spans="1:3" x14ac:dyDescent="0.35">
      <c r="A4434" t="s">
        <v>216</v>
      </c>
      <c r="B4434" t="s">
        <v>231</v>
      </c>
      <c r="C4434" t="s">
        <v>4673</v>
      </c>
    </row>
    <row r="4435" spans="1:3" x14ac:dyDescent="0.35">
      <c r="A4435" t="s">
        <v>216</v>
      </c>
      <c r="B4435" t="s">
        <v>231</v>
      </c>
      <c r="C4435" t="s">
        <v>4674</v>
      </c>
    </row>
    <row r="4436" spans="1:3" x14ac:dyDescent="0.35">
      <c r="A4436" t="s">
        <v>216</v>
      </c>
      <c r="B4436" t="s">
        <v>231</v>
      </c>
      <c r="C4436" t="s">
        <v>4675</v>
      </c>
    </row>
    <row r="4437" spans="1:3" x14ac:dyDescent="0.35">
      <c r="A4437" t="s">
        <v>216</v>
      </c>
      <c r="B4437" t="s">
        <v>231</v>
      </c>
      <c r="C4437" t="s">
        <v>4676</v>
      </c>
    </row>
    <row r="4438" spans="1:3" x14ac:dyDescent="0.35">
      <c r="A4438" t="s">
        <v>216</v>
      </c>
      <c r="B4438" t="s">
        <v>231</v>
      </c>
      <c r="C4438" t="s">
        <v>4677</v>
      </c>
    </row>
    <row r="4439" spans="1:3" x14ac:dyDescent="0.35">
      <c r="A4439" t="s">
        <v>216</v>
      </c>
      <c r="B4439" t="s">
        <v>231</v>
      </c>
      <c r="C4439" t="s">
        <v>4678</v>
      </c>
    </row>
    <row r="4440" spans="1:3" x14ac:dyDescent="0.35">
      <c r="A4440" t="s">
        <v>216</v>
      </c>
      <c r="B4440" t="s">
        <v>231</v>
      </c>
      <c r="C4440" t="s">
        <v>4679</v>
      </c>
    </row>
    <row r="4441" spans="1:3" x14ac:dyDescent="0.35">
      <c r="A4441" t="s">
        <v>216</v>
      </c>
      <c r="B4441" t="s">
        <v>231</v>
      </c>
      <c r="C4441" t="s">
        <v>4680</v>
      </c>
    </row>
    <row r="4442" spans="1:3" x14ac:dyDescent="0.35">
      <c r="A4442" t="s">
        <v>216</v>
      </c>
      <c r="B4442" t="s">
        <v>231</v>
      </c>
      <c r="C4442" t="s">
        <v>4681</v>
      </c>
    </row>
    <row r="4443" spans="1:3" x14ac:dyDescent="0.35">
      <c r="A4443" t="s">
        <v>216</v>
      </c>
      <c r="B4443" t="s">
        <v>231</v>
      </c>
      <c r="C4443" t="s">
        <v>4682</v>
      </c>
    </row>
    <row r="4444" spans="1:3" x14ac:dyDescent="0.35">
      <c r="A4444" t="s">
        <v>216</v>
      </c>
      <c r="B4444" t="s">
        <v>231</v>
      </c>
      <c r="C4444" t="s">
        <v>4683</v>
      </c>
    </row>
    <row r="4445" spans="1:3" x14ac:dyDescent="0.35">
      <c r="A4445" t="s">
        <v>216</v>
      </c>
      <c r="B4445" t="s">
        <v>231</v>
      </c>
      <c r="C4445" t="s">
        <v>4684</v>
      </c>
    </row>
    <row r="4446" spans="1:3" x14ac:dyDescent="0.35">
      <c r="A4446" t="s">
        <v>216</v>
      </c>
      <c r="B4446" t="s">
        <v>231</v>
      </c>
      <c r="C4446" t="s">
        <v>4685</v>
      </c>
    </row>
    <row r="4447" spans="1:3" x14ac:dyDescent="0.35">
      <c r="A4447" t="s">
        <v>216</v>
      </c>
      <c r="B4447" t="s">
        <v>231</v>
      </c>
      <c r="C4447" t="s">
        <v>4686</v>
      </c>
    </row>
    <row r="4448" spans="1:3" x14ac:dyDescent="0.35">
      <c r="A4448" t="s">
        <v>216</v>
      </c>
      <c r="B4448" t="s">
        <v>231</v>
      </c>
      <c r="C4448" t="s">
        <v>4687</v>
      </c>
    </row>
    <row r="4449" spans="1:3" x14ac:dyDescent="0.35">
      <c r="A4449" t="s">
        <v>216</v>
      </c>
      <c r="B4449" t="s">
        <v>231</v>
      </c>
      <c r="C4449" t="s">
        <v>4688</v>
      </c>
    </row>
    <row r="4450" spans="1:3" x14ac:dyDescent="0.35">
      <c r="A4450" t="s">
        <v>216</v>
      </c>
      <c r="B4450" t="s">
        <v>231</v>
      </c>
      <c r="C4450" t="s">
        <v>4689</v>
      </c>
    </row>
    <row r="4451" spans="1:3" x14ac:dyDescent="0.35">
      <c r="A4451" t="s">
        <v>216</v>
      </c>
      <c r="B4451" t="s">
        <v>231</v>
      </c>
      <c r="C4451" t="s">
        <v>4690</v>
      </c>
    </row>
    <row r="4452" spans="1:3" x14ac:dyDescent="0.35">
      <c r="A4452" t="s">
        <v>216</v>
      </c>
      <c r="B4452" t="s">
        <v>231</v>
      </c>
      <c r="C4452" t="s">
        <v>4691</v>
      </c>
    </row>
    <row r="4453" spans="1:3" x14ac:dyDescent="0.35">
      <c r="A4453" t="s">
        <v>216</v>
      </c>
      <c r="B4453" t="s">
        <v>231</v>
      </c>
      <c r="C4453" t="s">
        <v>4692</v>
      </c>
    </row>
    <row r="4454" spans="1:3" x14ac:dyDescent="0.35">
      <c r="A4454" t="s">
        <v>216</v>
      </c>
      <c r="B4454" t="s">
        <v>231</v>
      </c>
      <c r="C4454" t="s">
        <v>4693</v>
      </c>
    </row>
    <row r="4455" spans="1:3" x14ac:dyDescent="0.35">
      <c r="A4455" t="s">
        <v>216</v>
      </c>
      <c r="B4455" t="s">
        <v>231</v>
      </c>
      <c r="C4455" t="s">
        <v>4694</v>
      </c>
    </row>
    <row r="4456" spans="1:3" x14ac:dyDescent="0.35">
      <c r="A4456" t="s">
        <v>216</v>
      </c>
      <c r="B4456" t="s">
        <v>231</v>
      </c>
      <c r="C4456" t="s">
        <v>4695</v>
      </c>
    </row>
    <row r="4457" spans="1:3" x14ac:dyDescent="0.35">
      <c r="A4457" t="s">
        <v>216</v>
      </c>
      <c r="B4457" t="s">
        <v>231</v>
      </c>
      <c r="C4457" t="s">
        <v>4696</v>
      </c>
    </row>
    <row r="4458" spans="1:3" x14ac:dyDescent="0.35">
      <c r="A4458" t="s">
        <v>216</v>
      </c>
      <c r="B4458" t="s">
        <v>231</v>
      </c>
      <c r="C4458" t="s">
        <v>4697</v>
      </c>
    </row>
    <row r="4459" spans="1:3" x14ac:dyDescent="0.35">
      <c r="A4459" t="s">
        <v>216</v>
      </c>
      <c r="B4459" t="s">
        <v>231</v>
      </c>
      <c r="C4459" t="s">
        <v>4698</v>
      </c>
    </row>
    <row r="4460" spans="1:3" x14ac:dyDescent="0.35">
      <c r="A4460" t="s">
        <v>216</v>
      </c>
      <c r="B4460" t="s">
        <v>231</v>
      </c>
      <c r="C4460" t="s">
        <v>4699</v>
      </c>
    </row>
    <row r="4461" spans="1:3" x14ac:dyDescent="0.35">
      <c r="A4461" t="s">
        <v>216</v>
      </c>
      <c r="B4461" t="s">
        <v>231</v>
      </c>
      <c r="C4461" t="s">
        <v>4700</v>
      </c>
    </row>
    <row r="4462" spans="1:3" x14ac:dyDescent="0.35">
      <c r="A4462" t="s">
        <v>216</v>
      </c>
      <c r="B4462" t="s">
        <v>231</v>
      </c>
      <c r="C4462" t="s">
        <v>4701</v>
      </c>
    </row>
    <row r="4463" spans="1:3" x14ac:dyDescent="0.35">
      <c r="A4463" t="s">
        <v>216</v>
      </c>
      <c r="B4463" t="s">
        <v>231</v>
      </c>
      <c r="C4463" t="s">
        <v>4702</v>
      </c>
    </row>
    <row r="4464" spans="1:3" x14ac:dyDescent="0.35">
      <c r="A4464" t="s">
        <v>216</v>
      </c>
      <c r="B4464" t="s">
        <v>231</v>
      </c>
      <c r="C4464" t="s">
        <v>4703</v>
      </c>
    </row>
    <row r="4465" spans="1:3" x14ac:dyDescent="0.35">
      <c r="A4465" t="s">
        <v>216</v>
      </c>
      <c r="B4465" t="s">
        <v>231</v>
      </c>
      <c r="C4465" t="s">
        <v>4704</v>
      </c>
    </row>
    <row r="4466" spans="1:3" x14ac:dyDescent="0.35">
      <c r="A4466" t="s">
        <v>216</v>
      </c>
      <c r="B4466" t="s">
        <v>231</v>
      </c>
      <c r="C4466" t="s">
        <v>4705</v>
      </c>
    </row>
    <row r="4467" spans="1:3" x14ac:dyDescent="0.35">
      <c r="A4467" t="s">
        <v>216</v>
      </c>
      <c r="B4467" t="s">
        <v>231</v>
      </c>
      <c r="C4467" t="s">
        <v>4706</v>
      </c>
    </row>
    <row r="4468" spans="1:3" x14ac:dyDescent="0.35">
      <c r="A4468" t="s">
        <v>216</v>
      </c>
      <c r="B4468" t="s">
        <v>231</v>
      </c>
      <c r="C4468" t="s">
        <v>4707</v>
      </c>
    </row>
    <row r="4469" spans="1:3" x14ac:dyDescent="0.35">
      <c r="A4469" t="s">
        <v>216</v>
      </c>
      <c r="B4469" t="s">
        <v>231</v>
      </c>
      <c r="C4469" t="s">
        <v>4708</v>
      </c>
    </row>
    <row r="4470" spans="1:3" x14ac:dyDescent="0.35">
      <c r="A4470" t="s">
        <v>216</v>
      </c>
      <c r="B4470" t="s">
        <v>231</v>
      </c>
      <c r="C4470" t="s">
        <v>4709</v>
      </c>
    </row>
    <row r="4471" spans="1:3" x14ac:dyDescent="0.35">
      <c r="A4471" t="s">
        <v>216</v>
      </c>
      <c r="B4471" t="s">
        <v>231</v>
      </c>
      <c r="C4471" t="s">
        <v>4710</v>
      </c>
    </row>
    <row r="4472" spans="1:3" x14ac:dyDescent="0.35">
      <c r="A4472" t="s">
        <v>216</v>
      </c>
      <c r="B4472" t="s">
        <v>231</v>
      </c>
      <c r="C4472" t="s">
        <v>4711</v>
      </c>
    </row>
    <row r="4473" spans="1:3" x14ac:dyDescent="0.35">
      <c r="A4473" t="s">
        <v>216</v>
      </c>
      <c r="B4473" t="s">
        <v>231</v>
      </c>
      <c r="C4473" t="s">
        <v>4712</v>
      </c>
    </row>
    <row r="4474" spans="1:3" x14ac:dyDescent="0.35">
      <c r="A4474" t="s">
        <v>216</v>
      </c>
      <c r="B4474" t="s">
        <v>231</v>
      </c>
      <c r="C4474" t="s">
        <v>4713</v>
      </c>
    </row>
    <row r="4475" spans="1:3" x14ac:dyDescent="0.35">
      <c r="A4475" t="s">
        <v>216</v>
      </c>
      <c r="B4475" t="s">
        <v>231</v>
      </c>
      <c r="C4475" t="s">
        <v>4714</v>
      </c>
    </row>
    <row r="4476" spans="1:3" x14ac:dyDescent="0.35">
      <c r="A4476" t="s">
        <v>216</v>
      </c>
      <c r="B4476" t="s">
        <v>231</v>
      </c>
      <c r="C4476" t="s">
        <v>4715</v>
      </c>
    </row>
    <row r="4477" spans="1:3" x14ac:dyDescent="0.35">
      <c r="A4477" t="s">
        <v>216</v>
      </c>
      <c r="B4477" t="s">
        <v>231</v>
      </c>
      <c r="C4477" t="s">
        <v>4716</v>
      </c>
    </row>
    <row r="4478" spans="1:3" x14ac:dyDescent="0.35">
      <c r="A4478" t="s">
        <v>216</v>
      </c>
      <c r="B4478" t="s">
        <v>231</v>
      </c>
      <c r="C4478" t="s">
        <v>4717</v>
      </c>
    </row>
    <row r="4479" spans="1:3" x14ac:dyDescent="0.35">
      <c r="A4479" t="s">
        <v>216</v>
      </c>
      <c r="B4479" t="s">
        <v>231</v>
      </c>
      <c r="C4479" t="s">
        <v>4718</v>
      </c>
    </row>
    <row r="4480" spans="1:3" x14ac:dyDescent="0.35">
      <c r="A4480" t="s">
        <v>216</v>
      </c>
      <c r="B4480" t="s">
        <v>231</v>
      </c>
      <c r="C4480" t="s">
        <v>4719</v>
      </c>
    </row>
    <row r="4481" spans="1:3" x14ac:dyDescent="0.35">
      <c r="A4481" t="s">
        <v>216</v>
      </c>
      <c r="B4481" t="s">
        <v>231</v>
      </c>
      <c r="C4481" t="s">
        <v>4720</v>
      </c>
    </row>
    <row r="4482" spans="1:3" x14ac:dyDescent="0.35">
      <c r="A4482" t="s">
        <v>216</v>
      </c>
      <c r="B4482" t="s">
        <v>231</v>
      </c>
      <c r="C4482" t="s">
        <v>4721</v>
      </c>
    </row>
    <row r="4483" spans="1:3" x14ac:dyDescent="0.35">
      <c r="A4483" t="s">
        <v>216</v>
      </c>
      <c r="B4483" t="s">
        <v>231</v>
      </c>
      <c r="C4483" t="s">
        <v>4722</v>
      </c>
    </row>
    <row r="4484" spans="1:3" x14ac:dyDescent="0.35">
      <c r="A4484" t="s">
        <v>216</v>
      </c>
      <c r="B4484" t="s">
        <v>231</v>
      </c>
      <c r="C4484" t="s">
        <v>4723</v>
      </c>
    </row>
    <row r="4485" spans="1:3" x14ac:dyDescent="0.35">
      <c r="A4485" t="s">
        <v>216</v>
      </c>
      <c r="B4485" t="s">
        <v>231</v>
      </c>
      <c r="C4485" t="s">
        <v>4724</v>
      </c>
    </row>
    <row r="4486" spans="1:3" x14ac:dyDescent="0.35">
      <c r="A4486" t="s">
        <v>216</v>
      </c>
      <c r="B4486" t="s">
        <v>231</v>
      </c>
      <c r="C4486" t="s">
        <v>4725</v>
      </c>
    </row>
    <row r="4487" spans="1:3" x14ac:dyDescent="0.35">
      <c r="A4487" t="s">
        <v>216</v>
      </c>
      <c r="B4487" t="s">
        <v>231</v>
      </c>
      <c r="C4487" t="s">
        <v>4726</v>
      </c>
    </row>
    <row r="4488" spans="1:3" x14ac:dyDescent="0.35">
      <c r="A4488" t="s">
        <v>216</v>
      </c>
      <c r="B4488" t="s">
        <v>231</v>
      </c>
      <c r="C4488" t="s">
        <v>4727</v>
      </c>
    </row>
    <row r="4489" spans="1:3" x14ac:dyDescent="0.35">
      <c r="A4489" t="s">
        <v>216</v>
      </c>
      <c r="B4489" t="s">
        <v>231</v>
      </c>
      <c r="C4489" t="s">
        <v>4728</v>
      </c>
    </row>
    <row r="4490" spans="1:3" x14ac:dyDescent="0.35">
      <c r="A4490" t="s">
        <v>216</v>
      </c>
      <c r="B4490" t="s">
        <v>231</v>
      </c>
      <c r="C4490" t="s">
        <v>4729</v>
      </c>
    </row>
    <row r="4491" spans="1:3" x14ac:dyDescent="0.35">
      <c r="A4491" t="s">
        <v>216</v>
      </c>
      <c r="B4491" t="s">
        <v>231</v>
      </c>
      <c r="C4491" t="s">
        <v>4730</v>
      </c>
    </row>
    <row r="4492" spans="1:3" x14ac:dyDescent="0.35">
      <c r="A4492" t="s">
        <v>216</v>
      </c>
      <c r="B4492" t="s">
        <v>231</v>
      </c>
      <c r="C4492" t="s">
        <v>4731</v>
      </c>
    </row>
    <row r="4493" spans="1:3" x14ac:dyDescent="0.35">
      <c r="A4493" t="s">
        <v>216</v>
      </c>
      <c r="B4493" t="s">
        <v>231</v>
      </c>
      <c r="C4493" t="s">
        <v>4732</v>
      </c>
    </row>
    <row r="4494" spans="1:3" x14ac:dyDescent="0.35">
      <c r="A4494" t="s">
        <v>216</v>
      </c>
      <c r="B4494" t="s">
        <v>231</v>
      </c>
      <c r="C4494" t="s">
        <v>4733</v>
      </c>
    </row>
    <row r="4495" spans="1:3" x14ac:dyDescent="0.35">
      <c r="A4495" t="s">
        <v>216</v>
      </c>
      <c r="B4495" t="s">
        <v>231</v>
      </c>
      <c r="C4495" t="s">
        <v>4734</v>
      </c>
    </row>
    <row r="4496" spans="1:3" x14ac:dyDescent="0.35">
      <c r="A4496" t="s">
        <v>216</v>
      </c>
      <c r="B4496" t="s">
        <v>231</v>
      </c>
      <c r="C4496" t="s">
        <v>4735</v>
      </c>
    </row>
    <row r="4497" spans="1:3" x14ac:dyDescent="0.35">
      <c r="A4497" t="s">
        <v>216</v>
      </c>
      <c r="B4497" t="s">
        <v>231</v>
      </c>
      <c r="C4497" t="s">
        <v>4736</v>
      </c>
    </row>
    <row r="4498" spans="1:3" x14ac:dyDescent="0.35">
      <c r="A4498" t="s">
        <v>216</v>
      </c>
      <c r="B4498" t="s">
        <v>231</v>
      </c>
      <c r="C4498" t="s">
        <v>4737</v>
      </c>
    </row>
    <row r="4499" spans="1:3" x14ac:dyDescent="0.35">
      <c r="A4499" t="s">
        <v>216</v>
      </c>
      <c r="B4499" t="s">
        <v>231</v>
      </c>
      <c r="C4499" t="s">
        <v>4738</v>
      </c>
    </row>
    <row r="4500" spans="1:3" x14ac:dyDescent="0.35">
      <c r="A4500" t="s">
        <v>216</v>
      </c>
      <c r="B4500" t="s">
        <v>231</v>
      </c>
      <c r="C4500" t="s">
        <v>4739</v>
      </c>
    </row>
    <row r="4501" spans="1:3" x14ac:dyDescent="0.35">
      <c r="A4501" t="s">
        <v>216</v>
      </c>
      <c r="B4501" t="s">
        <v>231</v>
      </c>
      <c r="C4501" t="s">
        <v>4740</v>
      </c>
    </row>
    <row r="4502" spans="1:3" x14ac:dyDescent="0.35">
      <c r="A4502" t="s">
        <v>216</v>
      </c>
      <c r="B4502" t="s">
        <v>231</v>
      </c>
      <c r="C4502" t="s">
        <v>4741</v>
      </c>
    </row>
    <row r="4503" spans="1:3" x14ac:dyDescent="0.35">
      <c r="A4503" t="s">
        <v>216</v>
      </c>
      <c r="B4503" t="s">
        <v>231</v>
      </c>
      <c r="C4503" t="s">
        <v>4742</v>
      </c>
    </row>
    <row r="4504" spans="1:3" x14ac:dyDescent="0.35">
      <c r="A4504" t="s">
        <v>216</v>
      </c>
      <c r="B4504" t="s">
        <v>231</v>
      </c>
      <c r="C4504" t="s">
        <v>4743</v>
      </c>
    </row>
    <row r="4505" spans="1:3" x14ac:dyDescent="0.35">
      <c r="A4505" t="s">
        <v>216</v>
      </c>
      <c r="B4505" t="s">
        <v>231</v>
      </c>
      <c r="C4505" t="s">
        <v>4744</v>
      </c>
    </row>
    <row r="4506" spans="1:3" x14ac:dyDescent="0.35">
      <c r="A4506" t="s">
        <v>216</v>
      </c>
      <c r="B4506" t="s">
        <v>231</v>
      </c>
      <c r="C4506" t="s">
        <v>4745</v>
      </c>
    </row>
    <row r="4507" spans="1:3" x14ac:dyDescent="0.35">
      <c r="A4507" t="s">
        <v>216</v>
      </c>
      <c r="B4507" t="s">
        <v>231</v>
      </c>
      <c r="C4507" t="s">
        <v>4746</v>
      </c>
    </row>
    <row r="4508" spans="1:3" x14ac:dyDescent="0.35">
      <c r="A4508" t="s">
        <v>216</v>
      </c>
      <c r="B4508" t="s">
        <v>231</v>
      </c>
      <c r="C4508" t="s">
        <v>4747</v>
      </c>
    </row>
    <row r="4509" spans="1:3" x14ac:dyDescent="0.35">
      <c r="A4509" t="s">
        <v>216</v>
      </c>
      <c r="B4509" t="s">
        <v>231</v>
      </c>
      <c r="C4509" t="s">
        <v>4748</v>
      </c>
    </row>
    <row r="4510" spans="1:3" x14ac:dyDescent="0.35">
      <c r="A4510" t="s">
        <v>216</v>
      </c>
      <c r="B4510" t="s">
        <v>231</v>
      </c>
      <c r="C4510" t="s">
        <v>4749</v>
      </c>
    </row>
    <row r="4511" spans="1:3" x14ac:dyDescent="0.35">
      <c r="A4511" t="s">
        <v>216</v>
      </c>
      <c r="B4511" t="s">
        <v>231</v>
      </c>
      <c r="C4511" t="s">
        <v>4750</v>
      </c>
    </row>
    <row r="4512" spans="1:3" x14ac:dyDescent="0.35">
      <c r="A4512" t="s">
        <v>216</v>
      </c>
      <c r="B4512" t="s">
        <v>231</v>
      </c>
      <c r="C4512" t="s">
        <v>4751</v>
      </c>
    </row>
    <row r="4513" spans="1:3" x14ac:dyDescent="0.35">
      <c r="A4513" t="s">
        <v>216</v>
      </c>
      <c r="B4513" t="s">
        <v>231</v>
      </c>
      <c r="C4513" t="s">
        <v>4752</v>
      </c>
    </row>
    <row r="4514" spans="1:3" x14ac:dyDescent="0.35">
      <c r="A4514" t="s">
        <v>216</v>
      </c>
      <c r="B4514" t="s">
        <v>231</v>
      </c>
      <c r="C4514" t="s">
        <v>4753</v>
      </c>
    </row>
    <row r="4515" spans="1:3" x14ac:dyDescent="0.35">
      <c r="A4515" t="s">
        <v>216</v>
      </c>
      <c r="B4515" t="s">
        <v>231</v>
      </c>
      <c r="C4515" t="s">
        <v>4754</v>
      </c>
    </row>
    <row r="4516" spans="1:3" x14ac:dyDescent="0.35">
      <c r="A4516" t="s">
        <v>216</v>
      </c>
      <c r="B4516" t="s">
        <v>231</v>
      </c>
      <c r="C4516" t="s">
        <v>4755</v>
      </c>
    </row>
    <row r="4517" spans="1:3" x14ac:dyDescent="0.35">
      <c r="A4517" t="s">
        <v>216</v>
      </c>
      <c r="B4517" t="s">
        <v>231</v>
      </c>
      <c r="C4517" t="s">
        <v>4756</v>
      </c>
    </row>
    <row r="4518" spans="1:3" x14ac:dyDescent="0.35">
      <c r="A4518" t="s">
        <v>216</v>
      </c>
      <c r="B4518" t="s">
        <v>231</v>
      </c>
      <c r="C4518" t="s">
        <v>4757</v>
      </c>
    </row>
    <row r="4519" spans="1:3" x14ac:dyDescent="0.35">
      <c r="A4519" t="s">
        <v>216</v>
      </c>
      <c r="B4519" t="s">
        <v>231</v>
      </c>
      <c r="C4519" t="s">
        <v>4758</v>
      </c>
    </row>
    <row r="4520" spans="1:3" x14ac:dyDescent="0.35">
      <c r="A4520" t="s">
        <v>216</v>
      </c>
      <c r="B4520" t="s">
        <v>231</v>
      </c>
      <c r="C4520" t="s">
        <v>4759</v>
      </c>
    </row>
    <row r="4521" spans="1:3" x14ac:dyDescent="0.35">
      <c r="A4521" t="s">
        <v>216</v>
      </c>
      <c r="B4521" t="s">
        <v>231</v>
      </c>
      <c r="C4521" t="s">
        <v>4760</v>
      </c>
    </row>
    <row r="4522" spans="1:3" x14ac:dyDescent="0.35">
      <c r="A4522" t="s">
        <v>216</v>
      </c>
      <c r="B4522" t="s">
        <v>231</v>
      </c>
      <c r="C4522" t="s">
        <v>4761</v>
      </c>
    </row>
    <row r="4523" spans="1:3" x14ac:dyDescent="0.35">
      <c r="A4523" t="s">
        <v>216</v>
      </c>
      <c r="B4523" t="s">
        <v>231</v>
      </c>
      <c r="C4523" t="s">
        <v>4762</v>
      </c>
    </row>
    <row r="4524" spans="1:3" x14ac:dyDescent="0.35">
      <c r="A4524" t="s">
        <v>216</v>
      </c>
      <c r="B4524" t="s">
        <v>231</v>
      </c>
      <c r="C4524" t="s">
        <v>4763</v>
      </c>
    </row>
    <row r="4525" spans="1:3" x14ac:dyDescent="0.35">
      <c r="A4525" t="s">
        <v>216</v>
      </c>
      <c r="B4525" t="s">
        <v>231</v>
      </c>
      <c r="C4525" t="s">
        <v>4764</v>
      </c>
    </row>
    <row r="4526" spans="1:3" x14ac:dyDescent="0.35">
      <c r="A4526" t="s">
        <v>216</v>
      </c>
      <c r="B4526" t="s">
        <v>231</v>
      </c>
      <c r="C4526" t="s">
        <v>4765</v>
      </c>
    </row>
    <row r="4527" spans="1:3" x14ac:dyDescent="0.35">
      <c r="A4527" t="s">
        <v>216</v>
      </c>
      <c r="B4527" t="s">
        <v>231</v>
      </c>
      <c r="C4527" t="s">
        <v>4766</v>
      </c>
    </row>
    <row r="4528" spans="1:3" x14ac:dyDescent="0.35">
      <c r="A4528" t="s">
        <v>216</v>
      </c>
      <c r="B4528" t="s">
        <v>231</v>
      </c>
      <c r="C4528" t="s">
        <v>4767</v>
      </c>
    </row>
    <row r="4529" spans="1:3" x14ac:dyDescent="0.35">
      <c r="A4529" t="s">
        <v>216</v>
      </c>
      <c r="B4529" t="s">
        <v>231</v>
      </c>
      <c r="C4529" t="s">
        <v>4768</v>
      </c>
    </row>
    <row r="4530" spans="1:3" x14ac:dyDescent="0.35">
      <c r="A4530" t="s">
        <v>216</v>
      </c>
      <c r="B4530" t="s">
        <v>231</v>
      </c>
      <c r="C4530" t="s">
        <v>4769</v>
      </c>
    </row>
    <row r="4531" spans="1:3" x14ac:dyDescent="0.35">
      <c r="A4531" t="s">
        <v>216</v>
      </c>
      <c r="B4531" t="s">
        <v>231</v>
      </c>
      <c r="C4531" t="s">
        <v>4770</v>
      </c>
    </row>
    <row r="4532" spans="1:3" x14ac:dyDescent="0.35">
      <c r="A4532" t="s">
        <v>216</v>
      </c>
      <c r="B4532" t="s">
        <v>231</v>
      </c>
      <c r="C4532" t="s">
        <v>4771</v>
      </c>
    </row>
    <row r="4533" spans="1:3" x14ac:dyDescent="0.35">
      <c r="A4533" t="s">
        <v>216</v>
      </c>
      <c r="B4533" t="s">
        <v>231</v>
      </c>
      <c r="C4533" t="s">
        <v>4772</v>
      </c>
    </row>
    <row r="4534" spans="1:3" x14ac:dyDescent="0.35">
      <c r="A4534" t="s">
        <v>216</v>
      </c>
      <c r="B4534" t="s">
        <v>231</v>
      </c>
      <c r="C4534" t="s">
        <v>4773</v>
      </c>
    </row>
    <row r="4535" spans="1:3" x14ac:dyDescent="0.35">
      <c r="A4535" t="s">
        <v>216</v>
      </c>
      <c r="B4535" t="s">
        <v>231</v>
      </c>
      <c r="C4535" t="s">
        <v>4774</v>
      </c>
    </row>
    <row r="4536" spans="1:3" x14ac:dyDescent="0.35">
      <c r="A4536" t="s">
        <v>216</v>
      </c>
      <c r="B4536" t="s">
        <v>231</v>
      </c>
      <c r="C4536" t="s">
        <v>4775</v>
      </c>
    </row>
    <row r="4537" spans="1:3" x14ac:dyDescent="0.35">
      <c r="A4537" t="s">
        <v>216</v>
      </c>
      <c r="B4537" t="s">
        <v>231</v>
      </c>
      <c r="C4537" t="s">
        <v>4776</v>
      </c>
    </row>
    <row r="4538" spans="1:3" x14ac:dyDescent="0.35">
      <c r="A4538" t="s">
        <v>216</v>
      </c>
      <c r="B4538" t="s">
        <v>231</v>
      </c>
      <c r="C4538" t="s">
        <v>4777</v>
      </c>
    </row>
    <row r="4539" spans="1:3" x14ac:dyDescent="0.35">
      <c r="A4539" t="s">
        <v>216</v>
      </c>
      <c r="B4539" t="s">
        <v>231</v>
      </c>
      <c r="C4539" t="s">
        <v>4778</v>
      </c>
    </row>
    <row r="4540" spans="1:3" x14ac:dyDescent="0.35">
      <c r="A4540" t="s">
        <v>216</v>
      </c>
      <c r="B4540" t="s">
        <v>231</v>
      </c>
      <c r="C4540" t="s">
        <v>4779</v>
      </c>
    </row>
    <row r="4541" spans="1:3" x14ac:dyDescent="0.35">
      <c r="A4541" t="s">
        <v>216</v>
      </c>
      <c r="B4541" t="s">
        <v>231</v>
      </c>
      <c r="C4541" t="s">
        <v>4780</v>
      </c>
    </row>
    <row r="4542" spans="1:3" x14ac:dyDescent="0.35">
      <c r="A4542" t="s">
        <v>216</v>
      </c>
      <c r="B4542" t="s">
        <v>231</v>
      </c>
      <c r="C4542" t="s">
        <v>4781</v>
      </c>
    </row>
    <row r="4543" spans="1:3" x14ac:dyDescent="0.35">
      <c r="A4543" t="s">
        <v>216</v>
      </c>
      <c r="B4543" t="s">
        <v>231</v>
      </c>
      <c r="C4543" t="s">
        <v>4782</v>
      </c>
    </row>
    <row r="4544" spans="1:3" x14ac:dyDescent="0.35">
      <c r="A4544" t="s">
        <v>216</v>
      </c>
      <c r="B4544" t="s">
        <v>231</v>
      </c>
      <c r="C4544" t="s">
        <v>4783</v>
      </c>
    </row>
    <row r="4545" spans="1:3" x14ac:dyDescent="0.35">
      <c r="A4545" t="s">
        <v>216</v>
      </c>
      <c r="B4545" t="s">
        <v>231</v>
      </c>
      <c r="C4545" t="s">
        <v>4784</v>
      </c>
    </row>
    <row r="4546" spans="1:3" x14ac:dyDescent="0.35">
      <c r="A4546" t="s">
        <v>216</v>
      </c>
      <c r="B4546" t="s">
        <v>231</v>
      </c>
      <c r="C4546" t="s">
        <v>4785</v>
      </c>
    </row>
    <row r="4547" spans="1:3" x14ac:dyDescent="0.35">
      <c r="A4547" t="s">
        <v>216</v>
      </c>
      <c r="B4547" t="s">
        <v>231</v>
      </c>
      <c r="C4547" t="s">
        <v>4786</v>
      </c>
    </row>
    <row r="4548" spans="1:3" x14ac:dyDescent="0.35">
      <c r="A4548" t="s">
        <v>216</v>
      </c>
      <c r="B4548" t="s">
        <v>231</v>
      </c>
      <c r="C4548" t="s">
        <v>4787</v>
      </c>
    </row>
    <row r="4549" spans="1:3" x14ac:dyDescent="0.35">
      <c r="A4549" t="s">
        <v>216</v>
      </c>
      <c r="B4549" t="s">
        <v>231</v>
      </c>
      <c r="C4549" t="s">
        <v>4788</v>
      </c>
    </row>
    <row r="4550" spans="1:3" x14ac:dyDescent="0.35">
      <c r="A4550" t="s">
        <v>216</v>
      </c>
      <c r="B4550" t="s">
        <v>231</v>
      </c>
      <c r="C4550" t="s">
        <v>4789</v>
      </c>
    </row>
    <row r="4551" spans="1:3" x14ac:dyDescent="0.35">
      <c r="A4551" t="s">
        <v>216</v>
      </c>
      <c r="B4551" t="s">
        <v>231</v>
      </c>
      <c r="C4551" t="s">
        <v>4790</v>
      </c>
    </row>
    <row r="4552" spans="1:3" x14ac:dyDescent="0.35">
      <c r="A4552" t="s">
        <v>216</v>
      </c>
      <c r="B4552" t="s">
        <v>231</v>
      </c>
      <c r="C4552" t="s">
        <v>4791</v>
      </c>
    </row>
    <row r="4553" spans="1:3" x14ac:dyDescent="0.35">
      <c r="A4553" t="s">
        <v>216</v>
      </c>
      <c r="B4553" t="s">
        <v>231</v>
      </c>
      <c r="C4553" t="s">
        <v>4792</v>
      </c>
    </row>
    <row r="4554" spans="1:3" x14ac:dyDescent="0.35">
      <c r="A4554" t="s">
        <v>216</v>
      </c>
      <c r="B4554" t="s">
        <v>231</v>
      </c>
      <c r="C4554" t="s">
        <v>4793</v>
      </c>
    </row>
    <row r="4555" spans="1:3" x14ac:dyDescent="0.35">
      <c r="A4555" t="s">
        <v>216</v>
      </c>
      <c r="B4555" t="s">
        <v>231</v>
      </c>
      <c r="C4555" t="s">
        <v>4794</v>
      </c>
    </row>
    <row r="4556" spans="1:3" x14ac:dyDescent="0.35">
      <c r="A4556" t="s">
        <v>216</v>
      </c>
      <c r="B4556" t="s">
        <v>231</v>
      </c>
      <c r="C4556" t="s">
        <v>4795</v>
      </c>
    </row>
    <row r="4557" spans="1:3" x14ac:dyDescent="0.35">
      <c r="A4557" t="s">
        <v>216</v>
      </c>
      <c r="B4557" t="s">
        <v>231</v>
      </c>
      <c r="C4557" t="s">
        <v>4796</v>
      </c>
    </row>
    <row r="4558" spans="1:3" x14ac:dyDescent="0.35">
      <c r="A4558" t="s">
        <v>216</v>
      </c>
      <c r="B4558" t="s">
        <v>231</v>
      </c>
      <c r="C4558" t="s">
        <v>4797</v>
      </c>
    </row>
    <row r="4559" spans="1:3" x14ac:dyDescent="0.35">
      <c r="A4559" t="s">
        <v>216</v>
      </c>
      <c r="B4559" t="s">
        <v>231</v>
      </c>
      <c r="C4559" t="s">
        <v>4798</v>
      </c>
    </row>
    <row r="4560" spans="1:3" x14ac:dyDescent="0.35">
      <c r="A4560" t="s">
        <v>216</v>
      </c>
      <c r="B4560" t="s">
        <v>231</v>
      </c>
      <c r="C4560" t="s">
        <v>4799</v>
      </c>
    </row>
    <row r="4561" spans="1:3" x14ac:dyDescent="0.35">
      <c r="A4561" t="s">
        <v>216</v>
      </c>
      <c r="B4561" t="s">
        <v>231</v>
      </c>
      <c r="C4561" t="s">
        <v>4800</v>
      </c>
    </row>
    <row r="4562" spans="1:3" x14ac:dyDescent="0.35">
      <c r="A4562" t="s">
        <v>216</v>
      </c>
      <c r="B4562" t="s">
        <v>231</v>
      </c>
      <c r="C4562" t="s">
        <v>4801</v>
      </c>
    </row>
    <row r="4563" spans="1:3" x14ac:dyDescent="0.35">
      <c r="A4563" t="s">
        <v>216</v>
      </c>
      <c r="B4563" t="s">
        <v>231</v>
      </c>
      <c r="C4563" t="s">
        <v>4802</v>
      </c>
    </row>
    <row r="4564" spans="1:3" x14ac:dyDescent="0.35">
      <c r="A4564" t="s">
        <v>216</v>
      </c>
      <c r="B4564" t="s">
        <v>231</v>
      </c>
      <c r="C4564" t="s">
        <v>4803</v>
      </c>
    </row>
    <row r="4565" spans="1:3" x14ac:dyDescent="0.35">
      <c r="A4565" t="s">
        <v>216</v>
      </c>
      <c r="B4565" t="s">
        <v>231</v>
      </c>
      <c r="C4565" t="s">
        <v>4804</v>
      </c>
    </row>
    <row r="4566" spans="1:3" x14ac:dyDescent="0.35">
      <c r="A4566" t="s">
        <v>216</v>
      </c>
      <c r="B4566" t="s">
        <v>231</v>
      </c>
      <c r="C4566" t="s">
        <v>4805</v>
      </c>
    </row>
    <row r="4567" spans="1:3" x14ac:dyDescent="0.35">
      <c r="A4567" t="s">
        <v>216</v>
      </c>
      <c r="B4567" t="s">
        <v>231</v>
      </c>
      <c r="C4567" t="s">
        <v>4806</v>
      </c>
    </row>
    <row r="4568" spans="1:3" x14ac:dyDescent="0.35">
      <c r="A4568" t="s">
        <v>216</v>
      </c>
      <c r="B4568" t="s">
        <v>231</v>
      </c>
      <c r="C4568" t="s">
        <v>4807</v>
      </c>
    </row>
    <row r="4569" spans="1:3" x14ac:dyDescent="0.35">
      <c r="A4569" t="s">
        <v>216</v>
      </c>
      <c r="B4569" t="s">
        <v>231</v>
      </c>
      <c r="C4569" t="s">
        <v>4808</v>
      </c>
    </row>
    <row r="4570" spans="1:3" x14ac:dyDescent="0.35">
      <c r="A4570" t="s">
        <v>216</v>
      </c>
      <c r="B4570" t="s">
        <v>231</v>
      </c>
      <c r="C4570" t="s">
        <v>4809</v>
      </c>
    </row>
    <row r="4571" spans="1:3" x14ac:dyDescent="0.35">
      <c r="A4571" t="s">
        <v>216</v>
      </c>
      <c r="B4571" t="s">
        <v>231</v>
      </c>
      <c r="C4571" t="s">
        <v>4810</v>
      </c>
    </row>
    <row r="4572" spans="1:3" x14ac:dyDescent="0.35">
      <c r="A4572" t="s">
        <v>216</v>
      </c>
      <c r="B4572" t="s">
        <v>231</v>
      </c>
      <c r="C4572" t="s">
        <v>4811</v>
      </c>
    </row>
    <row r="4573" spans="1:3" x14ac:dyDescent="0.35">
      <c r="A4573" t="s">
        <v>216</v>
      </c>
      <c r="B4573" t="s">
        <v>231</v>
      </c>
      <c r="C4573" t="s">
        <v>4812</v>
      </c>
    </row>
    <row r="4574" spans="1:3" x14ac:dyDescent="0.35">
      <c r="A4574" t="s">
        <v>216</v>
      </c>
      <c r="B4574" t="s">
        <v>231</v>
      </c>
      <c r="C4574" t="s">
        <v>4813</v>
      </c>
    </row>
    <row r="4575" spans="1:3" x14ac:dyDescent="0.35">
      <c r="A4575" t="s">
        <v>216</v>
      </c>
      <c r="B4575" t="s">
        <v>231</v>
      </c>
      <c r="C4575" t="s">
        <v>4814</v>
      </c>
    </row>
    <row r="4576" spans="1:3" x14ac:dyDescent="0.35">
      <c r="A4576" t="s">
        <v>216</v>
      </c>
      <c r="B4576" t="s">
        <v>231</v>
      </c>
      <c r="C4576" t="s">
        <v>4815</v>
      </c>
    </row>
    <row r="4577" spans="1:3" x14ac:dyDescent="0.35">
      <c r="A4577" t="s">
        <v>216</v>
      </c>
      <c r="B4577" t="s">
        <v>231</v>
      </c>
      <c r="C4577" t="s">
        <v>4816</v>
      </c>
    </row>
    <row r="4578" spans="1:3" x14ac:dyDescent="0.35">
      <c r="A4578" t="s">
        <v>216</v>
      </c>
      <c r="B4578" t="s">
        <v>231</v>
      </c>
      <c r="C4578" t="s">
        <v>4817</v>
      </c>
    </row>
    <row r="4579" spans="1:3" x14ac:dyDescent="0.35">
      <c r="A4579" t="s">
        <v>216</v>
      </c>
      <c r="B4579" t="s">
        <v>231</v>
      </c>
      <c r="C4579" t="s">
        <v>4818</v>
      </c>
    </row>
    <row r="4580" spans="1:3" x14ac:dyDescent="0.35">
      <c r="A4580" t="s">
        <v>216</v>
      </c>
      <c r="B4580" t="s">
        <v>231</v>
      </c>
      <c r="C4580" t="s">
        <v>4819</v>
      </c>
    </row>
    <row r="4581" spans="1:3" x14ac:dyDescent="0.35">
      <c r="A4581" t="s">
        <v>216</v>
      </c>
      <c r="B4581" t="s">
        <v>231</v>
      </c>
      <c r="C4581" t="s">
        <v>4820</v>
      </c>
    </row>
    <row r="4582" spans="1:3" x14ac:dyDescent="0.35">
      <c r="A4582" t="s">
        <v>216</v>
      </c>
      <c r="B4582" t="s">
        <v>231</v>
      </c>
      <c r="C4582" t="s">
        <v>4821</v>
      </c>
    </row>
    <row r="4583" spans="1:3" x14ac:dyDescent="0.35">
      <c r="A4583" t="s">
        <v>216</v>
      </c>
      <c r="B4583" t="s">
        <v>231</v>
      </c>
      <c r="C4583" t="s">
        <v>4822</v>
      </c>
    </row>
    <row r="4584" spans="1:3" x14ac:dyDescent="0.35">
      <c r="A4584" t="s">
        <v>216</v>
      </c>
      <c r="B4584" t="s">
        <v>231</v>
      </c>
      <c r="C4584" t="s">
        <v>4823</v>
      </c>
    </row>
    <row r="4585" spans="1:3" x14ac:dyDescent="0.35">
      <c r="A4585" t="s">
        <v>216</v>
      </c>
      <c r="B4585" t="s">
        <v>231</v>
      </c>
      <c r="C4585" t="s">
        <v>4824</v>
      </c>
    </row>
    <row r="4586" spans="1:3" x14ac:dyDescent="0.35">
      <c r="A4586" t="s">
        <v>216</v>
      </c>
      <c r="B4586" t="s">
        <v>231</v>
      </c>
      <c r="C4586" t="s">
        <v>4825</v>
      </c>
    </row>
    <row r="4587" spans="1:3" x14ac:dyDescent="0.35">
      <c r="A4587" t="s">
        <v>216</v>
      </c>
      <c r="B4587" t="s">
        <v>231</v>
      </c>
      <c r="C4587" t="s">
        <v>4826</v>
      </c>
    </row>
    <row r="4588" spans="1:3" x14ac:dyDescent="0.35">
      <c r="A4588" t="s">
        <v>216</v>
      </c>
      <c r="B4588" t="s">
        <v>231</v>
      </c>
      <c r="C4588" t="s">
        <v>4827</v>
      </c>
    </row>
    <row r="4589" spans="1:3" x14ac:dyDescent="0.35">
      <c r="A4589" t="s">
        <v>216</v>
      </c>
      <c r="B4589" t="s">
        <v>231</v>
      </c>
      <c r="C4589" t="s">
        <v>4828</v>
      </c>
    </row>
    <row r="4590" spans="1:3" x14ac:dyDescent="0.35">
      <c r="A4590" t="s">
        <v>216</v>
      </c>
      <c r="B4590" t="s">
        <v>231</v>
      </c>
      <c r="C4590" t="s">
        <v>4829</v>
      </c>
    </row>
    <row r="4591" spans="1:3" x14ac:dyDescent="0.35">
      <c r="A4591" t="s">
        <v>216</v>
      </c>
      <c r="B4591" t="s">
        <v>231</v>
      </c>
      <c r="C4591" t="s">
        <v>4830</v>
      </c>
    </row>
    <row r="4592" spans="1:3" x14ac:dyDescent="0.35">
      <c r="A4592" t="s">
        <v>216</v>
      </c>
      <c r="B4592" t="s">
        <v>231</v>
      </c>
      <c r="C4592" t="s">
        <v>4831</v>
      </c>
    </row>
    <row r="4593" spans="1:3" x14ac:dyDescent="0.35">
      <c r="A4593" t="s">
        <v>216</v>
      </c>
      <c r="B4593" t="s">
        <v>231</v>
      </c>
      <c r="C4593" t="s">
        <v>4832</v>
      </c>
    </row>
    <row r="4594" spans="1:3" x14ac:dyDescent="0.35">
      <c r="A4594" t="s">
        <v>216</v>
      </c>
      <c r="B4594" t="s">
        <v>231</v>
      </c>
      <c r="C4594" t="s">
        <v>4833</v>
      </c>
    </row>
    <row r="4595" spans="1:3" x14ac:dyDescent="0.35">
      <c r="A4595" t="s">
        <v>216</v>
      </c>
      <c r="B4595" t="s">
        <v>231</v>
      </c>
      <c r="C4595" t="s">
        <v>4834</v>
      </c>
    </row>
    <row r="4596" spans="1:3" x14ac:dyDescent="0.35">
      <c r="A4596" t="s">
        <v>216</v>
      </c>
      <c r="B4596" t="s">
        <v>231</v>
      </c>
      <c r="C4596" t="s">
        <v>4835</v>
      </c>
    </row>
    <row r="4597" spans="1:3" x14ac:dyDescent="0.35">
      <c r="A4597" t="s">
        <v>216</v>
      </c>
      <c r="B4597" t="s">
        <v>231</v>
      </c>
      <c r="C4597" t="s">
        <v>4836</v>
      </c>
    </row>
    <row r="4598" spans="1:3" x14ac:dyDescent="0.35">
      <c r="A4598" t="s">
        <v>216</v>
      </c>
      <c r="B4598" t="s">
        <v>231</v>
      </c>
      <c r="C4598" t="s">
        <v>4837</v>
      </c>
    </row>
    <row r="4599" spans="1:3" x14ac:dyDescent="0.35">
      <c r="A4599" t="s">
        <v>216</v>
      </c>
      <c r="B4599" t="s">
        <v>244</v>
      </c>
      <c r="C4599" t="s">
        <v>4838</v>
      </c>
    </row>
    <row r="4600" spans="1:3" x14ac:dyDescent="0.35">
      <c r="A4600" t="s">
        <v>216</v>
      </c>
      <c r="B4600" t="s">
        <v>244</v>
      </c>
      <c r="C4600" t="s">
        <v>4839</v>
      </c>
    </row>
    <row r="4601" spans="1:3" x14ac:dyDescent="0.35">
      <c r="A4601" t="s">
        <v>216</v>
      </c>
      <c r="B4601" t="s">
        <v>244</v>
      </c>
      <c r="C4601" t="s">
        <v>4840</v>
      </c>
    </row>
    <row r="4602" spans="1:3" x14ac:dyDescent="0.35">
      <c r="A4602" t="s">
        <v>216</v>
      </c>
      <c r="B4602" t="s">
        <v>244</v>
      </c>
      <c r="C4602" t="s">
        <v>4841</v>
      </c>
    </row>
    <row r="4603" spans="1:3" x14ac:dyDescent="0.35">
      <c r="A4603" t="s">
        <v>216</v>
      </c>
      <c r="B4603" t="s">
        <v>244</v>
      </c>
      <c r="C4603" t="s">
        <v>244</v>
      </c>
    </row>
    <row r="4604" spans="1:3" x14ac:dyDescent="0.35">
      <c r="A4604" t="s">
        <v>216</v>
      </c>
      <c r="B4604" t="s">
        <v>244</v>
      </c>
      <c r="C4604" t="s">
        <v>4842</v>
      </c>
    </row>
    <row r="4605" spans="1:3" x14ac:dyDescent="0.35">
      <c r="A4605" t="s">
        <v>216</v>
      </c>
      <c r="B4605" t="s">
        <v>244</v>
      </c>
      <c r="C4605" t="s">
        <v>4843</v>
      </c>
    </row>
    <row r="4606" spans="1:3" x14ac:dyDescent="0.35">
      <c r="A4606" t="s">
        <v>216</v>
      </c>
      <c r="B4606" t="s">
        <v>244</v>
      </c>
      <c r="C4606" t="s">
        <v>4844</v>
      </c>
    </row>
    <row r="4607" spans="1:3" x14ac:dyDescent="0.35">
      <c r="A4607" t="s">
        <v>216</v>
      </c>
      <c r="B4607" t="s">
        <v>244</v>
      </c>
      <c r="C4607" t="s">
        <v>4845</v>
      </c>
    </row>
    <row r="4608" spans="1:3" x14ac:dyDescent="0.35">
      <c r="A4608" t="s">
        <v>216</v>
      </c>
      <c r="B4608" t="s">
        <v>244</v>
      </c>
      <c r="C4608" t="s">
        <v>4846</v>
      </c>
    </row>
    <row r="4609" spans="1:3" x14ac:dyDescent="0.35">
      <c r="A4609" t="s">
        <v>216</v>
      </c>
      <c r="B4609" t="s">
        <v>244</v>
      </c>
      <c r="C4609" t="s">
        <v>4847</v>
      </c>
    </row>
    <row r="4610" spans="1:3" x14ac:dyDescent="0.35">
      <c r="A4610" t="s">
        <v>216</v>
      </c>
      <c r="B4610" t="s">
        <v>244</v>
      </c>
      <c r="C4610" t="s">
        <v>4848</v>
      </c>
    </row>
    <row r="4611" spans="1:3" x14ac:dyDescent="0.35">
      <c r="A4611" t="s">
        <v>216</v>
      </c>
      <c r="B4611" t="s">
        <v>244</v>
      </c>
      <c r="C4611" t="s">
        <v>4849</v>
      </c>
    </row>
    <row r="4612" spans="1:3" x14ac:dyDescent="0.35">
      <c r="A4612" t="s">
        <v>216</v>
      </c>
      <c r="B4612" t="s">
        <v>244</v>
      </c>
      <c r="C4612" t="s">
        <v>4850</v>
      </c>
    </row>
    <row r="4613" spans="1:3" x14ac:dyDescent="0.35">
      <c r="A4613" t="s">
        <v>216</v>
      </c>
      <c r="B4613" t="s">
        <v>244</v>
      </c>
      <c r="C4613" t="s">
        <v>4851</v>
      </c>
    </row>
    <row r="4614" spans="1:3" x14ac:dyDescent="0.35">
      <c r="A4614" t="s">
        <v>216</v>
      </c>
      <c r="B4614" t="s">
        <v>244</v>
      </c>
      <c r="C4614" t="s">
        <v>4852</v>
      </c>
    </row>
    <row r="4615" spans="1:3" x14ac:dyDescent="0.35">
      <c r="A4615" t="s">
        <v>216</v>
      </c>
      <c r="B4615" t="s">
        <v>244</v>
      </c>
      <c r="C4615" t="s">
        <v>4853</v>
      </c>
    </row>
    <row r="4616" spans="1:3" x14ac:dyDescent="0.35">
      <c r="A4616" t="s">
        <v>216</v>
      </c>
      <c r="B4616" t="s">
        <v>244</v>
      </c>
      <c r="C4616" t="s">
        <v>4854</v>
      </c>
    </row>
    <row r="4617" spans="1:3" x14ac:dyDescent="0.35">
      <c r="A4617" t="s">
        <v>216</v>
      </c>
      <c r="B4617" t="s">
        <v>244</v>
      </c>
      <c r="C4617" t="s">
        <v>4855</v>
      </c>
    </row>
    <row r="4618" spans="1:3" x14ac:dyDescent="0.35">
      <c r="A4618" t="s">
        <v>216</v>
      </c>
      <c r="B4618" t="s">
        <v>244</v>
      </c>
      <c r="C4618" t="s">
        <v>4856</v>
      </c>
    </row>
    <row r="4619" spans="1:3" x14ac:dyDescent="0.35">
      <c r="A4619" t="s">
        <v>216</v>
      </c>
      <c r="B4619" t="s">
        <v>244</v>
      </c>
      <c r="C4619" t="s">
        <v>4857</v>
      </c>
    </row>
    <row r="4620" spans="1:3" x14ac:dyDescent="0.35">
      <c r="A4620" t="s">
        <v>216</v>
      </c>
      <c r="B4620" t="s">
        <v>244</v>
      </c>
      <c r="C4620" t="s">
        <v>4858</v>
      </c>
    </row>
    <row r="4621" spans="1:3" x14ac:dyDescent="0.35">
      <c r="A4621" t="s">
        <v>216</v>
      </c>
      <c r="B4621" t="s">
        <v>244</v>
      </c>
      <c r="C4621" t="s">
        <v>4859</v>
      </c>
    </row>
    <row r="4622" spans="1:3" x14ac:dyDescent="0.35">
      <c r="A4622" t="s">
        <v>216</v>
      </c>
      <c r="B4622" t="s">
        <v>244</v>
      </c>
      <c r="C4622" t="s">
        <v>4860</v>
      </c>
    </row>
    <row r="4623" spans="1:3" x14ac:dyDescent="0.35">
      <c r="A4623" t="s">
        <v>216</v>
      </c>
      <c r="B4623" t="s">
        <v>244</v>
      </c>
      <c r="C4623" t="s">
        <v>4861</v>
      </c>
    </row>
    <row r="4624" spans="1:3" x14ac:dyDescent="0.35">
      <c r="A4624" t="s">
        <v>216</v>
      </c>
      <c r="B4624" t="s">
        <v>244</v>
      </c>
      <c r="C4624" t="s">
        <v>4862</v>
      </c>
    </row>
    <row r="4625" spans="1:3" x14ac:dyDescent="0.35">
      <c r="A4625" t="s">
        <v>216</v>
      </c>
      <c r="B4625" t="s">
        <v>244</v>
      </c>
      <c r="C4625" t="s">
        <v>4863</v>
      </c>
    </row>
    <row r="4626" spans="1:3" x14ac:dyDescent="0.35">
      <c r="A4626" t="s">
        <v>216</v>
      </c>
      <c r="B4626" t="s">
        <v>244</v>
      </c>
      <c r="C4626" t="s">
        <v>4864</v>
      </c>
    </row>
    <row r="4627" spans="1:3" x14ac:dyDescent="0.35">
      <c r="A4627" t="s">
        <v>216</v>
      </c>
      <c r="B4627" t="s">
        <v>244</v>
      </c>
      <c r="C4627" t="s">
        <v>4865</v>
      </c>
    </row>
    <row r="4628" spans="1:3" x14ac:dyDescent="0.35">
      <c r="A4628" t="s">
        <v>216</v>
      </c>
      <c r="B4628" t="s">
        <v>244</v>
      </c>
      <c r="C4628" t="s">
        <v>4866</v>
      </c>
    </row>
    <row r="4629" spans="1:3" x14ac:dyDescent="0.35">
      <c r="A4629" t="s">
        <v>216</v>
      </c>
      <c r="B4629" t="s">
        <v>244</v>
      </c>
      <c r="C4629" t="s">
        <v>4867</v>
      </c>
    </row>
    <row r="4630" spans="1:3" x14ac:dyDescent="0.35">
      <c r="A4630" t="s">
        <v>216</v>
      </c>
      <c r="B4630" t="s">
        <v>244</v>
      </c>
      <c r="C4630" t="s">
        <v>4868</v>
      </c>
    </row>
    <row r="4631" spans="1:3" x14ac:dyDescent="0.35">
      <c r="A4631" t="s">
        <v>216</v>
      </c>
      <c r="B4631" t="s">
        <v>244</v>
      </c>
      <c r="C4631" t="s">
        <v>4869</v>
      </c>
    </row>
    <row r="4632" spans="1:3" x14ac:dyDescent="0.35">
      <c r="A4632" t="s">
        <v>216</v>
      </c>
      <c r="B4632" t="s">
        <v>244</v>
      </c>
      <c r="C4632" t="s">
        <v>4870</v>
      </c>
    </row>
    <row r="4633" spans="1:3" x14ac:dyDescent="0.35">
      <c r="A4633" t="s">
        <v>216</v>
      </c>
      <c r="B4633" t="s">
        <v>244</v>
      </c>
      <c r="C4633" t="s">
        <v>4871</v>
      </c>
    </row>
    <row r="4634" spans="1:3" x14ac:dyDescent="0.35">
      <c r="A4634" t="s">
        <v>216</v>
      </c>
      <c r="B4634" t="s">
        <v>244</v>
      </c>
      <c r="C4634" t="s">
        <v>4872</v>
      </c>
    </row>
    <row r="4635" spans="1:3" x14ac:dyDescent="0.35">
      <c r="A4635" t="s">
        <v>216</v>
      </c>
      <c r="B4635" t="s">
        <v>244</v>
      </c>
      <c r="C4635" t="s">
        <v>4873</v>
      </c>
    </row>
    <row r="4636" spans="1:3" x14ac:dyDescent="0.35">
      <c r="A4636" t="s">
        <v>216</v>
      </c>
      <c r="B4636" t="s">
        <v>244</v>
      </c>
      <c r="C4636" t="s">
        <v>4874</v>
      </c>
    </row>
    <row r="4637" spans="1:3" x14ac:dyDescent="0.35">
      <c r="A4637" t="s">
        <v>216</v>
      </c>
      <c r="B4637" t="s">
        <v>244</v>
      </c>
      <c r="C4637" t="s">
        <v>4875</v>
      </c>
    </row>
    <row r="4638" spans="1:3" x14ac:dyDescent="0.35">
      <c r="A4638" t="s">
        <v>216</v>
      </c>
      <c r="B4638" t="s">
        <v>244</v>
      </c>
      <c r="C4638" t="s">
        <v>4876</v>
      </c>
    </row>
    <row r="4639" spans="1:3" x14ac:dyDescent="0.35">
      <c r="A4639" t="s">
        <v>216</v>
      </c>
      <c r="B4639" t="s">
        <v>244</v>
      </c>
      <c r="C4639" t="s">
        <v>4877</v>
      </c>
    </row>
    <row r="4640" spans="1:3" x14ac:dyDescent="0.35">
      <c r="A4640" t="s">
        <v>216</v>
      </c>
      <c r="B4640" t="s">
        <v>244</v>
      </c>
      <c r="C4640" t="s">
        <v>4878</v>
      </c>
    </row>
    <row r="4641" spans="1:3" x14ac:dyDescent="0.35">
      <c r="A4641" t="s">
        <v>216</v>
      </c>
      <c r="B4641" t="s">
        <v>244</v>
      </c>
      <c r="C4641" t="s">
        <v>4879</v>
      </c>
    </row>
    <row r="4642" spans="1:3" x14ac:dyDescent="0.35">
      <c r="A4642" t="s">
        <v>216</v>
      </c>
      <c r="B4642" t="s">
        <v>244</v>
      </c>
      <c r="C4642" t="s">
        <v>4880</v>
      </c>
    </row>
    <row r="4643" spans="1:3" x14ac:dyDescent="0.35">
      <c r="A4643" t="s">
        <v>216</v>
      </c>
      <c r="B4643" t="s">
        <v>244</v>
      </c>
      <c r="C4643" t="s">
        <v>4881</v>
      </c>
    </row>
    <row r="4644" spans="1:3" x14ac:dyDescent="0.35">
      <c r="A4644" t="s">
        <v>216</v>
      </c>
      <c r="B4644" t="s">
        <v>244</v>
      </c>
      <c r="C4644" t="s">
        <v>4882</v>
      </c>
    </row>
    <row r="4645" spans="1:3" x14ac:dyDescent="0.35">
      <c r="A4645" t="s">
        <v>216</v>
      </c>
      <c r="B4645" t="s">
        <v>244</v>
      </c>
      <c r="C4645" t="s">
        <v>4883</v>
      </c>
    </row>
    <row r="4646" spans="1:3" x14ac:dyDescent="0.35">
      <c r="A4646" t="s">
        <v>216</v>
      </c>
      <c r="B4646" t="s">
        <v>244</v>
      </c>
      <c r="C4646" t="s">
        <v>4884</v>
      </c>
    </row>
    <row r="4647" spans="1:3" x14ac:dyDescent="0.35">
      <c r="A4647" t="s">
        <v>216</v>
      </c>
      <c r="B4647" t="s">
        <v>244</v>
      </c>
      <c r="C4647" t="s">
        <v>4885</v>
      </c>
    </row>
    <row r="4648" spans="1:3" x14ac:dyDescent="0.35">
      <c r="A4648" t="s">
        <v>216</v>
      </c>
      <c r="B4648" t="s">
        <v>244</v>
      </c>
      <c r="C4648" t="s">
        <v>4886</v>
      </c>
    </row>
    <row r="4649" spans="1:3" x14ac:dyDescent="0.35">
      <c r="A4649" t="s">
        <v>216</v>
      </c>
      <c r="B4649" t="s">
        <v>244</v>
      </c>
      <c r="C4649" t="s">
        <v>4887</v>
      </c>
    </row>
    <row r="4650" spans="1:3" x14ac:dyDescent="0.35">
      <c r="A4650" t="s">
        <v>216</v>
      </c>
      <c r="B4650" t="s">
        <v>244</v>
      </c>
      <c r="C4650" t="s">
        <v>4888</v>
      </c>
    </row>
    <row r="4651" spans="1:3" x14ac:dyDescent="0.35">
      <c r="A4651" t="s">
        <v>216</v>
      </c>
      <c r="B4651" t="s">
        <v>244</v>
      </c>
      <c r="C4651" t="s">
        <v>4889</v>
      </c>
    </row>
    <row r="4652" spans="1:3" x14ac:dyDescent="0.35">
      <c r="A4652" t="s">
        <v>216</v>
      </c>
      <c r="B4652" t="s">
        <v>244</v>
      </c>
      <c r="C4652" t="s">
        <v>4890</v>
      </c>
    </row>
    <row r="4653" spans="1:3" x14ac:dyDescent="0.35">
      <c r="A4653" t="s">
        <v>216</v>
      </c>
      <c r="B4653" t="s">
        <v>244</v>
      </c>
      <c r="C4653" t="s">
        <v>4891</v>
      </c>
    </row>
    <row r="4654" spans="1:3" x14ac:dyDescent="0.35">
      <c r="A4654" t="s">
        <v>216</v>
      </c>
      <c r="B4654" t="s">
        <v>244</v>
      </c>
      <c r="C4654" t="s">
        <v>4892</v>
      </c>
    </row>
    <row r="4655" spans="1:3" x14ac:dyDescent="0.35">
      <c r="A4655" t="s">
        <v>216</v>
      </c>
      <c r="B4655" t="s">
        <v>244</v>
      </c>
      <c r="C4655" t="s">
        <v>4893</v>
      </c>
    </row>
    <row r="4656" spans="1:3" x14ac:dyDescent="0.35">
      <c r="A4656" t="s">
        <v>216</v>
      </c>
      <c r="B4656" t="s">
        <v>244</v>
      </c>
      <c r="C4656" t="s">
        <v>4894</v>
      </c>
    </row>
    <row r="4657" spans="1:3" x14ac:dyDescent="0.35">
      <c r="A4657" t="s">
        <v>216</v>
      </c>
      <c r="B4657" t="s">
        <v>244</v>
      </c>
      <c r="C4657" t="s">
        <v>4895</v>
      </c>
    </row>
    <row r="4658" spans="1:3" x14ac:dyDescent="0.35">
      <c r="A4658" t="s">
        <v>216</v>
      </c>
      <c r="B4658" t="s">
        <v>244</v>
      </c>
      <c r="C4658" t="s">
        <v>4896</v>
      </c>
    </row>
    <row r="4659" spans="1:3" x14ac:dyDescent="0.35">
      <c r="A4659" t="s">
        <v>216</v>
      </c>
      <c r="B4659" t="s">
        <v>244</v>
      </c>
      <c r="C4659" t="s">
        <v>4897</v>
      </c>
    </row>
    <row r="4660" spans="1:3" x14ac:dyDescent="0.35">
      <c r="A4660" t="s">
        <v>216</v>
      </c>
      <c r="B4660" t="s">
        <v>244</v>
      </c>
      <c r="C4660" t="s">
        <v>4898</v>
      </c>
    </row>
    <row r="4661" spans="1:3" x14ac:dyDescent="0.35">
      <c r="A4661" t="s">
        <v>216</v>
      </c>
      <c r="B4661" t="s">
        <v>244</v>
      </c>
      <c r="C4661" t="s">
        <v>4899</v>
      </c>
    </row>
    <row r="4662" spans="1:3" x14ac:dyDescent="0.35">
      <c r="A4662" t="s">
        <v>216</v>
      </c>
      <c r="B4662" t="s">
        <v>244</v>
      </c>
      <c r="C4662" t="s">
        <v>4900</v>
      </c>
    </row>
    <row r="4663" spans="1:3" x14ac:dyDescent="0.35">
      <c r="A4663" t="s">
        <v>216</v>
      </c>
      <c r="B4663" t="s">
        <v>244</v>
      </c>
      <c r="C4663" t="s">
        <v>4901</v>
      </c>
    </row>
    <row r="4664" spans="1:3" x14ac:dyDescent="0.35">
      <c r="A4664" t="s">
        <v>216</v>
      </c>
      <c r="B4664" t="s">
        <v>244</v>
      </c>
      <c r="C4664" t="s">
        <v>4902</v>
      </c>
    </row>
    <row r="4665" spans="1:3" x14ac:dyDescent="0.35">
      <c r="A4665" t="s">
        <v>216</v>
      </c>
      <c r="B4665" t="s">
        <v>244</v>
      </c>
      <c r="C4665" t="s">
        <v>4903</v>
      </c>
    </row>
    <row r="4666" spans="1:3" x14ac:dyDescent="0.35">
      <c r="A4666" t="s">
        <v>216</v>
      </c>
      <c r="B4666" t="s">
        <v>244</v>
      </c>
      <c r="C4666" t="s">
        <v>4904</v>
      </c>
    </row>
    <row r="4667" spans="1:3" x14ac:dyDescent="0.35">
      <c r="A4667" t="s">
        <v>216</v>
      </c>
      <c r="B4667" t="s">
        <v>244</v>
      </c>
      <c r="C4667" t="s">
        <v>4905</v>
      </c>
    </row>
    <row r="4668" spans="1:3" x14ac:dyDescent="0.35">
      <c r="A4668" t="s">
        <v>216</v>
      </c>
      <c r="B4668" t="s">
        <v>244</v>
      </c>
      <c r="C4668" t="s">
        <v>4906</v>
      </c>
    </row>
    <row r="4669" spans="1:3" x14ac:dyDescent="0.35">
      <c r="A4669" t="s">
        <v>216</v>
      </c>
      <c r="B4669" t="s">
        <v>244</v>
      </c>
      <c r="C4669" t="s">
        <v>4907</v>
      </c>
    </row>
    <row r="4670" spans="1:3" x14ac:dyDescent="0.35">
      <c r="A4670" t="s">
        <v>216</v>
      </c>
      <c r="B4670" t="s">
        <v>244</v>
      </c>
      <c r="C4670" t="s">
        <v>4908</v>
      </c>
    </row>
    <row r="4671" spans="1:3" x14ac:dyDescent="0.35">
      <c r="A4671" t="s">
        <v>216</v>
      </c>
      <c r="B4671" t="s">
        <v>244</v>
      </c>
      <c r="C4671" t="s">
        <v>4909</v>
      </c>
    </row>
    <row r="4672" spans="1:3" x14ac:dyDescent="0.35">
      <c r="A4672" t="s">
        <v>216</v>
      </c>
      <c r="B4672" t="s">
        <v>244</v>
      </c>
      <c r="C4672" t="s">
        <v>4910</v>
      </c>
    </row>
    <row r="4673" spans="1:3" x14ac:dyDescent="0.35">
      <c r="A4673" t="s">
        <v>216</v>
      </c>
      <c r="B4673" t="s">
        <v>244</v>
      </c>
      <c r="C4673" t="s">
        <v>4911</v>
      </c>
    </row>
    <row r="4674" spans="1:3" x14ac:dyDescent="0.35">
      <c r="A4674" t="s">
        <v>216</v>
      </c>
      <c r="B4674" t="s">
        <v>244</v>
      </c>
      <c r="C4674" t="s">
        <v>4912</v>
      </c>
    </row>
    <row r="4675" spans="1:3" x14ac:dyDescent="0.35">
      <c r="A4675" t="s">
        <v>216</v>
      </c>
      <c r="B4675" t="s">
        <v>244</v>
      </c>
      <c r="C4675" t="s">
        <v>4913</v>
      </c>
    </row>
    <row r="4676" spans="1:3" x14ac:dyDescent="0.35">
      <c r="A4676" t="s">
        <v>216</v>
      </c>
      <c r="B4676" t="s">
        <v>244</v>
      </c>
      <c r="C4676" t="s">
        <v>4914</v>
      </c>
    </row>
    <row r="4677" spans="1:3" x14ac:dyDescent="0.35">
      <c r="A4677" t="s">
        <v>216</v>
      </c>
      <c r="B4677" t="s">
        <v>244</v>
      </c>
      <c r="C4677" t="s">
        <v>4915</v>
      </c>
    </row>
    <row r="4678" spans="1:3" x14ac:dyDescent="0.35">
      <c r="A4678" t="s">
        <v>216</v>
      </c>
      <c r="B4678" t="s">
        <v>244</v>
      </c>
      <c r="C4678" t="s">
        <v>4916</v>
      </c>
    </row>
    <row r="4679" spans="1:3" x14ac:dyDescent="0.35">
      <c r="A4679" t="s">
        <v>216</v>
      </c>
      <c r="B4679" t="s">
        <v>244</v>
      </c>
      <c r="C4679" t="s">
        <v>4917</v>
      </c>
    </row>
    <row r="4680" spans="1:3" x14ac:dyDescent="0.35">
      <c r="A4680" t="s">
        <v>216</v>
      </c>
      <c r="B4680" t="s">
        <v>244</v>
      </c>
      <c r="C4680" t="s">
        <v>4918</v>
      </c>
    </row>
    <row r="4681" spans="1:3" x14ac:dyDescent="0.35">
      <c r="A4681" t="s">
        <v>216</v>
      </c>
      <c r="B4681" t="s">
        <v>244</v>
      </c>
      <c r="C4681" t="s">
        <v>4919</v>
      </c>
    </row>
    <row r="4682" spans="1:3" x14ac:dyDescent="0.35">
      <c r="A4682" t="s">
        <v>216</v>
      </c>
      <c r="B4682" t="s">
        <v>244</v>
      </c>
      <c r="C4682" t="s">
        <v>4920</v>
      </c>
    </row>
    <row r="4683" spans="1:3" x14ac:dyDescent="0.35">
      <c r="A4683" t="s">
        <v>216</v>
      </c>
      <c r="B4683" t="s">
        <v>244</v>
      </c>
      <c r="C4683" t="s">
        <v>4921</v>
      </c>
    </row>
    <row r="4684" spans="1:3" x14ac:dyDescent="0.35">
      <c r="A4684" t="s">
        <v>216</v>
      </c>
      <c r="B4684" t="s">
        <v>244</v>
      </c>
      <c r="C4684" t="s">
        <v>4922</v>
      </c>
    </row>
    <row r="4685" spans="1:3" x14ac:dyDescent="0.35">
      <c r="A4685" t="s">
        <v>216</v>
      </c>
      <c r="B4685" t="s">
        <v>244</v>
      </c>
      <c r="C4685" t="s">
        <v>4923</v>
      </c>
    </row>
    <row r="4686" spans="1:3" x14ac:dyDescent="0.35">
      <c r="A4686" t="s">
        <v>216</v>
      </c>
      <c r="B4686" t="s">
        <v>244</v>
      </c>
      <c r="C4686" t="s">
        <v>4924</v>
      </c>
    </row>
    <row r="4687" spans="1:3" x14ac:dyDescent="0.35">
      <c r="A4687" t="s">
        <v>216</v>
      </c>
      <c r="B4687" t="s">
        <v>244</v>
      </c>
      <c r="C4687" t="s">
        <v>4925</v>
      </c>
    </row>
    <row r="4688" spans="1:3" x14ac:dyDescent="0.35">
      <c r="A4688" t="s">
        <v>216</v>
      </c>
      <c r="B4688" t="s">
        <v>244</v>
      </c>
      <c r="C4688" t="s">
        <v>4926</v>
      </c>
    </row>
    <row r="4689" spans="1:3" x14ac:dyDescent="0.35">
      <c r="A4689" t="s">
        <v>216</v>
      </c>
      <c r="B4689" t="s">
        <v>244</v>
      </c>
      <c r="C4689" t="s">
        <v>4927</v>
      </c>
    </row>
    <row r="4690" spans="1:3" x14ac:dyDescent="0.35">
      <c r="A4690" t="s">
        <v>216</v>
      </c>
      <c r="B4690" t="s">
        <v>244</v>
      </c>
      <c r="C4690" t="s">
        <v>4928</v>
      </c>
    </row>
    <row r="4691" spans="1:3" x14ac:dyDescent="0.35">
      <c r="A4691" t="s">
        <v>216</v>
      </c>
      <c r="B4691" t="s">
        <v>244</v>
      </c>
      <c r="C4691" t="s">
        <v>4929</v>
      </c>
    </row>
    <row r="4692" spans="1:3" x14ac:dyDescent="0.35">
      <c r="A4692" t="s">
        <v>216</v>
      </c>
      <c r="B4692" t="s">
        <v>244</v>
      </c>
      <c r="C4692" t="s">
        <v>4930</v>
      </c>
    </row>
    <row r="4693" spans="1:3" x14ac:dyDescent="0.35">
      <c r="A4693" t="s">
        <v>216</v>
      </c>
      <c r="B4693" t="s">
        <v>244</v>
      </c>
      <c r="C4693" t="s">
        <v>4931</v>
      </c>
    </row>
    <row r="4694" spans="1:3" x14ac:dyDescent="0.35">
      <c r="A4694" t="s">
        <v>216</v>
      </c>
      <c r="B4694" t="s">
        <v>244</v>
      </c>
      <c r="C4694" t="s">
        <v>4932</v>
      </c>
    </row>
    <row r="4695" spans="1:3" x14ac:dyDescent="0.35">
      <c r="A4695" t="s">
        <v>216</v>
      </c>
      <c r="B4695" t="s">
        <v>244</v>
      </c>
      <c r="C4695" t="s">
        <v>4933</v>
      </c>
    </row>
    <row r="4696" spans="1:3" x14ac:dyDescent="0.35">
      <c r="A4696" t="s">
        <v>216</v>
      </c>
      <c r="B4696" t="s">
        <v>244</v>
      </c>
      <c r="C4696" t="s">
        <v>4934</v>
      </c>
    </row>
    <row r="4697" spans="1:3" x14ac:dyDescent="0.35">
      <c r="A4697" t="s">
        <v>216</v>
      </c>
      <c r="B4697" t="s">
        <v>244</v>
      </c>
      <c r="C4697" t="s">
        <v>4935</v>
      </c>
    </row>
    <row r="4698" spans="1:3" x14ac:dyDescent="0.35">
      <c r="A4698" t="s">
        <v>216</v>
      </c>
      <c r="B4698" t="s">
        <v>244</v>
      </c>
      <c r="C4698" t="s">
        <v>4936</v>
      </c>
    </row>
    <row r="4699" spans="1:3" x14ac:dyDescent="0.35">
      <c r="A4699" t="s">
        <v>216</v>
      </c>
      <c r="B4699" t="s">
        <v>244</v>
      </c>
      <c r="C4699" t="s">
        <v>4937</v>
      </c>
    </row>
    <row r="4700" spans="1:3" x14ac:dyDescent="0.35">
      <c r="A4700" t="s">
        <v>216</v>
      </c>
      <c r="B4700" t="s">
        <v>244</v>
      </c>
      <c r="C4700" t="s">
        <v>4938</v>
      </c>
    </row>
    <row r="4701" spans="1:3" x14ac:dyDescent="0.35">
      <c r="A4701" t="s">
        <v>216</v>
      </c>
      <c r="B4701" t="s">
        <v>244</v>
      </c>
      <c r="C4701" t="s">
        <v>4939</v>
      </c>
    </row>
    <row r="4702" spans="1:3" x14ac:dyDescent="0.35">
      <c r="A4702" t="s">
        <v>216</v>
      </c>
      <c r="B4702" t="s">
        <v>244</v>
      </c>
      <c r="C4702" t="s">
        <v>4940</v>
      </c>
    </row>
    <row r="4703" spans="1:3" x14ac:dyDescent="0.35">
      <c r="A4703" t="s">
        <v>216</v>
      </c>
      <c r="B4703" t="s">
        <v>244</v>
      </c>
      <c r="C4703" t="s">
        <v>4941</v>
      </c>
    </row>
    <row r="4704" spans="1:3" x14ac:dyDescent="0.35">
      <c r="A4704" t="s">
        <v>216</v>
      </c>
      <c r="B4704" t="s">
        <v>244</v>
      </c>
      <c r="C4704" t="s">
        <v>4942</v>
      </c>
    </row>
    <row r="4705" spans="1:3" x14ac:dyDescent="0.35">
      <c r="A4705" t="s">
        <v>216</v>
      </c>
      <c r="B4705" t="s">
        <v>244</v>
      </c>
      <c r="C4705" t="s">
        <v>4943</v>
      </c>
    </row>
    <row r="4706" spans="1:3" x14ac:dyDescent="0.35">
      <c r="A4706" t="s">
        <v>216</v>
      </c>
      <c r="B4706" t="s">
        <v>244</v>
      </c>
      <c r="C4706" t="s">
        <v>4944</v>
      </c>
    </row>
    <row r="4707" spans="1:3" x14ac:dyDescent="0.35">
      <c r="A4707" t="s">
        <v>216</v>
      </c>
      <c r="B4707" t="s">
        <v>244</v>
      </c>
      <c r="C4707" t="s">
        <v>4945</v>
      </c>
    </row>
    <row r="4708" spans="1:3" x14ac:dyDescent="0.35">
      <c r="A4708" t="s">
        <v>216</v>
      </c>
      <c r="B4708" t="s">
        <v>244</v>
      </c>
      <c r="C4708" t="s">
        <v>4946</v>
      </c>
    </row>
    <row r="4709" spans="1:3" x14ac:dyDescent="0.35">
      <c r="A4709" t="s">
        <v>216</v>
      </c>
      <c r="B4709" t="s">
        <v>244</v>
      </c>
      <c r="C4709" t="s">
        <v>4947</v>
      </c>
    </row>
    <row r="4710" spans="1:3" x14ac:dyDescent="0.35">
      <c r="A4710" t="s">
        <v>216</v>
      </c>
      <c r="B4710" t="s">
        <v>244</v>
      </c>
      <c r="C4710" t="s">
        <v>4948</v>
      </c>
    </row>
    <row r="4711" spans="1:3" x14ac:dyDescent="0.35">
      <c r="A4711" t="s">
        <v>216</v>
      </c>
      <c r="B4711" t="s">
        <v>244</v>
      </c>
      <c r="C4711" t="s">
        <v>4949</v>
      </c>
    </row>
    <row r="4712" spans="1:3" x14ac:dyDescent="0.35">
      <c r="A4712" t="s">
        <v>216</v>
      </c>
      <c r="B4712" t="s">
        <v>244</v>
      </c>
      <c r="C4712" t="s">
        <v>4950</v>
      </c>
    </row>
    <row r="4713" spans="1:3" x14ac:dyDescent="0.35">
      <c r="A4713" t="s">
        <v>216</v>
      </c>
      <c r="B4713" t="s">
        <v>244</v>
      </c>
      <c r="C4713" t="s">
        <v>4951</v>
      </c>
    </row>
    <row r="4714" spans="1:3" x14ac:dyDescent="0.35">
      <c r="A4714" t="s">
        <v>216</v>
      </c>
      <c r="B4714" t="s">
        <v>244</v>
      </c>
      <c r="C4714" t="s">
        <v>4952</v>
      </c>
    </row>
    <row r="4715" spans="1:3" x14ac:dyDescent="0.35">
      <c r="A4715" t="s">
        <v>216</v>
      </c>
      <c r="B4715" t="s">
        <v>244</v>
      </c>
      <c r="C4715" t="s">
        <v>4953</v>
      </c>
    </row>
    <row r="4716" spans="1:3" x14ac:dyDescent="0.35">
      <c r="A4716" t="s">
        <v>216</v>
      </c>
      <c r="B4716" t="s">
        <v>258</v>
      </c>
      <c r="C4716" t="s">
        <v>4954</v>
      </c>
    </row>
    <row r="4717" spans="1:3" x14ac:dyDescent="0.35">
      <c r="A4717" t="s">
        <v>216</v>
      </c>
      <c r="B4717" t="s">
        <v>258</v>
      </c>
      <c r="C4717" t="s">
        <v>4955</v>
      </c>
    </row>
    <row r="4718" spans="1:3" x14ac:dyDescent="0.35">
      <c r="A4718" t="s">
        <v>216</v>
      </c>
      <c r="B4718" t="s">
        <v>258</v>
      </c>
      <c r="C4718" t="s">
        <v>4956</v>
      </c>
    </row>
    <row r="4719" spans="1:3" x14ac:dyDescent="0.35">
      <c r="A4719" t="s">
        <v>216</v>
      </c>
      <c r="B4719" t="s">
        <v>258</v>
      </c>
      <c r="C4719" t="s">
        <v>258</v>
      </c>
    </row>
    <row r="4720" spans="1:3" x14ac:dyDescent="0.35">
      <c r="A4720" t="s">
        <v>216</v>
      </c>
      <c r="B4720" t="s">
        <v>258</v>
      </c>
      <c r="C4720" t="s">
        <v>4957</v>
      </c>
    </row>
    <row r="4721" spans="1:3" x14ac:dyDescent="0.35">
      <c r="A4721" t="s">
        <v>216</v>
      </c>
      <c r="B4721" t="s">
        <v>258</v>
      </c>
      <c r="C4721" t="s">
        <v>4958</v>
      </c>
    </row>
    <row r="4722" spans="1:3" x14ac:dyDescent="0.35">
      <c r="A4722" t="s">
        <v>216</v>
      </c>
      <c r="B4722" t="s">
        <v>258</v>
      </c>
      <c r="C4722" t="s">
        <v>4959</v>
      </c>
    </row>
    <row r="4723" spans="1:3" x14ac:dyDescent="0.35">
      <c r="A4723" t="s">
        <v>216</v>
      </c>
      <c r="B4723" t="s">
        <v>258</v>
      </c>
      <c r="C4723" t="s">
        <v>4960</v>
      </c>
    </row>
    <row r="4724" spans="1:3" x14ac:dyDescent="0.35">
      <c r="A4724" t="s">
        <v>216</v>
      </c>
      <c r="B4724" t="s">
        <v>258</v>
      </c>
      <c r="C4724" t="s">
        <v>4961</v>
      </c>
    </row>
    <row r="4725" spans="1:3" x14ac:dyDescent="0.35">
      <c r="A4725" t="s">
        <v>216</v>
      </c>
      <c r="B4725" t="s">
        <v>258</v>
      </c>
      <c r="C4725" t="s">
        <v>4962</v>
      </c>
    </row>
    <row r="4726" spans="1:3" x14ac:dyDescent="0.35">
      <c r="A4726" t="s">
        <v>216</v>
      </c>
      <c r="B4726" t="s">
        <v>258</v>
      </c>
      <c r="C4726" t="s">
        <v>4963</v>
      </c>
    </row>
    <row r="4727" spans="1:3" x14ac:dyDescent="0.35">
      <c r="A4727" t="s">
        <v>216</v>
      </c>
      <c r="B4727" t="s">
        <v>258</v>
      </c>
      <c r="C4727" t="s">
        <v>4964</v>
      </c>
    </row>
    <row r="4728" spans="1:3" x14ac:dyDescent="0.35">
      <c r="A4728" t="s">
        <v>216</v>
      </c>
      <c r="B4728" t="s">
        <v>258</v>
      </c>
      <c r="C4728" t="s">
        <v>4965</v>
      </c>
    </row>
    <row r="4729" spans="1:3" x14ac:dyDescent="0.35">
      <c r="A4729" t="s">
        <v>216</v>
      </c>
      <c r="B4729" t="s">
        <v>258</v>
      </c>
      <c r="C4729" t="s">
        <v>4966</v>
      </c>
    </row>
    <row r="4730" spans="1:3" x14ac:dyDescent="0.35">
      <c r="A4730" t="s">
        <v>216</v>
      </c>
      <c r="B4730" t="s">
        <v>258</v>
      </c>
      <c r="C4730" t="s">
        <v>4967</v>
      </c>
    </row>
    <row r="4731" spans="1:3" x14ac:dyDescent="0.35">
      <c r="A4731" t="s">
        <v>216</v>
      </c>
      <c r="B4731" t="s">
        <v>258</v>
      </c>
      <c r="C4731" t="s">
        <v>4968</v>
      </c>
    </row>
    <row r="4732" spans="1:3" x14ac:dyDescent="0.35">
      <c r="A4732" t="s">
        <v>216</v>
      </c>
      <c r="B4732" t="s">
        <v>258</v>
      </c>
      <c r="C4732" t="s">
        <v>4969</v>
      </c>
    </row>
    <row r="4733" spans="1:3" x14ac:dyDescent="0.35">
      <c r="A4733" t="s">
        <v>216</v>
      </c>
      <c r="B4733" t="s">
        <v>258</v>
      </c>
      <c r="C4733" t="s">
        <v>4970</v>
      </c>
    </row>
    <row r="4734" spans="1:3" x14ac:dyDescent="0.35">
      <c r="A4734" t="s">
        <v>216</v>
      </c>
      <c r="B4734" t="s">
        <v>258</v>
      </c>
      <c r="C4734" t="s">
        <v>4971</v>
      </c>
    </row>
    <row r="4735" spans="1:3" x14ac:dyDescent="0.35">
      <c r="A4735" t="s">
        <v>216</v>
      </c>
      <c r="B4735" t="s">
        <v>258</v>
      </c>
      <c r="C4735" t="s">
        <v>4972</v>
      </c>
    </row>
    <row r="4736" spans="1:3" x14ac:dyDescent="0.35">
      <c r="A4736" t="s">
        <v>216</v>
      </c>
      <c r="B4736" t="s">
        <v>258</v>
      </c>
      <c r="C4736" t="s">
        <v>4973</v>
      </c>
    </row>
    <row r="4737" spans="1:3" x14ac:dyDescent="0.35">
      <c r="A4737" t="s">
        <v>216</v>
      </c>
      <c r="B4737" t="s">
        <v>258</v>
      </c>
      <c r="C4737" t="s">
        <v>4974</v>
      </c>
    </row>
    <row r="4738" spans="1:3" x14ac:dyDescent="0.35">
      <c r="A4738" t="s">
        <v>216</v>
      </c>
      <c r="B4738" t="s">
        <v>258</v>
      </c>
      <c r="C4738" t="s">
        <v>4975</v>
      </c>
    </row>
    <row r="4739" spans="1:3" x14ac:dyDescent="0.35">
      <c r="A4739" t="s">
        <v>216</v>
      </c>
      <c r="B4739" t="s">
        <v>258</v>
      </c>
      <c r="C4739" t="s">
        <v>4976</v>
      </c>
    </row>
    <row r="4740" spans="1:3" x14ac:dyDescent="0.35">
      <c r="A4740" t="s">
        <v>216</v>
      </c>
      <c r="B4740" t="s">
        <v>258</v>
      </c>
      <c r="C4740" t="s">
        <v>4977</v>
      </c>
    </row>
    <row r="4741" spans="1:3" x14ac:dyDescent="0.35">
      <c r="A4741" t="s">
        <v>216</v>
      </c>
      <c r="B4741" t="s">
        <v>258</v>
      </c>
      <c r="C4741" t="s">
        <v>4978</v>
      </c>
    </row>
    <row r="4742" spans="1:3" x14ac:dyDescent="0.35">
      <c r="A4742" t="s">
        <v>216</v>
      </c>
      <c r="B4742" t="s">
        <v>258</v>
      </c>
      <c r="C4742" t="s">
        <v>4979</v>
      </c>
    </row>
    <row r="4743" spans="1:3" x14ac:dyDescent="0.35">
      <c r="A4743" t="s">
        <v>216</v>
      </c>
      <c r="B4743" t="s">
        <v>258</v>
      </c>
      <c r="C4743" t="s">
        <v>4980</v>
      </c>
    </row>
    <row r="4744" spans="1:3" x14ac:dyDescent="0.35">
      <c r="A4744" t="s">
        <v>216</v>
      </c>
      <c r="B4744" t="s">
        <v>258</v>
      </c>
      <c r="C4744" t="s">
        <v>4981</v>
      </c>
    </row>
    <row r="4745" spans="1:3" x14ac:dyDescent="0.35">
      <c r="A4745" t="s">
        <v>216</v>
      </c>
      <c r="B4745" t="s">
        <v>258</v>
      </c>
      <c r="C4745" t="s">
        <v>4982</v>
      </c>
    </row>
    <row r="4746" spans="1:3" x14ac:dyDescent="0.35">
      <c r="A4746" t="s">
        <v>216</v>
      </c>
      <c r="B4746" t="s">
        <v>258</v>
      </c>
      <c r="C4746" t="s">
        <v>4983</v>
      </c>
    </row>
    <row r="4747" spans="1:3" x14ac:dyDescent="0.35">
      <c r="A4747" t="s">
        <v>216</v>
      </c>
      <c r="B4747" t="s">
        <v>258</v>
      </c>
      <c r="C4747" t="s">
        <v>4984</v>
      </c>
    </row>
    <row r="4748" spans="1:3" x14ac:dyDescent="0.35">
      <c r="A4748" t="s">
        <v>216</v>
      </c>
      <c r="B4748" t="s">
        <v>258</v>
      </c>
      <c r="C4748" t="s">
        <v>4985</v>
      </c>
    </row>
    <row r="4749" spans="1:3" x14ac:dyDescent="0.35">
      <c r="A4749" t="s">
        <v>216</v>
      </c>
      <c r="B4749" t="s">
        <v>258</v>
      </c>
      <c r="C4749" t="s">
        <v>4986</v>
      </c>
    </row>
    <row r="4750" spans="1:3" x14ac:dyDescent="0.35">
      <c r="A4750" t="s">
        <v>216</v>
      </c>
      <c r="B4750" t="s">
        <v>258</v>
      </c>
      <c r="C4750" t="s">
        <v>4987</v>
      </c>
    </row>
    <row r="4751" spans="1:3" x14ac:dyDescent="0.35">
      <c r="A4751" t="s">
        <v>216</v>
      </c>
      <c r="B4751" t="s">
        <v>258</v>
      </c>
      <c r="C4751" t="s">
        <v>4988</v>
      </c>
    </row>
    <row r="4752" spans="1:3" x14ac:dyDescent="0.35">
      <c r="A4752" t="s">
        <v>216</v>
      </c>
      <c r="B4752" t="s">
        <v>258</v>
      </c>
      <c r="C4752" t="s">
        <v>4989</v>
      </c>
    </row>
    <row r="4753" spans="1:3" x14ac:dyDescent="0.35">
      <c r="A4753" t="s">
        <v>216</v>
      </c>
      <c r="B4753" t="s">
        <v>258</v>
      </c>
      <c r="C4753" t="s">
        <v>4990</v>
      </c>
    </row>
    <row r="4754" spans="1:3" x14ac:dyDescent="0.35">
      <c r="A4754" t="s">
        <v>216</v>
      </c>
      <c r="B4754" t="s">
        <v>258</v>
      </c>
      <c r="C4754" t="s">
        <v>4991</v>
      </c>
    </row>
    <row r="4755" spans="1:3" x14ac:dyDescent="0.35">
      <c r="A4755" t="s">
        <v>216</v>
      </c>
      <c r="B4755" t="s">
        <v>258</v>
      </c>
      <c r="C4755" t="s">
        <v>4992</v>
      </c>
    </row>
    <row r="4756" spans="1:3" x14ac:dyDescent="0.35">
      <c r="A4756" t="s">
        <v>216</v>
      </c>
      <c r="B4756" t="s">
        <v>258</v>
      </c>
      <c r="C4756" t="s">
        <v>4993</v>
      </c>
    </row>
    <row r="4757" spans="1:3" x14ac:dyDescent="0.35">
      <c r="A4757" t="s">
        <v>216</v>
      </c>
      <c r="B4757" t="s">
        <v>258</v>
      </c>
      <c r="C4757" t="s">
        <v>4994</v>
      </c>
    </row>
    <row r="4758" spans="1:3" x14ac:dyDescent="0.35">
      <c r="A4758" t="s">
        <v>216</v>
      </c>
      <c r="B4758" t="s">
        <v>258</v>
      </c>
      <c r="C4758" t="s">
        <v>4995</v>
      </c>
    </row>
    <row r="4759" spans="1:3" x14ac:dyDescent="0.35">
      <c r="A4759" t="s">
        <v>216</v>
      </c>
      <c r="B4759" t="s">
        <v>258</v>
      </c>
      <c r="C4759" t="s">
        <v>4996</v>
      </c>
    </row>
    <row r="4760" spans="1:3" x14ac:dyDescent="0.35">
      <c r="A4760" t="s">
        <v>216</v>
      </c>
      <c r="B4760" t="s">
        <v>258</v>
      </c>
      <c r="C4760" t="s">
        <v>4997</v>
      </c>
    </row>
    <row r="4761" spans="1:3" x14ac:dyDescent="0.35">
      <c r="A4761" t="s">
        <v>216</v>
      </c>
      <c r="B4761" t="s">
        <v>258</v>
      </c>
      <c r="C4761" t="s">
        <v>4998</v>
      </c>
    </row>
    <row r="4762" spans="1:3" x14ac:dyDescent="0.35">
      <c r="A4762" t="s">
        <v>216</v>
      </c>
      <c r="B4762" t="s">
        <v>258</v>
      </c>
      <c r="C4762" t="s">
        <v>4999</v>
      </c>
    </row>
    <row r="4763" spans="1:3" x14ac:dyDescent="0.35">
      <c r="A4763" t="s">
        <v>216</v>
      </c>
      <c r="B4763" t="s">
        <v>258</v>
      </c>
      <c r="C4763" t="s">
        <v>5000</v>
      </c>
    </row>
    <row r="4764" spans="1:3" x14ac:dyDescent="0.35">
      <c r="A4764" t="s">
        <v>216</v>
      </c>
      <c r="B4764" t="s">
        <v>258</v>
      </c>
      <c r="C4764" t="s">
        <v>5001</v>
      </c>
    </row>
    <row r="4765" spans="1:3" x14ac:dyDescent="0.35">
      <c r="A4765" t="s">
        <v>216</v>
      </c>
      <c r="B4765" t="s">
        <v>258</v>
      </c>
      <c r="C4765" t="s">
        <v>5002</v>
      </c>
    </row>
    <row r="4766" spans="1:3" x14ac:dyDescent="0.35">
      <c r="A4766" t="s">
        <v>216</v>
      </c>
      <c r="B4766" t="s">
        <v>258</v>
      </c>
      <c r="C4766" t="s">
        <v>5003</v>
      </c>
    </row>
    <row r="4767" spans="1:3" x14ac:dyDescent="0.35">
      <c r="A4767" t="s">
        <v>216</v>
      </c>
      <c r="B4767" t="s">
        <v>258</v>
      </c>
      <c r="C4767" t="s">
        <v>5004</v>
      </c>
    </row>
    <row r="4768" spans="1:3" x14ac:dyDescent="0.35">
      <c r="A4768" t="s">
        <v>216</v>
      </c>
      <c r="B4768" t="s">
        <v>258</v>
      </c>
      <c r="C4768" t="s">
        <v>5005</v>
      </c>
    </row>
    <row r="4769" spans="1:3" x14ac:dyDescent="0.35">
      <c r="A4769" t="s">
        <v>216</v>
      </c>
      <c r="B4769" t="s">
        <v>258</v>
      </c>
      <c r="C4769" t="s">
        <v>5006</v>
      </c>
    </row>
    <row r="4770" spans="1:3" x14ac:dyDescent="0.35">
      <c r="A4770" t="s">
        <v>216</v>
      </c>
      <c r="B4770" t="s">
        <v>258</v>
      </c>
      <c r="C4770" t="s">
        <v>5007</v>
      </c>
    </row>
    <row r="4771" spans="1:3" x14ac:dyDescent="0.35">
      <c r="A4771" t="s">
        <v>216</v>
      </c>
      <c r="B4771" t="s">
        <v>258</v>
      </c>
      <c r="C4771" t="s">
        <v>5008</v>
      </c>
    </row>
    <row r="4772" spans="1:3" x14ac:dyDescent="0.35">
      <c r="A4772" t="s">
        <v>216</v>
      </c>
      <c r="B4772" t="s">
        <v>258</v>
      </c>
      <c r="C4772" t="s">
        <v>5009</v>
      </c>
    </row>
    <row r="4773" spans="1:3" x14ac:dyDescent="0.35">
      <c r="A4773" t="s">
        <v>216</v>
      </c>
      <c r="B4773" t="s">
        <v>258</v>
      </c>
      <c r="C4773" t="s">
        <v>5010</v>
      </c>
    </row>
    <row r="4774" spans="1:3" x14ac:dyDescent="0.35">
      <c r="A4774" t="s">
        <v>216</v>
      </c>
      <c r="B4774" t="s">
        <v>258</v>
      </c>
      <c r="C4774" t="s">
        <v>5011</v>
      </c>
    </row>
    <row r="4775" spans="1:3" x14ac:dyDescent="0.35">
      <c r="A4775" t="s">
        <v>216</v>
      </c>
      <c r="B4775" t="s">
        <v>258</v>
      </c>
      <c r="C4775" t="s">
        <v>5012</v>
      </c>
    </row>
    <row r="4776" spans="1:3" x14ac:dyDescent="0.35">
      <c r="A4776" t="s">
        <v>216</v>
      </c>
      <c r="B4776" t="s">
        <v>258</v>
      </c>
      <c r="C4776" t="s">
        <v>5013</v>
      </c>
    </row>
    <row r="4777" spans="1:3" x14ac:dyDescent="0.35">
      <c r="A4777" t="s">
        <v>216</v>
      </c>
      <c r="B4777" t="s">
        <v>258</v>
      </c>
      <c r="C4777" t="s">
        <v>5014</v>
      </c>
    </row>
    <row r="4778" spans="1:3" x14ac:dyDescent="0.35">
      <c r="A4778" t="s">
        <v>216</v>
      </c>
      <c r="B4778" t="s">
        <v>258</v>
      </c>
      <c r="C4778" t="s">
        <v>5015</v>
      </c>
    </row>
    <row r="4779" spans="1:3" x14ac:dyDescent="0.35">
      <c r="A4779" t="s">
        <v>216</v>
      </c>
      <c r="B4779" t="s">
        <v>258</v>
      </c>
      <c r="C4779" t="s">
        <v>5016</v>
      </c>
    </row>
    <row r="4780" spans="1:3" x14ac:dyDescent="0.35">
      <c r="A4780" t="s">
        <v>216</v>
      </c>
      <c r="B4780" t="s">
        <v>258</v>
      </c>
      <c r="C4780" t="s">
        <v>5017</v>
      </c>
    </row>
    <row r="4781" spans="1:3" x14ac:dyDescent="0.35">
      <c r="A4781" t="s">
        <v>216</v>
      </c>
      <c r="B4781" t="s">
        <v>258</v>
      </c>
      <c r="C4781" t="s">
        <v>5018</v>
      </c>
    </row>
    <row r="4782" spans="1:3" x14ac:dyDescent="0.35">
      <c r="A4782" t="s">
        <v>216</v>
      </c>
      <c r="B4782" t="s">
        <v>258</v>
      </c>
      <c r="C4782" t="s">
        <v>5019</v>
      </c>
    </row>
    <row r="4783" spans="1:3" x14ac:dyDescent="0.35">
      <c r="A4783" t="s">
        <v>216</v>
      </c>
      <c r="B4783" t="s">
        <v>258</v>
      </c>
      <c r="C4783" t="s">
        <v>5020</v>
      </c>
    </row>
    <row r="4784" spans="1:3" x14ac:dyDescent="0.35">
      <c r="A4784" t="s">
        <v>216</v>
      </c>
      <c r="B4784" t="s">
        <v>258</v>
      </c>
      <c r="C4784" t="s">
        <v>5021</v>
      </c>
    </row>
    <row r="4785" spans="1:3" x14ac:dyDescent="0.35">
      <c r="A4785" t="s">
        <v>216</v>
      </c>
      <c r="B4785" t="s">
        <v>258</v>
      </c>
      <c r="C4785" t="s">
        <v>5022</v>
      </c>
    </row>
    <row r="4786" spans="1:3" x14ac:dyDescent="0.35">
      <c r="A4786" t="s">
        <v>216</v>
      </c>
      <c r="B4786" t="s">
        <v>258</v>
      </c>
      <c r="C4786" t="s">
        <v>5023</v>
      </c>
    </row>
    <row r="4787" spans="1:3" x14ac:dyDescent="0.35">
      <c r="A4787" t="s">
        <v>216</v>
      </c>
      <c r="B4787" t="s">
        <v>258</v>
      </c>
      <c r="C4787" t="s">
        <v>5024</v>
      </c>
    </row>
    <row r="4788" spans="1:3" x14ac:dyDescent="0.35">
      <c r="A4788" t="s">
        <v>216</v>
      </c>
      <c r="B4788" t="s">
        <v>258</v>
      </c>
      <c r="C4788" t="s">
        <v>5025</v>
      </c>
    </row>
    <row r="4789" spans="1:3" x14ac:dyDescent="0.35">
      <c r="A4789" t="s">
        <v>216</v>
      </c>
      <c r="B4789" t="s">
        <v>258</v>
      </c>
      <c r="C4789" t="s">
        <v>5026</v>
      </c>
    </row>
    <row r="4790" spans="1:3" x14ac:dyDescent="0.35">
      <c r="A4790" t="s">
        <v>216</v>
      </c>
      <c r="B4790" t="s">
        <v>53</v>
      </c>
      <c r="C4790" t="s">
        <v>5027</v>
      </c>
    </row>
    <row r="4791" spans="1:3" x14ac:dyDescent="0.35">
      <c r="A4791" t="s">
        <v>216</v>
      </c>
      <c r="B4791" t="s">
        <v>53</v>
      </c>
      <c r="C4791" t="s">
        <v>5028</v>
      </c>
    </row>
    <row r="4792" spans="1:3" x14ac:dyDescent="0.35">
      <c r="A4792" t="s">
        <v>216</v>
      </c>
      <c r="B4792" t="s">
        <v>53</v>
      </c>
      <c r="C4792" t="s">
        <v>5029</v>
      </c>
    </row>
    <row r="4793" spans="1:3" x14ac:dyDescent="0.35">
      <c r="A4793" t="s">
        <v>216</v>
      </c>
      <c r="B4793" t="s">
        <v>53</v>
      </c>
      <c r="C4793" t="s">
        <v>5030</v>
      </c>
    </row>
    <row r="4794" spans="1:3" x14ac:dyDescent="0.35">
      <c r="A4794" t="s">
        <v>216</v>
      </c>
      <c r="B4794" t="s">
        <v>53</v>
      </c>
      <c r="C4794" t="s">
        <v>5031</v>
      </c>
    </row>
    <row r="4795" spans="1:3" x14ac:dyDescent="0.35">
      <c r="A4795" t="s">
        <v>216</v>
      </c>
      <c r="B4795" t="s">
        <v>53</v>
      </c>
      <c r="C4795" t="s">
        <v>5032</v>
      </c>
    </row>
    <row r="4796" spans="1:3" x14ac:dyDescent="0.35">
      <c r="A4796" t="s">
        <v>216</v>
      </c>
      <c r="B4796" t="s">
        <v>53</v>
      </c>
      <c r="C4796" t="s">
        <v>5033</v>
      </c>
    </row>
    <row r="4797" spans="1:3" x14ac:dyDescent="0.35">
      <c r="A4797" t="s">
        <v>216</v>
      </c>
      <c r="B4797" t="s">
        <v>53</v>
      </c>
      <c r="C4797" t="s">
        <v>5034</v>
      </c>
    </row>
    <row r="4798" spans="1:3" x14ac:dyDescent="0.35">
      <c r="A4798" t="s">
        <v>216</v>
      </c>
      <c r="B4798" t="s">
        <v>53</v>
      </c>
      <c r="C4798" t="s">
        <v>5035</v>
      </c>
    </row>
    <row r="4799" spans="1:3" x14ac:dyDescent="0.35">
      <c r="A4799" t="s">
        <v>216</v>
      </c>
      <c r="B4799" t="s">
        <v>53</v>
      </c>
      <c r="C4799" t="s">
        <v>5036</v>
      </c>
    </row>
    <row r="4800" spans="1:3" x14ac:dyDescent="0.35">
      <c r="A4800" t="s">
        <v>216</v>
      </c>
      <c r="B4800" t="s">
        <v>53</v>
      </c>
      <c r="C4800" t="s">
        <v>5037</v>
      </c>
    </row>
    <row r="4801" spans="1:3" x14ac:dyDescent="0.35">
      <c r="A4801" t="s">
        <v>216</v>
      </c>
      <c r="B4801" t="s">
        <v>53</v>
      </c>
      <c r="C4801" t="s">
        <v>5038</v>
      </c>
    </row>
    <row r="4802" spans="1:3" x14ac:dyDescent="0.35">
      <c r="A4802" t="s">
        <v>216</v>
      </c>
      <c r="B4802" t="s">
        <v>53</v>
      </c>
      <c r="C4802" t="s">
        <v>5039</v>
      </c>
    </row>
    <row r="4803" spans="1:3" x14ac:dyDescent="0.35">
      <c r="A4803" t="s">
        <v>216</v>
      </c>
      <c r="B4803" t="s">
        <v>53</v>
      </c>
      <c r="C4803" t="s">
        <v>5040</v>
      </c>
    </row>
    <row r="4804" spans="1:3" x14ac:dyDescent="0.35">
      <c r="A4804" t="s">
        <v>216</v>
      </c>
      <c r="B4804" t="s">
        <v>53</v>
      </c>
      <c r="C4804" t="s">
        <v>5041</v>
      </c>
    </row>
    <row r="4805" spans="1:3" x14ac:dyDescent="0.35">
      <c r="A4805" t="s">
        <v>216</v>
      </c>
      <c r="B4805" t="s">
        <v>53</v>
      </c>
      <c r="C4805" t="s">
        <v>5042</v>
      </c>
    </row>
    <row r="4806" spans="1:3" x14ac:dyDescent="0.35">
      <c r="A4806" t="s">
        <v>216</v>
      </c>
      <c r="B4806" t="s">
        <v>53</v>
      </c>
      <c r="C4806" t="s">
        <v>5043</v>
      </c>
    </row>
    <row r="4807" spans="1:3" x14ac:dyDescent="0.35">
      <c r="A4807" t="s">
        <v>216</v>
      </c>
      <c r="B4807" t="s">
        <v>53</v>
      </c>
      <c r="C4807" t="s">
        <v>5044</v>
      </c>
    </row>
    <row r="4808" spans="1:3" x14ac:dyDescent="0.35">
      <c r="A4808" t="s">
        <v>216</v>
      </c>
      <c r="B4808" t="s">
        <v>53</v>
      </c>
      <c r="C4808" t="s">
        <v>5045</v>
      </c>
    </row>
    <row r="4809" spans="1:3" x14ac:dyDescent="0.35">
      <c r="A4809" t="s">
        <v>216</v>
      </c>
      <c r="B4809" t="s">
        <v>53</v>
      </c>
      <c r="C4809" t="s">
        <v>5046</v>
      </c>
    </row>
    <row r="4810" spans="1:3" x14ac:dyDescent="0.35">
      <c r="A4810" t="s">
        <v>216</v>
      </c>
      <c r="B4810" t="s">
        <v>53</v>
      </c>
      <c r="C4810" t="s">
        <v>5047</v>
      </c>
    </row>
    <row r="4811" spans="1:3" x14ac:dyDescent="0.35">
      <c r="A4811" t="s">
        <v>216</v>
      </c>
      <c r="B4811" t="s">
        <v>53</v>
      </c>
      <c r="C4811" t="s">
        <v>5048</v>
      </c>
    </row>
    <row r="4812" spans="1:3" x14ac:dyDescent="0.35">
      <c r="A4812" t="s">
        <v>216</v>
      </c>
      <c r="B4812" t="s">
        <v>53</v>
      </c>
      <c r="C4812" t="s">
        <v>5049</v>
      </c>
    </row>
    <row r="4813" spans="1:3" x14ac:dyDescent="0.35">
      <c r="A4813" t="s">
        <v>216</v>
      </c>
      <c r="B4813" t="s">
        <v>53</v>
      </c>
      <c r="C4813" t="s">
        <v>5050</v>
      </c>
    </row>
    <row r="4814" spans="1:3" x14ac:dyDescent="0.35">
      <c r="A4814" t="s">
        <v>216</v>
      </c>
      <c r="B4814" t="s">
        <v>53</v>
      </c>
      <c r="C4814" t="s">
        <v>5051</v>
      </c>
    </row>
    <row r="4815" spans="1:3" x14ac:dyDescent="0.35">
      <c r="A4815" t="s">
        <v>216</v>
      </c>
      <c r="B4815" t="s">
        <v>53</v>
      </c>
      <c r="C4815" t="s">
        <v>5052</v>
      </c>
    </row>
    <row r="4816" spans="1:3" x14ac:dyDescent="0.35">
      <c r="A4816" t="s">
        <v>216</v>
      </c>
      <c r="B4816" t="s">
        <v>53</v>
      </c>
      <c r="C4816" t="s">
        <v>5053</v>
      </c>
    </row>
    <row r="4817" spans="1:3" x14ac:dyDescent="0.35">
      <c r="A4817" t="s">
        <v>216</v>
      </c>
      <c r="B4817" t="s">
        <v>53</v>
      </c>
      <c r="C4817" t="s">
        <v>5054</v>
      </c>
    </row>
    <row r="4818" spans="1:3" x14ac:dyDescent="0.35">
      <c r="A4818" t="s">
        <v>216</v>
      </c>
      <c r="B4818" t="s">
        <v>53</v>
      </c>
      <c r="C4818" t="s">
        <v>5055</v>
      </c>
    </row>
    <row r="4819" spans="1:3" x14ac:dyDescent="0.35">
      <c r="A4819" t="s">
        <v>216</v>
      </c>
      <c r="B4819" t="s">
        <v>53</v>
      </c>
      <c r="C4819" t="s">
        <v>5056</v>
      </c>
    </row>
    <row r="4820" spans="1:3" x14ac:dyDescent="0.35">
      <c r="A4820" t="s">
        <v>216</v>
      </c>
      <c r="B4820" t="s">
        <v>53</v>
      </c>
      <c r="C4820" t="s">
        <v>5057</v>
      </c>
    </row>
    <row r="4821" spans="1:3" x14ac:dyDescent="0.35">
      <c r="A4821" t="s">
        <v>216</v>
      </c>
      <c r="B4821" t="s">
        <v>53</v>
      </c>
      <c r="C4821" t="s">
        <v>5058</v>
      </c>
    </row>
    <row r="4822" spans="1:3" x14ac:dyDescent="0.35">
      <c r="A4822" t="s">
        <v>216</v>
      </c>
      <c r="B4822" t="s">
        <v>53</v>
      </c>
      <c r="C4822" t="s">
        <v>5059</v>
      </c>
    </row>
    <row r="4823" spans="1:3" x14ac:dyDescent="0.35">
      <c r="A4823" t="s">
        <v>216</v>
      </c>
      <c r="B4823" t="s">
        <v>53</v>
      </c>
      <c r="C4823" t="s">
        <v>5060</v>
      </c>
    </row>
    <row r="4824" spans="1:3" x14ac:dyDescent="0.35">
      <c r="A4824" t="s">
        <v>216</v>
      </c>
      <c r="B4824" t="s">
        <v>53</v>
      </c>
      <c r="C4824" t="s">
        <v>5061</v>
      </c>
    </row>
    <row r="4825" spans="1:3" x14ac:dyDescent="0.35">
      <c r="A4825" t="s">
        <v>216</v>
      </c>
      <c r="B4825" t="s">
        <v>53</v>
      </c>
      <c r="C4825" t="s">
        <v>5062</v>
      </c>
    </row>
    <row r="4826" spans="1:3" x14ac:dyDescent="0.35">
      <c r="A4826" t="s">
        <v>216</v>
      </c>
      <c r="B4826" t="s">
        <v>53</v>
      </c>
      <c r="C4826" t="s">
        <v>5063</v>
      </c>
    </row>
    <row r="4827" spans="1:3" x14ac:dyDescent="0.35">
      <c r="A4827" t="s">
        <v>216</v>
      </c>
      <c r="B4827" t="s">
        <v>53</v>
      </c>
      <c r="C4827" t="s">
        <v>5064</v>
      </c>
    </row>
    <row r="4828" spans="1:3" x14ac:dyDescent="0.35">
      <c r="A4828" t="s">
        <v>216</v>
      </c>
      <c r="B4828" t="s">
        <v>53</v>
      </c>
      <c r="C4828" t="s">
        <v>5065</v>
      </c>
    </row>
    <row r="4829" spans="1:3" x14ac:dyDescent="0.35">
      <c r="A4829" t="s">
        <v>216</v>
      </c>
      <c r="B4829" t="s">
        <v>53</v>
      </c>
      <c r="C4829" t="s">
        <v>5066</v>
      </c>
    </row>
    <row r="4830" spans="1:3" x14ac:dyDescent="0.35">
      <c r="A4830" t="s">
        <v>216</v>
      </c>
      <c r="B4830" t="s">
        <v>53</v>
      </c>
      <c r="C4830" t="s">
        <v>5067</v>
      </c>
    </row>
    <row r="4831" spans="1:3" x14ac:dyDescent="0.35">
      <c r="A4831" t="s">
        <v>216</v>
      </c>
      <c r="B4831" t="s">
        <v>53</v>
      </c>
      <c r="C4831" t="s">
        <v>5068</v>
      </c>
    </row>
    <row r="4832" spans="1:3" x14ac:dyDescent="0.35">
      <c r="A4832" t="s">
        <v>216</v>
      </c>
      <c r="B4832" t="s">
        <v>53</v>
      </c>
      <c r="C4832" t="s">
        <v>5069</v>
      </c>
    </row>
    <row r="4833" spans="1:3" x14ac:dyDescent="0.35">
      <c r="A4833" t="s">
        <v>216</v>
      </c>
      <c r="B4833" t="s">
        <v>53</v>
      </c>
      <c r="C4833" t="s">
        <v>5070</v>
      </c>
    </row>
    <row r="4834" spans="1:3" x14ac:dyDescent="0.35">
      <c r="A4834" t="s">
        <v>216</v>
      </c>
      <c r="B4834" t="s">
        <v>53</v>
      </c>
      <c r="C4834" t="s">
        <v>5071</v>
      </c>
    </row>
    <row r="4835" spans="1:3" x14ac:dyDescent="0.35">
      <c r="A4835" t="s">
        <v>216</v>
      </c>
      <c r="B4835" t="s">
        <v>53</v>
      </c>
      <c r="C4835" t="s">
        <v>5072</v>
      </c>
    </row>
    <row r="4836" spans="1:3" x14ac:dyDescent="0.35">
      <c r="A4836" t="s">
        <v>216</v>
      </c>
      <c r="B4836" t="s">
        <v>53</v>
      </c>
      <c r="C4836" t="s">
        <v>5073</v>
      </c>
    </row>
    <row r="4837" spans="1:3" x14ac:dyDescent="0.35">
      <c r="A4837" t="s">
        <v>216</v>
      </c>
      <c r="B4837" t="s">
        <v>53</v>
      </c>
      <c r="C4837" t="s">
        <v>5074</v>
      </c>
    </row>
    <row r="4838" spans="1:3" x14ac:dyDescent="0.35">
      <c r="A4838" t="s">
        <v>216</v>
      </c>
      <c r="B4838" t="s">
        <v>53</v>
      </c>
      <c r="C4838" t="s">
        <v>5075</v>
      </c>
    </row>
    <row r="4839" spans="1:3" x14ac:dyDescent="0.35">
      <c r="A4839" t="s">
        <v>216</v>
      </c>
      <c r="B4839" t="s">
        <v>53</v>
      </c>
      <c r="C4839" t="s">
        <v>5076</v>
      </c>
    </row>
    <row r="4840" spans="1:3" x14ac:dyDescent="0.35">
      <c r="A4840" t="s">
        <v>216</v>
      </c>
      <c r="B4840" t="s">
        <v>53</v>
      </c>
      <c r="C4840" t="s">
        <v>5077</v>
      </c>
    </row>
    <row r="4841" spans="1:3" x14ac:dyDescent="0.35">
      <c r="A4841" t="s">
        <v>216</v>
      </c>
      <c r="B4841" t="s">
        <v>53</v>
      </c>
      <c r="C4841" t="s">
        <v>5078</v>
      </c>
    </row>
    <row r="4842" spans="1:3" x14ac:dyDescent="0.35">
      <c r="A4842" t="s">
        <v>216</v>
      </c>
      <c r="B4842" t="s">
        <v>53</v>
      </c>
      <c r="C4842" t="s">
        <v>5079</v>
      </c>
    </row>
    <row r="4843" spans="1:3" x14ac:dyDescent="0.35">
      <c r="A4843" t="s">
        <v>216</v>
      </c>
      <c r="B4843" t="s">
        <v>53</v>
      </c>
      <c r="C4843" t="s">
        <v>5080</v>
      </c>
    </row>
    <row r="4844" spans="1:3" x14ac:dyDescent="0.35">
      <c r="A4844" t="s">
        <v>216</v>
      </c>
      <c r="B4844" t="s">
        <v>53</v>
      </c>
      <c r="C4844" t="s">
        <v>5081</v>
      </c>
    </row>
    <row r="4845" spans="1:3" x14ac:dyDescent="0.35">
      <c r="A4845" t="s">
        <v>216</v>
      </c>
      <c r="B4845" t="s">
        <v>53</v>
      </c>
      <c r="C4845" t="s">
        <v>5082</v>
      </c>
    </row>
    <row r="4846" spans="1:3" x14ac:dyDescent="0.35">
      <c r="A4846" t="s">
        <v>216</v>
      </c>
      <c r="B4846" t="s">
        <v>53</v>
      </c>
      <c r="C4846" t="s">
        <v>5083</v>
      </c>
    </row>
    <row r="4847" spans="1:3" x14ac:dyDescent="0.35">
      <c r="A4847" t="s">
        <v>216</v>
      </c>
      <c r="B4847" t="s">
        <v>53</v>
      </c>
      <c r="C4847" t="s">
        <v>5084</v>
      </c>
    </row>
    <row r="4848" spans="1:3" x14ac:dyDescent="0.35">
      <c r="A4848" t="s">
        <v>216</v>
      </c>
      <c r="B4848" t="s">
        <v>53</v>
      </c>
      <c r="C4848" t="s">
        <v>5085</v>
      </c>
    </row>
    <row r="4849" spans="1:3" x14ac:dyDescent="0.35">
      <c r="A4849" t="s">
        <v>216</v>
      </c>
      <c r="B4849" t="s">
        <v>53</v>
      </c>
      <c r="C4849" t="s">
        <v>5086</v>
      </c>
    </row>
    <row r="4850" spans="1:3" x14ac:dyDescent="0.35">
      <c r="A4850" t="s">
        <v>216</v>
      </c>
      <c r="B4850" t="s">
        <v>53</v>
      </c>
      <c r="C4850" t="s">
        <v>5087</v>
      </c>
    </row>
    <row r="4851" spans="1:3" x14ac:dyDescent="0.35">
      <c r="A4851" t="s">
        <v>216</v>
      </c>
      <c r="B4851" t="s">
        <v>53</v>
      </c>
      <c r="C4851" t="s">
        <v>5088</v>
      </c>
    </row>
    <row r="4852" spans="1:3" x14ac:dyDescent="0.35">
      <c r="A4852" t="s">
        <v>216</v>
      </c>
      <c r="B4852" t="s">
        <v>53</v>
      </c>
      <c r="C4852" t="s">
        <v>5089</v>
      </c>
    </row>
    <row r="4853" spans="1:3" x14ac:dyDescent="0.35">
      <c r="A4853" t="s">
        <v>216</v>
      </c>
      <c r="B4853" t="s">
        <v>53</v>
      </c>
      <c r="C4853" t="s">
        <v>5090</v>
      </c>
    </row>
    <row r="4854" spans="1:3" x14ac:dyDescent="0.35">
      <c r="A4854" t="s">
        <v>216</v>
      </c>
      <c r="B4854" t="s">
        <v>53</v>
      </c>
      <c r="C4854" t="s">
        <v>5091</v>
      </c>
    </row>
    <row r="4855" spans="1:3" x14ac:dyDescent="0.35">
      <c r="A4855" t="s">
        <v>216</v>
      </c>
      <c r="B4855" t="s">
        <v>53</v>
      </c>
      <c r="C4855" t="s">
        <v>5092</v>
      </c>
    </row>
    <row r="4856" spans="1:3" x14ac:dyDescent="0.35">
      <c r="A4856" t="s">
        <v>216</v>
      </c>
      <c r="B4856" t="s">
        <v>53</v>
      </c>
      <c r="C4856" t="s">
        <v>5093</v>
      </c>
    </row>
    <row r="4857" spans="1:3" x14ac:dyDescent="0.35">
      <c r="A4857" t="s">
        <v>216</v>
      </c>
      <c r="B4857" t="s">
        <v>53</v>
      </c>
      <c r="C4857" t="s">
        <v>5094</v>
      </c>
    </row>
    <row r="4858" spans="1:3" x14ac:dyDescent="0.35">
      <c r="A4858" t="s">
        <v>216</v>
      </c>
      <c r="B4858" t="s">
        <v>53</v>
      </c>
      <c r="C4858" t="s">
        <v>5095</v>
      </c>
    </row>
    <row r="4859" spans="1:3" x14ac:dyDescent="0.35">
      <c r="A4859" t="s">
        <v>216</v>
      </c>
      <c r="B4859" t="s">
        <v>53</v>
      </c>
      <c r="C4859" t="s">
        <v>5096</v>
      </c>
    </row>
    <row r="4860" spans="1:3" x14ac:dyDescent="0.35">
      <c r="A4860" t="s">
        <v>216</v>
      </c>
      <c r="B4860" t="s">
        <v>53</v>
      </c>
      <c r="C4860" t="s">
        <v>5097</v>
      </c>
    </row>
    <row r="4861" spans="1:3" x14ac:dyDescent="0.35">
      <c r="A4861" t="s">
        <v>216</v>
      </c>
      <c r="B4861" t="s">
        <v>53</v>
      </c>
      <c r="C4861" t="s">
        <v>5098</v>
      </c>
    </row>
    <row r="4862" spans="1:3" x14ac:dyDescent="0.35">
      <c r="A4862" t="s">
        <v>216</v>
      </c>
      <c r="B4862" t="s">
        <v>53</v>
      </c>
      <c r="C4862" t="s">
        <v>5099</v>
      </c>
    </row>
    <row r="4863" spans="1:3" x14ac:dyDescent="0.35">
      <c r="A4863" t="s">
        <v>216</v>
      </c>
      <c r="B4863" t="s">
        <v>53</v>
      </c>
      <c r="C4863" t="s">
        <v>5100</v>
      </c>
    </row>
    <row r="4864" spans="1:3" x14ac:dyDescent="0.35">
      <c r="A4864" t="s">
        <v>216</v>
      </c>
      <c r="B4864" t="s">
        <v>53</v>
      </c>
      <c r="C4864" t="s">
        <v>5101</v>
      </c>
    </row>
    <row r="4865" spans="1:3" x14ac:dyDescent="0.35">
      <c r="A4865" t="s">
        <v>216</v>
      </c>
      <c r="B4865" t="s">
        <v>53</v>
      </c>
      <c r="C4865" t="s">
        <v>53</v>
      </c>
    </row>
    <row r="4866" spans="1:3" x14ac:dyDescent="0.35">
      <c r="A4866" t="s">
        <v>216</v>
      </c>
      <c r="B4866" t="s">
        <v>53</v>
      </c>
      <c r="C4866" t="s">
        <v>5102</v>
      </c>
    </row>
    <row r="4867" spans="1:3" x14ac:dyDescent="0.35">
      <c r="A4867" t="s">
        <v>216</v>
      </c>
      <c r="B4867" t="s">
        <v>53</v>
      </c>
      <c r="C4867" t="s">
        <v>5103</v>
      </c>
    </row>
    <row r="4868" spans="1:3" x14ac:dyDescent="0.35">
      <c r="A4868" t="s">
        <v>216</v>
      </c>
      <c r="B4868" t="s">
        <v>53</v>
      </c>
      <c r="C4868" t="s">
        <v>5104</v>
      </c>
    </row>
    <row r="4869" spans="1:3" x14ac:dyDescent="0.35">
      <c r="A4869" t="s">
        <v>216</v>
      </c>
      <c r="B4869" t="s">
        <v>53</v>
      </c>
      <c r="C4869" t="s">
        <v>5105</v>
      </c>
    </row>
    <row r="4870" spans="1:3" x14ac:dyDescent="0.35">
      <c r="A4870" t="s">
        <v>216</v>
      </c>
      <c r="B4870" t="s">
        <v>53</v>
      </c>
      <c r="C4870" t="s">
        <v>5106</v>
      </c>
    </row>
    <row r="4871" spans="1:3" x14ac:dyDescent="0.35">
      <c r="A4871" t="s">
        <v>216</v>
      </c>
      <c r="B4871" t="s">
        <v>53</v>
      </c>
      <c r="C4871" t="s">
        <v>5107</v>
      </c>
    </row>
    <row r="4872" spans="1:3" x14ac:dyDescent="0.35">
      <c r="A4872" t="s">
        <v>216</v>
      </c>
      <c r="B4872" t="s">
        <v>53</v>
      </c>
      <c r="C4872" t="s">
        <v>5108</v>
      </c>
    </row>
    <row r="4873" spans="1:3" x14ac:dyDescent="0.35">
      <c r="A4873" t="s">
        <v>216</v>
      </c>
      <c r="B4873" t="s">
        <v>53</v>
      </c>
      <c r="C4873" t="s">
        <v>5109</v>
      </c>
    </row>
    <row r="4874" spans="1:3" x14ac:dyDescent="0.35">
      <c r="A4874" t="s">
        <v>216</v>
      </c>
      <c r="B4874" t="s">
        <v>53</v>
      </c>
      <c r="C4874" t="s">
        <v>5110</v>
      </c>
    </row>
    <row r="4875" spans="1:3" x14ac:dyDescent="0.35">
      <c r="A4875" t="s">
        <v>216</v>
      </c>
      <c r="B4875" t="s">
        <v>53</v>
      </c>
      <c r="C4875" t="s">
        <v>5111</v>
      </c>
    </row>
    <row r="4876" spans="1:3" x14ac:dyDescent="0.35">
      <c r="A4876" t="s">
        <v>216</v>
      </c>
      <c r="B4876" t="s">
        <v>53</v>
      </c>
      <c r="C4876" t="s">
        <v>5112</v>
      </c>
    </row>
    <row r="4877" spans="1:3" x14ac:dyDescent="0.35">
      <c r="A4877" t="s">
        <v>216</v>
      </c>
      <c r="B4877" t="s">
        <v>53</v>
      </c>
      <c r="C4877" t="s">
        <v>5113</v>
      </c>
    </row>
    <row r="4878" spans="1:3" x14ac:dyDescent="0.35">
      <c r="A4878" t="s">
        <v>216</v>
      </c>
      <c r="B4878" t="s">
        <v>53</v>
      </c>
      <c r="C4878" t="s">
        <v>5114</v>
      </c>
    </row>
    <row r="4879" spans="1:3" x14ac:dyDescent="0.35">
      <c r="A4879" t="s">
        <v>216</v>
      </c>
      <c r="B4879" t="s">
        <v>53</v>
      </c>
      <c r="C4879" t="s">
        <v>5115</v>
      </c>
    </row>
    <row r="4880" spans="1:3" x14ac:dyDescent="0.35">
      <c r="A4880" t="s">
        <v>216</v>
      </c>
      <c r="B4880" t="s">
        <v>53</v>
      </c>
      <c r="C4880" t="s">
        <v>5116</v>
      </c>
    </row>
    <row r="4881" spans="1:3" x14ac:dyDescent="0.35">
      <c r="A4881" t="s">
        <v>216</v>
      </c>
      <c r="B4881" t="s">
        <v>53</v>
      </c>
      <c r="C4881" t="s">
        <v>5117</v>
      </c>
    </row>
    <row r="4882" spans="1:3" x14ac:dyDescent="0.35">
      <c r="A4882" t="s">
        <v>216</v>
      </c>
      <c r="B4882" t="s">
        <v>53</v>
      </c>
      <c r="C4882" t="s">
        <v>5118</v>
      </c>
    </row>
    <row r="4883" spans="1:3" x14ac:dyDescent="0.35">
      <c r="A4883" t="s">
        <v>216</v>
      </c>
      <c r="B4883" t="s">
        <v>53</v>
      </c>
      <c r="C4883" t="s">
        <v>5119</v>
      </c>
    </row>
    <row r="4884" spans="1:3" x14ac:dyDescent="0.35">
      <c r="A4884" t="s">
        <v>216</v>
      </c>
      <c r="B4884" t="s">
        <v>53</v>
      </c>
      <c r="C4884" t="s">
        <v>5120</v>
      </c>
    </row>
    <row r="4885" spans="1:3" x14ac:dyDescent="0.35">
      <c r="A4885" t="s">
        <v>216</v>
      </c>
      <c r="B4885" t="s">
        <v>53</v>
      </c>
      <c r="C4885" t="s">
        <v>5121</v>
      </c>
    </row>
    <row r="4886" spans="1:3" x14ac:dyDescent="0.35">
      <c r="A4886" t="s">
        <v>216</v>
      </c>
      <c r="B4886" t="s">
        <v>53</v>
      </c>
      <c r="C4886" t="s">
        <v>5122</v>
      </c>
    </row>
    <row r="4887" spans="1:3" x14ac:dyDescent="0.35">
      <c r="A4887" t="s">
        <v>216</v>
      </c>
      <c r="B4887" t="s">
        <v>53</v>
      </c>
      <c r="C4887" t="s">
        <v>5123</v>
      </c>
    </row>
    <row r="4888" spans="1:3" x14ac:dyDescent="0.35">
      <c r="A4888" t="s">
        <v>216</v>
      </c>
      <c r="B4888" t="s">
        <v>53</v>
      </c>
      <c r="C4888" t="s">
        <v>5124</v>
      </c>
    </row>
    <row r="4889" spans="1:3" x14ac:dyDescent="0.35">
      <c r="A4889" t="s">
        <v>216</v>
      </c>
      <c r="B4889" t="s">
        <v>53</v>
      </c>
      <c r="C4889" t="s">
        <v>5125</v>
      </c>
    </row>
    <row r="4890" spans="1:3" x14ac:dyDescent="0.35">
      <c r="A4890" t="s">
        <v>216</v>
      </c>
      <c r="B4890" t="s">
        <v>53</v>
      </c>
      <c r="C4890" t="s">
        <v>5126</v>
      </c>
    </row>
    <row r="4891" spans="1:3" x14ac:dyDescent="0.35">
      <c r="A4891" t="s">
        <v>216</v>
      </c>
      <c r="B4891" t="s">
        <v>53</v>
      </c>
      <c r="C4891" t="s">
        <v>5127</v>
      </c>
    </row>
    <row r="4892" spans="1:3" x14ac:dyDescent="0.35">
      <c r="A4892" t="s">
        <v>216</v>
      </c>
      <c r="B4892" t="s">
        <v>53</v>
      </c>
      <c r="C4892" t="s">
        <v>5128</v>
      </c>
    </row>
    <row r="4893" spans="1:3" x14ac:dyDescent="0.35">
      <c r="A4893" t="s">
        <v>216</v>
      </c>
      <c r="B4893" t="s">
        <v>53</v>
      </c>
      <c r="C4893" t="s">
        <v>5129</v>
      </c>
    </row>
    <row r="4894" spans="1:3" x14ac:dyDescent="0.35">
      <c r="A4894" t="s">
        <v>216</v>
      </c>
      <c r="B4894" t="s">
        <v>53</v>
      </c>
      <c r="C4894" t="s">
        <v>5130</v>
      </c>
    </row>
    <row r="4895" spans="1:3" x14ac:dyDescent="0.35">
      <c r="A4895" t="s">
        <v>216</v>
      </c>
      <c r="B4895" t="s">
        <v>53</v>
      </c>
      <c r="C4895" t="s">
        <v>5131</v>
      </c>
    </row>
    <row r="4896" spans="1:3" x14ac:dyDescent="0.35">
      <c r="A4896" t="s">
        <v>216</v>
      </c>
      <c r="B4896" t="s">
        <v>53</v>
      </c>
      <c r="C4896" t="s">
        <v>5132</v>
      </c>
    </row>
    <row r="4897" spans="1:3" x14ac:dyDescent="0.35">
      <c r="A4897" t="s">
        <v>216</v>
      </c>
      <c r="B4897" t="s">
        <v>53</v>
      </c>
      <c r="C4897" t="s">
        <v>5133</v>
      </c>
    </row>
    <row r="4898" spans="1:3" x14ac:dyDescent="0.35">
      <c r="A4898" t="s">
        <v>216</v>
      </c>
      <c r="B4898" t="s">
        <v>53</v>
      </c>
      <c r="C4898" t="s">
        <v>5134</v>
      </c>
    </row>
    <row r="4899" spans="1:3" x14ac:dyDescent="0.35">
      <c r="A4899" t="s">
        <v>216</v>
      </c>
      <c r="B4899" t="s">
        <v>53</v>
      </c>
      <c r="C4899" t="s">
        <v>5135</v>
      </c>
    </row>
    <row r="4900" spans="1:3" x14ac:dyDescent="0.35">
      <c r="A4900" t="s">
        <v>216</v>
      </c>
      <c r="B4900" t="s">
        <v>53</v>
      </c>
      <c r="C4900" t="s">
        <v>5136</v>
      </c>
    </row>
    <row r="4901" spans="1:3" x14ac:dyDescent="0.35">
      <c r="A4901" t="s">
        <v>216</v>
      </c>
      <c r="B4901" t="s">
        <v>53</v>
      </c>
      <c r="C4901" t="s">
        <v>5137</v>
      </c>
    </row>
    <row r="4902" spans="1:3" x14ac:dyDescent="0.35">
      <c r="A4902" t="s">
        <v>216</v>
      </c>
      <c r="B4902" t="s">
        <v>53</v>
      </c>
      <c r="C4902" t="s">
        <v>5138</v>
      </c>
    </row>
    <row r="4903" spans="1:3" x14ac:dyDescent="0.35">
      <c r="A4903" t="s">
        <v>216</v>
      </c>
      <c r="B4903" t="s">
        <v>53</v>
      </c>
      <c r="C4903" t="s">
        <v>5139</v>
      </c>
    </row>
    <row r="4904" spans="1:3" x14ac:dyDescent="0.35">
      <c r="A4904" t="s">
        <v>216</v>
      </c>
      <c r="B4904" t="s">
        <v>53</v>
      </c>
      <c r="C4904" t="s">
        <v>5140</v>
      </c>
    </row>
    <row r="4905" spans="1:3" x14ac:dyDescent="0.35">
      <c r="A4905" t="s">
        <v>216</v>
      </c>
      <c r="B4905" t="s">
        <v>53</v>
      </c>
      <c r="C4905" t="s">
        <v>5141</v>
      </c>
    </row>
    <row r="4906" spans="1:3" x14ac:dyDescent="0.35">
      <c r="A4906" t="s">
        <v>216</v>
      </c>
      <c r="B4906" t="s">
        <v>53</v>
      </c>
      <c r="C4906" t="s">
        <v>5142</v>
      </c>
    </row>
    <row r="4907" spans="1:3" x14ac:dyDescent="0.35">
      <c r="A4907" t="s">
        <v>216</v>
      </c>
      <c r="B4907" t="s">
        <v>53</v>
      </c>
      <c r="C4907" t="s">
        <v>5143</v>
      </c>
    </row>
    <row r="4908" spans="1:3" x14ac:dyDescent="0.35">
      <c r="A4908" t="s">
        <v>216</v>
      </c>
      <c r="B4908" t="s">
        <v>53</v>
      </c>
      <c r="C4908" t="s">
        <v>5144</v>
      </c>
    </row>
    <row r="4909" spans="1:3" x14ac:dyDescent="0.35">
      <c r="A4909" t="s">
        <v>216</v>
      </c>
      <c r="B4909" t="s">
        <v>53</v>
      </c>
      <c r="C4909" t="s">
        <v>5145</v>
      </c>
    </row>
    <row r="4910" spans="1:3" x14ac:dyDescent="0.35">
      <c r="A4910" t="s">
        <v>216</v>
      </c>
      <c r="B4910" t="s">
        <v>53</v>
      </c>
      <c r="C4910" t="s">
        <v>5146</v>
      </c>
    </row>
    <row r="4911" spans="1:3" x14ac:dyDescent="0.35">
      <c r="A4911" t="s">
        <v>216</v>
      </c>
      <c r="B4911" t="s">
        <v>53</v>
      </c>
      <c r="C4911" t="s">
        <v>5147</v>
      </c>
    </row>
    <row r="4912" spans="1:3" x14ac:dyDescent="0.35">
      <c r="A4912" t="s">
        <v>216</v>
      </c>
      <c r="B4912" t="s">
        <v>53</v>
      </c>
      <c r="C4912" t="s">
        <v>5148</v>
      </c>
    </row>
    <row r="4913" spans="1:3" x14ac:dyDescent="0.35">
      <c r="A4913" t="s">
        <v>216</v>
      </c>
      <c r="B4913" t="s">
        <v>53</v>
      </c>
      <c r="C4913" t="s">
        <v>5149</v>
      </c>
    </row>
    <row r="4914" spans="1:3" x14ac:dyDescent="0.35">
      <c r="A4914" t="s">
        <v>216</v>
      </c>
      <c r="B4914" t="s">
        <v>53</v>
      </c>
      <c r="C4914" t="s">
        <v>5150</v>
      </c>
    </row>
    <row r="4915" spans="1:3" x14ac:dyDescent="0.35">
      <c r="A4915" t="s">
        <v>216</v>
      </c>
      <c r="B4915" t="s">
        <v>53</v>
      </c>
      <c r="C4915" t="s">
        <v>5151</v>
      </c>
    </row>
    <row r="4916" spans="1:3" x14ac:dyDescent="0.35">
      <c r="A4916" t="s">
        <v>216</v>
      </c>
      <c r="B4916" t="s">
        <v>53</v>
      </c>
      <c r="C4916" t="s">
        <v>5152</v>
      </c>
    </row>
    <row r="4917" spans="1:3" x14ac:dyDescent="0.35">
      <c r="A4917" t="s">
        <v>216</v>
      </c>
      <c r="B4917" t="s">
        <v>53</v>
      </c>
      <c r="C4917" t="s">
        <v>5153</v>
      </c>
    </row>
    <row r="4918" spans="1:3" x14ac:dyDescent="0.35">
      <c r="A4918" t="s">
        <v>216</v>
      </c>
      <c r="B4918" t="s">
        <v>53</v>
      </c>
      <c r="C4918" t="s">
        <v>5154</v>
      </c>
    </row>
    <row r="4919" spans="1:3" x14ac:dyDescent="0.35">
      <c r="A4919" t="s">
        <v>216</v>
      </c>
      <c r="B4919" t="s">
        <v>53</v>
      </c>
      <c r="C4919" t="s">
        <v>5155</v>
      </c>
    </row>
    <row r="4920" spans="1:3" x14ac:dyDescent="0.35">
      <c r="A4920" t="s">
        <v>216</v>
      </c>
      <c r="B4920" t="s">
        <v>53</v>
      </c>
      <c r="C4920" t="s">
        <v>5156</v>
      </c>
    </row>
    <row r="4921" spans="1:3" x14ac:dyDescent="0.35">
      <c r="A4921" t="s">
        <v>216</v>
      </c>
      <c r="B4921" t="s">
        <v>53</v>
      </c>
      <c r="C4921" t="s">
        <v>5157</v>
      </c>
    </row>
    <row r="4922" spans="1:3" x14ac:dyDescent="0.35">
      <c r="A4922" t="s">
        <v>216</v>
      </c>
      <c r="B4922" t="s">
        <v>53</v>
      </c>
      <c r="C4922" t="s">
        <v>5158</v>
      </c>
    </row>
    <row r="4923" spans="1:3" x14ac:dyDescent="0.35">
      <c r="A4923" t="s">
        <v>216</v>
      </c>
      <c r="B4923" t="s">
        <v>53</v>
      </c>
      <c r="C4923" t="s">
        <v>5159</v>
      </c>
    </row>
    <row r="4924" spans="1:3" x14ac:dyDescent="0.35">
      <c r="A4924" t="s">
        <v>216</v>
      </c>
      <c r="B4924" t="s">
        <v>53</v>
      </c>
      <c r="C4924" t="s">
        <v>5160</v>
      </c>
    </row>
    <row r="4925" spans="1:3" x14ac:dyDescent="0.35">
      <c r="A4925" t="s">
        <v>216</v>
      </c>
      <c r="B4925" t="s">
        <v>53</v>
      </c>
      <c r="C4925" t="s">
        <v>5161</v>
      </c>
    </row>
    <row r="4926" spans="1:3" x14ac:dyDescent="0.35">
      <c r="A4926" t="s">
        <v>216</v>
      </c>
      <c r="B4926" t="s">
        <v>53</v>
      </c>
      <c r="C4926" t="s">
        <v>5162</v>
      </c>
    </row>
    <row r="4927" spans="1:3" x14ac:dyDescent="0.35">
      <c r="A4927" t="s">
        <v>216</v>
      </c>
      <c r="B4927" t="s">
        <v>53</v>
      </c>
      <c r="C4927" t="s">
        <v>5163</v>
      </c>
    </row>
    <row r="4928" spans="1:3" x14ac:dyDescent="0.35">
      <c r="A4928" t="s">
        <v>216</v>
      </c>
      <c r="B4928" t="s">
        <v>53</v>
      </c>
      <c r="C4928" t="s">
        <v>5164</v>
      </c>
    </row>
    <row r="4929" spans="1:3" x14ac:dyDescent="0.35">
      <c r="A4929" t="s">
        <v>216</v>
      </c>
      <c r="B4929" t="s">
        <v>53</v>
      </c>
      <c r="C4929" t="s">
        <v>5165</v>
      </c>
    </row>
    <row r="4930" spans="1:3" x14ac:dyDescent="0.35">
      <c r="A4930" t="s">
        <v>216</v>
      </c>
      <c r="B4930" t="s">
        <v>53</v>
      </c>
      <c r="C4930" t="s">
        <v>5166</v>
      </c>
    </row>
    <row r="4931" spans="1:3" x14ac:dyDescent="0.35">
      <c r="A4931" t="s">
        <v>216</v>
      </c>
      <c r="B4931" t="s">
        <v>53</v>
      </c>
      <c r="C4931" t="s">
        <v>5167</v>
      </c>
    </row>
    <row r="4932" spans="1:3" x14ac:dyDescent="0.35">
      <c r="A4932" t="s">
        <v>216</v>
      </c>
      <c r="B4932" t="s">
        <v>53</v>
      </c>
      <c r="C4932" t="s">
        <v>5168</v>
      </c>
    </row>
    <row r="4933" spans="1:3" x14ac:dyDescent="0.35">
      <c r="A4933" t="s">
        <v>216</v>
      </c>
      <c r="B4933" t="s">
        <v>53</v>
      </c>
      <c r="C4933" t="s">
        <v>5169</v>
      </c>
    </row>
    <row r="4934" spans="1:3" x14ac:dyDescent="0.35">
      <c r="A4934" t="s">
        <v>216</v>
      </c>
      <c r="B4934" t="s">
        <v>53</v>
      </c>
      <c r="C4934" t="s">
        <v>5170</v>
      </c>
    </row>
    <row r="4935" spans="1:3" x14ac:dyDescent="0.35">
      <c r="A4935" t="s">
        <v>216</v>
      </c>
      <c r="B4935" t="s">
        <v>53</v>
      </c>
      <c r="C4935" t="s">
        <v>5171</v>
      </c>
    </row>
    <row r="4936" spans="1:3" x14ac:dyDescent="0.35">
      <c r="A4936" t="s">
        <v>216</v>
      </c>
      <c r="B4936" t="s">
        <v>53</v>
      </c>
      <c r="C4936" t="s">
        <v>5172</v>
      </c>
    </row>
    <row r="4937" spans="1:3" x14ac:dyDescent="0.35">
      <c r="A4937" t="s">
        <v>216</v>
      </c>
      <c r="B4937" t="s">
        <v>53</v>
      </c>
      <c r="C4937" t="s">
        <v>5173</v>
      </c>
    </row>
    <row r="4938" spans="1:3" x14ac:dyDescent="0.35">
      <c r="A4938" t="s">
        <v>216</v>
      </c>
      <c r="B4938" t="s">
        <v>53</v>
      </c>
      <c r="C4938" t="s">
        <v>5174</v>
      </c>
    </row>
    <row r="4939" spans="1:3" x14ac:dyDescent="0.35">
      <c r="A4939" t="s">
        <v>216</v>
      </c>
      <c r="B4939" t="s">
        <v>53</v>
      </c>
      <c r="C4939" t="s">
        <v>5175</v>
      </c>
    </row>
    <row r="4940" spans="1:3" x14ac:dyDescent="0.35">
      <c r="A4940" t="s">
        <v>216</v>
      </c>
      <c r="B4940" t="s">
        <v>53</v>
      </c>
      <c r="C4940" t="s">
        <v>5176</v>
      </c>
    </row>
    <row r="4941" spans="1:3" x14ac:dyDescent="0.35">
      <c r="A4941" t="s">
        <v>216</v>
      </c>
      <c r="B4941" t="s">
        <v>53</v>
      </c>
      <c r="C4941" t="s">
        <v>5177</v>
      </c>
    </row>
    <row r="4942" spans="1:3" x14ac:dyDescent="0.35">
      <c r="A4942" t="s">
        <v>216</v>
      </c>
      <c r="B4942" t="s">
        <v>53</v>
      </c>
      <c r="C4942" t="s">
        <v>5178</v>
      </c>
    </row>
    <row r="4943" spans="1:3" x14ac:dyDescent="0.35">
      <c r="A4943" t="s">
        <v>216</v>
      </c>
      <c r="B4943" t="s">
        <v>53</v>
      </c>
      <c r="C4943" t="s">
        <v>5179</v>
      </c>
    </row>
    <row r="4944" spans="1:3" x14ac:dyDescent="0.35">
      <c r="A4944" t="s">
        <v>216</v>
      </c>
      <c r="B4944" t="s">
        <v>53</v>
      </c>
      <c r="C4944" t="s">
        <v>5180</v>
      </c>
    </row>
    <row r="4945" spans="1:3" x14ac:dyDescent="0.35">
      <c r="A4945" t="s">
        <v>216</v>
      </c>
      <c r="B4945" t="s">
        <v>53</v>
      </c>
      <c r="C4945" t="s">
        <v>5181</v>
      </c>
    </row>
    <row r="4946" spans="1:3" x14ac:dyDescent="0.35">
      <c r="A4946" t="s">
        <v>216</v>
      </c>
      <c r="B4946" t="s">
        <v>53</v>
      </c>
      <c r="C4946" t="s">
        <v>5182</v>
      </c>
    </row>
    <row r="4947" spans="1:3" x14ac:dyDescent="0.35">
      <c r="A4947" t="s">
        <v>216</v>
      </c>
      <c r="B4947" t="s">
        <v>53</v>
      </c>
      <c r="C4947" t="s">
        <v>5183</v>
      </c>
    </row>
    <row r="4948" spans="1:3" x14ac:dyDescent="0.35">
      <c r="A4948" t="s">
        <v>216</v>
      </c>
      <c r="B4948" t="s">
        <v>53</v>
      </c>
      <c r="C4948" t="s">
        <v>5184</v>
      </c>
    </row>
    <row r="4949" spans="1:3" x14ac:dyDescent="0.35">
      <c r="A4949" t="s">
        <v>216</v>
      </c>
      <c r="B4949" t="s">
        <v>53</v>
      </c>
      <c r="C4949" t="s">
        <v>5185</v>
      </c>
    </row>
    <row r="4950" spans="1:3" x14ac:dyDescent="0.35">
      <c r="A4950" t="s">
        <v>216</v>
      </c>
      <c r="B4950" t="s">
        <v>53</v>
      </c>
      <c r="C4950" t="s">
        <v>5186</v>
      </c>
    </row>
    <row r="4951" spans="1:3" x14ac:dyDescent="0.35">
      <c r="A4951" t="s">
        <v>216</v>
      </c>
      <c r="B4951" t="s">
        <v>53</v>
      </c>
      <c r="C4951" t="s">
        <v>5187</v>
      </c>
    </row>
    <row r="4952" spans="1:3" x14ac:dyDescent="0.35">
      <c r="A4952" t="s">
        <v>216</v>
      </c>
      <c r="B4952" t="s">
        <v>53</v>
      </c>
      <c r="C4952" t="s">
        <v>5188</v>
      </c>
    </row>
    <row r="4953" spans="1:3" x14ac:dyDescent="0.35">
      <c r="A4953" t="s">
        <v>216</v>
      </c>
      <c r="B4953" t="s">
        <v>53</v>
      </c>
      <c r="C4953" t="s">
        <v>5189</v>
      </c>
    </row>
    <row r="4954" spans="1:3" x14ac:dyDescent="0.35">
      <c r="A4954" t="s">
        <v>216</v>
      </c>
      <c r="B4954" t="s">
        <v>53</v>
      </c>
      <c r="C4954" t="s">
        <v>5190</v>
      </c>
    </row>
    <row r="4955" spans="1:3" x14ac:dyDescent="0.35">
      <c r="A4955" t="s">
        <v>216</v>
      </c>
      <c r="B4955" t="s">
        <v>53</v>
      </c>
      <c r="C4955" t="s">
        <v>5191</v>
      </c>
    </row>
    <row r="4956" spans="1:3" x14ac:dyDescent="0.35">
      <c r="A4956" t="s">
        <v>216</v>
      </c>
      <c r="B4956" t="s">
        <v>53</v>
      </c>
      <c r="C4956" t="s">
        <v>5192</v>
      </c>
    </row>
    <row r="4957" spans="1:3" x14ac:dyDescent="0.35">
      <c r="A4957" t="s">
        <v>216</v>
      </c>
      <c r="B4957" t="s">
        <v>53</v>
      </c>
      <c r="C4957" t="s">
        <v>5193</v>
      </c>
    </row>
    <row r="4958" spans="1:3" x14ac:dyDescent="0.35">
      <c r="A4958" t="s">
        <v>216</v>
      </c>
      <c r="B4958" t="s">
        <v>53</v>
      </c>
      <c r="C4958" t="s">
        <v>5194</v>
      </c>
    </row>
    <row r="4959" spans="1:3" x14ac:dyDescent="0.35">
      <c r="A4959" t="s">
        <v>216</v>
      </c>
      <c r="B4959" t="s">
        <v>53</v>
      </c>
      <c r="C4959" t="s">
        <v>5195</v>
      </c>
    </row>
    <row r="4960" spans="1:3" x14ac:dyDescent="0.35">
      <c r="A4960" t="s">
        <v>216</v>
      </c>
      <c r="B4960" t="s">
        <v>53</v>
      </c>
      <c r="C4960" t="s">
        <v>5196</v>
      </c>
    </row>
    <row r="4961" spans="1:3" x14ac:dyDescent="0.35">
      <c r="A4961" t="s">
        <v>216</v>
      </c>
      <c r="B4961" t="s">
        <v>53</v>
      </c>
      <c r="C4961" t="s">
        <v>5197</v>
      </c>
    </row>
    <row r="4962" spans="1:3" x14ac:dyDescent="0.35">
      <c r="A4962" t="s">
        <v>216</v>
      </c>
      <c r="B4962" t="s">
        <v>53</v>
      </c>
      <c r="C4962" t="s">
        <v>5198</v>
      </c>
    </row>
    <row r="4963" spans="1:3" x14ac:dyDescent="0.35">
      <c r="A4963" t="s">
        <v>216</v>
      </c>
      <c r="B4963" t="s">
        <v>53</v>
      </c>
      <c r="C4963" t="s">
        <v>5199</v>
      </c>
    </row>
    <row r="4964" spans="1:3" x14ac:dyDescent="0.35">
      <c r="A4964" t="s">
        <v>216</v>
      </c>
      <c r="B4964" t="s">
        <v>53</v>
      </c>
      <c r="C4964" t="s">
        <v>5200</v>
      </c>
    </row>
    <row r="4965" spans="1:3" x14ac:dyDescent="0.35">
      <c r="A4965" t="s">
        <v>216</v>
      </c>
      <c r="B4965" t="s">
        <v>53</v>
      </c>
      <c r="C4965" t="s">
        <v>5201</v>
      </c>
    </row>
    <row r="4966" spans="1:3" x14ac:dyDescent="0.35">
      <c r="A4966" t="s">
        <v>216</v>
      </c>
      <c r="B4966" t="s">
        <v>53</v>
      </c>
      <c r="C4966" t="s">
        <v>5202</v>
      </c>
    </row>
    <row r="4967" spans="1:3" x14ac:dyDescent="0.35">
      <c r="A4967" t="s">
        <v>216</v>
      </c>
      <c r="B4967" t="s">
        <v>53</v>
      </c>
      <c r="C4967" t="s">
        <v>5203</v>
      </c>
    </row>
    <row r="4968" spans="1:3" x14ac:dyDescent="0.35">
      <c r="A4968" t="s">
        <v>216</v>
      </c>
      <c r="B4968" t="s">
        <v>53</v>
      </c>
      <c r="C4968" t="s">
        <v>5204</v>
      </c>
    </row>
    <row r="4969" spans="1:3" x14ac:dyDescent="0.35">
      <c r="A4969" t="s">
        <v>216</v>
      </c>
      <c r="B4969" t="s">
        <v>53</v>
      </c>
      <c r="C4969" t="s">
        <v>5205</v>
      </c>
    </row>
    <row r="4970" spans="1:3" x14ac:dyDescent="0.35">
      <c r="A4970" t="s">
        <v>216</v>
      </c>
      <c r="B4970" t="s">
        <v>53</v>
      </c>
      <c r="C4970" t="s">
        <v>5206</v>
      </c>
    </row>
    <row r="4971" spans="1:3" x14ac:dyDescent="0.35">
      <c r="A4971" t="s">
        <v>216</v>
      </c>
      <c r="B4971" t="s">
        <v>53</v>
      </c>
      <c r="C4971" t="s">
        <v>5207</v>
      </c>
    </row>
    <row r="4972" spans="1:3" x14ac:dyDescent="0.35">
      <c r="A4972" t="s">
        <v>216</v>
      </c>
      <c r="B4972" t="s">
        <v>53</v>
      </c>
      <c r="C4972" t="s">
        <v>5208</v>
      </c>
    </row>
    <row r="4973" spans="1:3" x14ac:dyDescent="0.35">
      <c r="A4973" t="s">
        <v>216</v>
      </c>
      <c r="B4973" t="s">
        <v>53</v>
      </c>
      <c r="C4973" t="s">
        <v>5209</v>
      </c>
    </row>
    <row r="4974" spans="1:3" x14ac:dyDescent="0.35">
      <c r="A4974" t="s">
        <v>216</v>
      </c>
      <c r="B4974" t="s">
        <v>53</v>
      </c>
      <c r="C4974" t="s">
        <v>5210</v>
      </c>
    </row>
    <row r="4975" spans="1:3" x14ac:dyDescent="0.35">
      <c r="A4975" t="s">
        <v>216</v>
      </c>
      <c r="B4975" t="s">
        <v>53</v>
      </c>
      <c r="C4975" t="s">
        <v>5211</v>
      </c>
    </row>
    <row r="4976" spans="1:3" x14ac:dyDescent="0.35">
      <c r="A4976" t="s">
        <v>216</v>
      </c>
      <c r="B4976" t="s">
        <v>53</v>
      </c>
      <c r="C4976" t="s">
        <v>5212</v>
      </c>
    </row>
    <row r="4977" spans="1:3" x14ac:dyDescent="0.35">
      <c r="A4977" t="s">
        <v>216</v>
      </c>
      <c r="B4977" t="s">
        <v>53</v>
      </c>
      <c r="C4977" t="s">
        <v>5213</v>
      </c>
    </row>
    <row r="4978" spans="1:3" x14ac:dyDescent="0.35">
      <c r="A4978" t="s">
        <v>216</v>
      </c>
      <c r="B4978" t="s">
        <v>53</v>
      </c>
      <c r="C4978" t="s">
        <v>5214</v>
      </c>
    </row>
    <row r="4979" spans="1:3" x14ac:dyDescent="0.35">
      <c r="A4979" t="s">
        <v>216</v>
      </c>
      <c r="B4979" t="s">
        <v>53</v>
      </c>
      <c r="C4979" t="s">
        <v>5215</v>
      </c>
    </row>
    <row r="4980" spans="1:3" x14ac:dyDescent="0.35">
      <c r="A4980" t="s">
        <v>216</v>
      </c>
      <c r="B4980" t="s">
        <v>53</v>
      </c>
      <c r="C4980" t="s">
        <v>5216</v>
      </c>
    </row>
    <row r="4981" spans="1:3" x14ac:dyDescent="0.35">
      <c r="A4981" t="s">
        <v>216</v>
      </c>
      <c r="B4981" t="s">
        <v>53</v>
      </c>
      <c r="C4981" t="s">
        <v>5217</v>
      </c>
    </row>
    <row r="4982" spans="1:3" x14ac:dyDescent="0.35">
      <c r="A4982" t="s">
        <v>216</v>
      </c>
      <c r="B4982" t="s">
        <v>53</v>
      </c>
      <c r="C4982" t="s">
        <v>5218</v>
      </c>
    </row>
    <row r="4983" spans="1:3" x14ac:dyDescent="0.35">
      <c r="A4983" t="s">
        <v>216</v>
      </c>
      <c r="B4983" t="s">
        <v>53</v>
      </c>
      <c r="C4983" t="s">
        <v>5219</v>
      </c>
    </row>
    <row r="4984" spans="1:3" x14ac:dyDescent="0.35">
      <c r="A4984" t="s">
        <v>216</v>
      </c>
      <c r="B4984" t="s">
        <v>53</v>
      </c>
      <c r="C4984" t="s">
        <v>5220</v>
      </c>
    </row>
    <row r="4985" spans="1:3" x14ac:dyDescent="0.35">
      <c r="A4985" t="s">
        <v>216</v>
      </c>
      <c r="B4985" t="s">
        <v>53</v>
      </c>
      <c r="C4985" t="s">
        <v>5221</v>
      </c>
    </row>
    <row r="4986" spans="1:3" x14ac:dyDescent="0.35">
      <c r="A4986" t="s">
        <v>216</v>
      </c>
      <c r="B4986" t="s">
        <v>53</v>
      </c>
      <c r="C4986" t="s">
        <v>5222</v>
      </c>
    </row>
    <row r="4987" spans="1:3" x14ac:dyDescent="0.35">
      <c r="A4987" t="s">
        <v>216</v>
      </c>
      <c r="B4987" t="s">
        <v>53</v>
      </c>
      <c r="C4987" t="s">
        <v>5223</v>
      </c>
    </row>
    <row r="4988" spans="1:3" x14ac:dyDescent="0.35">
      <c r="A4988" t="s">
        <v>216</v>
      </c>
      <c r="B4988" t="s">
        <v>53</v>
      </c>
      <c r="C4988" t="s">
        <v>5224</v>
      </c>
    </row>
    <row r="4989" spans="1:3" x14ac:dyDescent="0.35">
      <c r="A4989" t="s">
        <v>216</v>
      </c>
      <c r="B4989" t="s">
        <v>53</v>
      </c>
      <c r="C4989" t="s">
        <v>5225</v>
      </c>
    </row>
    <row r="4990" spans="1:3" x14ac:dyDescent="0.35">
      <c r="A4990" t="s">
        <v>216</v>
      </c>
      <c r="B4990" t="s">
        <v>53</v>
      </c>
      <c r="C4990" t="s">
        <v>5226</v>
      </c>
    </row>
    <row r="4991" spans="1:3" x14ac:dyDescent="0.35">
      <c r="A4991" t="s">
        <v>216</v>
      </c>
      <c r="B4991" t="s">
        <v>53</v>
      </c>
      <c r="C4991" t="s">
        <v>5227</v>
      </c>
    </row>
    <row r="4992" spans="1:3" x14ac:dyDescent="0.35">
      <c r="A4992" t="s">
        <v>216</v>
      </c>
      <c r="B4992" t="s">
        <v>53</v>
      </c>
      <c r="C4992" t="s">
        <v>5228</v>
      </c>
    </row>
    <row r="4993" spans="1:3" x14ac:dyDescent="0.35">
      <c r="A4993" t="s">
        <v>216</v>
      </c>
      <c r="B4993" t="s">
        <v>53</v>
      </c>
      <c r="C4993" t="s">
        <v>5229</v>
      </c>
    </row>
    <row r="4994" spans="1:3" x14ac:dyDescent="0.35">
      <c r="A4994" t="s">
        <v>216</v>
      </c>
      <c r="B4994" t="s">
        <v>53</v>
      </c>
      <c r="C4994" t="s">
        <v>5230</v>
      </c>
    </row>
    <row r="4995" spans="1:3" x14ac:dyDescent="0.35">
      <c r="A4995" t="s">
        <v>216</v>
      </c>
      <c r="B4995" t="s">
        <v>53</v>
      </c>
      <c r="C4995" t="s">
        <v>5231</v>
      </c>
    </row>
    <row r="4996" spans="1:3" x14ac:dyDescent="0.35">
      <c r="A4996" t="s">
        <v>216</v>
      </c>
      <c r="B4996" t="s">
        <v>53</v>
      </c>
      <c r="C4996" t="s">
        <v>5232</v>
      </c>
    </row>
    <row r="4997" spans="1:3" x14ac:dyDescent="0.35">
      <c r="A4997" t="s">
        <v>216</v>
      </c>
      <c r="B4997" t="s">
        <v>53</v>
      </c>
      <c r="C4997" t="s">
        <v>5233</v>
      </c>
    </row>
    <row r="4998" spans="1:3" x14ac:dyDescent="0.35">
      <c r="A4998" t="s">
        <v>216</v>
      </c>
      <c r="B4998" t="s">
        <v>53</v>
      </c>
      <c r="C4998" t="s">
        <v>5234</v>
      </c>
    </row>
    <row r="4999" spans="1:3" x14ac:dyDescent="0.35">
      <c r="A4999" t="s">
        <v>216</v>
      </c>
      <c r="B4999" t="s">
        <v>53</v>
      </c>
      <c r="C4999" t="s">
        <v>5235</v>
      </c>
    </row>
    <row r="5000" spans="1:3" x14ac:dyDescent="0.35">
      <c r="A5000" t="s">
        <v>216</v>
      </c>
      <c r="B5000" t="s">
        <v>53</v>
      </c>
      <c r="C5000" t="s">
        <v>5236</v>
      </c>
    </row>
    <row r="5001" spans="1:3" x14ac:dyDescent="0.35">
      <c r="A5001" t="s">
        <v>216</v>
      </c>
      <c r="B5001" t="s">
        <v>53</v>
      </c>
      <c r="C5001" t="s">
        <v>5237</v>
      </c>
    </row>
    <row r="5002" spans="1:3" x14ac:dyDescent="0.35">
      <c r="A5002" t="s">
        <v>216</v>
      </c>
      <c r="B5002" t="s">
        <v>53</v>
      </c>
      <c r="C5002" t="s">
        <v>5238</v>
      </c>
    </row>
    <row r="5003" spans="1:3" x14ac:dyDescent="0.35">
      <c r="A5003" t="s">
        <v>216</v>
      </c>
      <c r="B5003" t="s">
        <v>53</v>
      </c>
      <c r="C5003" t="s">
        <v>5239</v>
      </c>
    </row>
    <row r="5004" spans="1:3" x14ac:dyDescent="0.35">
      <c r="A5004" t="s">
        <v>216</v>
      </c>
      <c r="B5004" t="s">
        <v>53</v>
      </c>
      <c r="C5004" t="s">
        <v>5240</v>
      </c>
    </row>
    <row r="5005" spans="1:3" x14ac:dyDescent="0.35">
      <c r="A5005" t="s">
        <v>216</v>
      </c>
      <c r="B5005" t="s">
        <v>53</v>
      </c>
      <c r="C5005" t="s">
        <v>5241</v>
      </c>
    </row>
    <row r="5006" spans="1:3" x14ac:dyDescent="0.35">
      <c r="A5006" t="s">
        <v>216</v>
      </c>
      <c r="B5006" t="s">
        <v>53</v>
      </c>
      <c r="C5006" t="s">
        <v>5242</v>
      </c>
    </row>
    <row r="5007" spans="1:3" x14ac:dyDescent="0.35">
      <c r="A5007" t="s">
        <v>216</v>
      </c>
      <c r="B5007" t="s">
        <v>53</v>
      </c>
      <c r="C5007" t="s">
        <v>5243</v>
      </c>
    </row>
    <row r="5008" spans="1:3" x14ac:dyDescent="0.35">
      <c r="A5008" t="s">
        <v>216</v>
      </c>
      <c r="B5008" t="s">
        <v>53</v>
      </c>
      <c r="C5008" t="s">
        <v>5244</v>
      </c>
    </row>
    <row r="5009" spans="1:3" x14ac:dyDescent="0.35">
      <c r="A5009" t="s">
        <v>216</v>
      </c>
      <c r="B5009" t="s">
        <v>53</v>
      </c>
      <c r="C5009" t="s">
        <v>5245</v>
      </c>
    </row>
    <row r="5010" spans="1:3" x14ac:dyDescent="0.35">
      <c r="A5010" t="s">
        <v>216</v>
      </c>
      <c r="B5010" t="s">
        <v>53</v>
      </c>
      <c r="C5010" t="s">
        <v>5246</v>
      </c>
    </row>
    <row r="5011" spans="1:3" x14ac:dyDescent="0.35">
      <c r="A5011" t="s">
        <v>216</v>
      </c>
      <c r="B5011" t="s">
        <v>53</v>
      </c>
      <c r="C5011" t="s">
        <v>5247</v>
      </c>
    </row>
    <row r="5012" spans="1:3" x14ac:dyDescent="0.35">
      <c r="A5012" t="s">
        <v>216</v>
      </c>
      <c r="B5012" t="s">
        <v>53</v>
      </c>
      <c r="C5012" t="s">
        <v>5248</v>
      </c>
    </row>
    <row r="5013" spans="1:3" x14ac:dyDescent="0.35">
      <c r="A5013" t="s">
        <v>216</v>
      </c>
      <c r="B5013" t="s">
        <v>53</v>
      </c>
      <c r="C5013" t="s">
        <v>5249</v>
      </c>
    </row>
    <row r="5014" spans="1:3" x14ac:dyDescent="0.35">
      <c r="A5014" t="s">
        <v>216</v>
      </c>
      <c r="B5014" t="s">
        <v>53</v>
      </c>
      <c r="C5014" t="s">
        <v>5250</v>
      </c>
    </row>
    <row r="5015" spans="1:3" x14ac:dyDescent="0.35">
      <c r="A5015" t="s">
        <v>216</v>
      </c>
      <c r="B5015" t="s">
        <v>53</v>
      </c>
      <c r="C5015" t="s">
        <v>5251</v>
      </c>
    </row>
    <row r="5016" spans="1:3" x14ac:dyDescent="0.35">
      <c r="A5016" t="s">
        <v>216</v>
      </c>
      <c r="B5016" t="s">
        <v>53</v>
      </c>
      <c r="C5016" t="s">
        <v>5252</v>
      </c>
    </row>
    <row r="5017" spans="1:3" x14ac:dyDescent="0.35">
      <c r="A5017" t="s">
        <v>216</v>
      </c>
      <c r="B5017" t="s">
        <v>53</v>
      </c>
      <c r="C5017" t="s">
        <v>5253</v>
      </c>
    </row>
    <row r="5018" spans="1:3" x14ac:dyDescent="0.35">
      <c r="A5018" t="s">
        <v>216</v>
      </c>
      <c r="B5018" t="s">
        <v>53</v>
      </c>
      <c r="C5018" t="s">
        <v>5254</v>
      </c>
    </row>
    <row r="5019" spans="1:3" x14ac:dyDescent="0.35">
      <c r="A5019" t="s">
        <v>216</v>
      </c>
      <c r="B5019" t="s">
        <v>53</v>
      </c>
      <c r="C5019" t="s">
        <v>5255</v>
      </c>
    </row>
    <row r="5020" spans="1:3" x14ac:dyDescent="0.35">
      <c r="A5020" t="s">
        <v>216</v>
      </c>
      <c r="B5020" t="s">
        <v>53</v>
      </c>
      <c r="C5020" t="s">
        <v>5256</v>
      </c>
    </row>
    <row r="5021" spans="1:3" x14ac:dyDescent="0.35">
      <c r="A5021" t="s">
        <v>216</v>
      </c>
      <c r="B5021" t="s">
        <v>53</v>
      </c>
      <c r="C5021" t="s">
        <v>5257</v>
      </c>
    </row>
    <row r="5022" spans="1:3" x14ac:dyDescent="0.35">
      <c r="A5022" t="s">
        <v>216</v>
      </c>
      <c r="B5022" t="s">
        <v>53</v>
      </c>
      <c r="C5022" t="s">
        <v>5258</v>
      </c>
    </row>
    <row r="5023" spans="1:3" x14ac:dyDescent="0.35">
      <c r="A5023" t="s">
        <v>216</v>
      </c>
      <c r="B5023" t="s">
        <v>53</v>
      </c>
      <c r="C5023" t="s">
        <v>5259</v>
      </c>
    </row>
    <row r="5024" spans="1:3" x14ac:dyDescent="0.35">
      <c r="A5024" t="s">
        <v>216</v>
      </c>
      <c r="B5024" t="s">
        <v>53</v>
      </c>
      <c r="C5024" t="s">
        <v>5260</v>
      </c>
    </row>
    <row r="5025" spans="1:3" x14ac:dyDescent="0.35">
      <c r="A5025" t="s">
        <v>216</v>
      </c>
      <c r="B5025" t="s">
        <v>53</v>
      </c>
      <c r="C5025" t="s">
        <v>5261</v>
      </c>
    </row>
    <row r="5026" spans="1:3" x14ac:dyDescent="0.35">
      <c r="A5026" t="s">
        <v>216</v>
      </c>
      <c r="B5026" t="s">
        <v>53</v>
      </c>
      <c r="C5026" t="s">
        <v>5262</v>
      </c>
    </row>
    <row r="5027" spans="1:3" x14ac:dyDescent="0.35">
      <c r="A5027" t="s">
        <v>216</v>
      </c>
      <c r="B5027" t="s">
        <v>53</v>
      </c>
      <c r="C5027" t="s">
        <v>5263</v>
      </c>
    </row>
    <row r="5028" spans="1:3" x14ac:dyDescent="0.35">
      <c r="A5028" t="s">
        <v>216</v>
      </c>
      <c r="B5028" t="s">
        <v>53</v>
      </c>
      <c r="C5028" t="s">
        <v>5264</v>
      </c>
    </row>
    <row r="5029" spans="1:3" x14ac:dyDescent="0.35">
      <c r="A5029" t="s">
        <v>216</v>
      </c>
      <c r="B5029" t="s">
        <v>53</v>
      </c>
      <c r="C5029" t="s">
        <v>5265</v>
      </c>
    </row>
    <row r="5030" spans="1:3" x14ac:dyDescent="0.35">
      <c r="A5030" t="s">
        <v>216</v>
      </c>
      <c r="B5030" t="s">
        <v>53</v>
      </c>
      <c r="C5030" t="s">
        <v>5266</v>
      </c>
    </row>
    <row r="5031" spans="1:3" x14ac:dyDescent="0.35">
      <c r="A5031" t="s">
        <v>216</v>
      </c>
      <c r="B5031" t="s">
        <v>53</v>
      </c>
      <c r="C5031" t="s">
        <v>5267</v>
      </c>
    </row>
    <row r="5032" spans="1:3" x14ac:dyDescent="0.35">
      <c r="A5032" t="s">
        <v>216</v>
      </c>
      <c r="B5032" t="s">
        <v>53</v>
      </c>
      <c r="C5032" t="s">
        <v>5268</v>
      </c>
    </row>
    <row r="5033" spans="1:3" x14ac:dyDescent="0.35">
      <c r="A5033" t="s">
        <v>216</v>
      </c>
      <c r="B5033" t="s">
        <v>53</v>
      </c>
      <c r="C5033" t="s">
        <v>5269</v>
      </c>
    </row>
    <row r="5034" spans="1:3" x14ac:dyDescent="0.35">
      <c r="A5034" t="s">
        <v>216</v>
      </c>
      <c r="B5034" t="s">
        <v>53</v>
      </c>
      <c r="C5034" t="s">
        <v>5270</v>
      </c>
    </row>
    <row r="5035" spans="1:3" x14ac:dyDescent="0.35">
      <c r="A5035" t="s">
        <v>216</v>
      </c>
      <c r="B5035" t="s">
        <v>53</v>
      </c>
      <c r="C5035" t="s">
        <v>5271</v>
      </c>
    </row>
    <row r="5036" spans="1:3" x14ac:dyDescent="0.35">
      <c r="A5036" t="s">
        <v>216</v>
      </c>
      <c r="B5036" t="s">
        <v>53</v>
      </c>
      <c r="C5036" t="s">
        <v>5272</v>
      </c>
    </row>
    <row r="5037" spans="1:3" x14ac:dyDescent="0.35">
      <c r="A5037" t="s">
        <v>216</v>
      </c>
      <c r="B5037" t="s">
        <v>274</v>
      </c>
      <c r="C5037" t="s">
        <v>5273</v>
      </c>
    </row>
    <row r="5038" spans="1:3" x14ac:dyDescent="0.35">
      <c r="A5038" t="s">
        <v>216</v>
      </c>
      <c r="B5038" t="s">
        <v>274</v>
      </c>
      <c r="C5038" t="s">
        <v>5274</v>
      </c>
    </row>
    <row r="5039" spans="1:3" x14ac:dyDescent="0.35">
      <c r="A5039" t="s">
        <v>216</v>
      </c>
      <c r="B5039" t="s">
        <v>274</v>
      </c>
      <c r="C5039" t="s">
        <v>5275</v>
      </c>
    </row>
    <row r="5040" spans="1:3" x14ac:dyDescent="0.35">
      <c r="A5040" t="s">
        <v>216</v>
      </c>
      <c r="B5040" t="s">
        <v>274</v>
      </c>
      <c r="C5040" t="s">
        <v>5276</v>
      </c>
    </row>
    <row r="5041" spans="1:3" x14ac:dyDescent="0.35">
      <c r="A5041" t="s">
        <v>216</v>
      </c>
      <c r="B5041" t="s">
        <v>274</v>
      </c>
      <c r="C5041" t="s">
        <v>5277</v>
      </c>
    </row>
    <row r="5042" spans="1:3" x14ac:dyDescent="0.35">
      <c r="A5042" t="s">
        <v>216</v>
      </c>
      <c r="B5042" t="s">
        <v>274</v>
      </c>
      <c r="C5042" t="s">
        <v>5278</v>
      </c>
    </row>
    <row r="5043" spans="1:3" x14ac:dyDescent="0.35">
      <c r="A5043" t="s">
        <v>216</v>
      </c>
      <c r="B5043" t="s">
        <v>274</v>
      </c>
      <c r="C5043" t="s">
        <v>5279</v>
      </c>
    </row>
    <row r="5044" spans="1:3" x14ac:dyDescent="0.35">
      <c r="A5044" t="s">
        <v>216</v>
      </c>
      <c r="B5044" t="s">
        <v>274</v>
      </c>
      <c r="C5044" t="s">
        <v>5280</v>
      </c>
    </row>
    <row r="5045" spans="1:3" x14ac:dyDescent="0.35">
      <c r="A5045" t="s">
        <v>216</v>
      </c>
      <c r="B5045" t="s">
        <v>274</v>
      </c>
      <c r="C5045" t="s">
        <v>5281</v>
      </c>
    </row>
    <row r="5046" spans="1:3" x14ac:dyDescent="0.35">
      <c r="A5046" t="s">
        <v>216</v>
      </c>
      <c r="B5046" t="s">
        <v>274</v>
      </c>
      <c r="C5046" t="s">
        <v>5282</v>
      </c>
    </row>
    <row r="5047" spans="1:3" x14ac:dyDescent="0.35">
      <c r="A5047" t="s">
        <v>216</v>
      </c>
      <c r="B5047" t="s">
        <v>274</v>
      </c>
      <c r="C5047" t="s">
        <v>5283</v>
      </c>
    </row>
    <row r="5048" spans="1:3" x14ac:dyDescent="0.35">
      <c r="A5048" t="s">
        <v>216</v>
      </c>
      <c r="B5048" t="s">
        <v>274</v>
      </c>
      <c r="C5048" t="s">
        <v>5284</v>
      </c>
    </row>
    <row r="5049" spans="1:3" x14ac:dyDescent="0.35">
      <c r="A5049" t="s">
        <v>216</v>
      </c>
      <c r="B5049" t="s">
        <v>274</v>
      </c>
      <c r="C5049" t="s">
        <v>5285</v>
      </c>
    </row>
    <row r="5050" spans="1:3" x14ac:dyDescent="0.35">
      <c r="A5050" t="s">
        <v>216</v>
      </c>
      <c r="B5050" t="s">
        <v>274</v>
      </c>
      <c r="C5050" t="s">
        <v>5286</v>
      </c>
    </row>
    <row r="5051" spans="1:3" x14ac:dyDescent="0.35">
      <c r="A5051" t="s">
        <v>216</v>
      </c>
      <c r="B5051" t="s">
        <v>274</v>
      </c>
      <c r="C5051" t="s">
        <v>5287</v>
      </c>
    </row>
    <row r="5052" spans="1:3" x14ac:dyDescent="0.35">
      <c r="A5052" t="s">
        <v>216</v>
      </c>
      <c r="B5052" t="s">
        <v>274</v>
      </c>
      <c r="C5052" t="s">
        <v>5288</v>
      </c>
    </row>
    <row r="5053" spans="1:3" x14ac:dyDescent="0.35">
      <c r="A5053" t="s">
        <v>216</v>
      </c>
      <c r="B5053" t="s">
        <v>274</v>
      </c>
      <c r="C5053" t="s">
        <v>5289</v>
      </c>
    </row>
    <row r="5054" spans="1:3" x14ac:dyDescent="0.35">
      <c r="A5054" t="s">
        <v>216</v>
      </c>
      <c r="B5054" t="s">
        <v>274</v>
      </c>
      <c r="C5054" t="s">
        <v>5290</v>
      </c>
    </row>
    <row r="5055" spans="1:3" x14ac:dyDescent="0.35">
      <c r="A5055" t="s">
        <v>216</v>
      </c>
      <c r="B5055" t="s">
        <v>274</v>
      </c>
      <c r="C5055" t="s">
        <v>5291</v>
      </c>
    </row>
    <row r="5056" spans="1:3" x14ac:dyDescent="0.35">
      <c r="A5056" t="s">
        <v>216</v>
      </c>
      <c r="B5056" t="s">
        <v>274</v>
      </c>
      <c r="C5056" t="s">
        <v>5292</v>
      </c>
    </row>
    <row r="5057" spans="1:3" x14ac:dyDescent="0.35">
      <c r="A5057" t="s">
        <v>216</v>
      </c>
      <c r="B5057" t="s">
        <v>274</v>
      </c>
      <c r="C5057" t="s">
        <v>5293</v>
      </c>
    </row>
    <row r="5058" spans="1:3" x14ac:dyDescent="0.35">
      <c r="A5058" t="s">
        <v>216</v>
      </c>
      <c r="B5058" t="s">
        <v>274</v>
      </c>
      <c r="C5058" t="s">
        <v>5294</v>
      </c>
    </row>
    <row r="5059" spans="1:3" x14ac:dyDescent="0.35">
      <c r="A5059" t="s">
        <v>216</v>
      </c>
      <c r="B5059" t="s">
        <v>274</v>
      </c>
      <c r="C5059" t="s">
        <v>5295</v>
      </c>
    </row>
    <row r="5060" spans="1:3" x14ac:dyDescent="0.35">
      <c r="A5060" t="s">
        <v>216</v>
      </c>
      <c r="B5060" t="s">
        <v>274</v>
      </c>
      <c r="C5060" t="s">
        <v>5296</v>
      </c>
    </row>
    <row r="5061" spans="1:3" x14ac:dyDescent="0.35">
      <c r="A5061" t="s">
        <v>216</v>
      </c>
      <c r="B5061" t="s">
        <v>274</v>
      </c>
      <c r="C5061" t="s">
        <v>5297</v>
      </c>
    </row>
    <row r="5062" spans="1:3" x14ac:dyDescent="0.35">
      <c r="A5062" t="s">
        <v>216</v>
      </c>
      <c r="B5062" t="s">
        <v>274</v>
      </c>
      <c r="C5062" t="s">
        <v>5298</v>
      </c>
    </row>
    <row r="5063" spans="1:3" x14ac:dyDescent="0.35">
      <c r="A5063" t="s">
        <v>216</v>
      </c>
      <c r="B5063" t="s">
        <v>274</v>
      </c>
      <c r="C5063" t="s">
        <v>5299</v>
      </c>
    </row>
    <row r="5064" spans="1:3" x14ac:dyDescent="0.35">
      <c r="A5064" t="s">
        <v>216</v>
      </c>
      <c r="B5064" t="s">
        <v>274</v>
      </c>
      <c r="C5064" t="s">
        <v>5300</v>
      </c>
    </row>
    <row r="5065" spans="1:3" x14ac:dyDescent="0.35">
      <c r="A5065" t="s">
        <v>216</v>
      </c>
      <c r="B5065" t="s">
        <v>274</v>
      </c>
      <c r="C5065" t="s">
        <v>5301</v>
      </c>
    </row>
    <row r="5066" spans="1:3" x14ac:dyDescent="0.35">
      <c r="A5066" t="s">
        <v>216</v>
      </c>
      <c r="B5066" t="s">
        <v>274</v>
      </c>
      <c r="C5066" t="s">
        <v>5302</v>
      </c>
    </row>
    <row r="5067" spans="1:3" x14ac:dyDescent="0.35">
      <c r="A5067" t="s">
        <v>216</v>
      </c>
      <c r="B5067" t="s">
        <v>274</v>
      </c>
      <c r="C5067" t="s">
        <v>5303</v>
      </c>
    </row>
    <row r="5068" spans="1:3" x14ac:dyDescent="0.35">
      <c r="A5068" t="s">
        <v>216</v>
      </c>
      <c r="B5068" t="s">
        <v>274</v>
      </c>
      <c r="C5068" t="s">
        <v>5304</v>
      </c>
    </row>
    <row r="5069" spans="1:3" x14ac:dyDescent="0.35">
      <c r="A5069" t="s">
        <v>216</v>
      </c>
      <c r="B5069" t="s">
        <v>274</v>
      </c>
      <c r="C5069" t="s">
        <v>5305</v>
      </c>
    </row>
    <row r="5070" spans="1:3" x14ac:dyDescent="0.35">
      <c r="A5070" t="s">
        <v>216</v>
      </c>
      <c r="B5070" t="s">
        <v>274</v>
      </c>
      <c r="C5070" t="s">
        <v>5306</v>
      </c>
    </row>
    <row r="5071" spans="1:3" x14ac:dyDescent="0.35">
      <c r="A5071" t="s">
        <v>216</v>
      </c>
      <c r="B5071" t="s">
        <v>274</v>
      </c>
      <c r="C5071" t="s">
        <v>5307</v>
      </c>
    </row>
    <row r="5072" spans="1:3" x14ac:dyDescent="0.35">
      <c r="A5072" t="s">
        <v>216</v>
      </c>
      <c r="B5072" t="s">
        <v>274</v>
      </c>
      <c r="C5072" t="s">
        <v>5308</v>
      </c>
    </row>
    <row r="5073" spans="1:3" x14ac:dyDescent="0.35">
      <c r="A5073" t="s">
        <v>216</v>
      </c>
      <c r="B5073" t="s">
        <v>274</v>
      </c>
      <c r="C5073" t="s">
        <v>5309</v>
      </c>
    </row>
    <row r="5074" spans="1:3" x14ac:dyDescent="0.35">
      <c r="A5074" t="s">
        <v>216</v>
      </c>
      <c r="B5074" t="s">
        <v>274</v>
      </c>
      <c r="C5074" t="s">
        <v>5310</v>
      </c>
    </row>
    <row r="5075" spans="1:3" x14ac:dyDescent="0.35">
      <c r="A5075" t="s">
        <v>216</v>
      </c>
      <c r="B5075" t="s">
        <v>274</v>
      </c>
      <c r="C5075" t="s">
        <v>5311</v>
      </c>
    </row>
    <row r="5076" spans="1:3" x14ac:dyDescent="0.35">
      <c r="A5076" t="s">
        <v>216</v>
      </c>
      <c r="B5076" t="s">
        <v>274</v>
      </c>
      <c r="C5076" t="s">
        <v>5312</v>
      </c>
    </row>
    <row r="5077" spans="1:3" x14ac:dyDescent="0.35">
      <c r="A5077" t="s">
        <v>216</v>
      </c>
      <c r="B5077" t="s">
        <v>274</v>
      </c>
      <c r="C5077" t="s">
        <v>5313</v>
      </c>
    </row>
    <row r="5078" spans="1:3" x14ac:dyDescent="0.35">
      <c r="A5078" t="s">
        <v>216</v>
      </c>
      <c r="B5078" t="s">
        <v>274</v>
      </c>
      <c r="C5078" t="s">
        <v>5314</v>
      </c>
    </row>
    <row r="5079" spans="1:3" x14ac:dyDescent="0.35">
      <c r="A5079" t="s">
        <v>216</v>
      </c>
      <c r="B5079" t="s">
        <v>274</v>
      </c>
      <c r="C5079" t="s">
        <v>5315</v>
      </c>
    </row>
    <row r="5080" spans="1:3" x14ac:dyDescent="0.35">
      <c r="A5080" t="s">
        <v>216</v>
      </c>
      <c r="B5080" t="s">
        <v>274</v>
      </c>
      <c r="C5080" t="s">
        <v>5316</v>
      </c>
    </row>
    <row r="5081" spans="1:3" x14ac:dyDescent="0.35">
      <c r="A5081" t="s">
        <v>216</v>
      </c>
      <c r="B5081" t="s">
        <v>274</v>
      </c>
      <c r="C5081" t="s">
        <v>5317</v>
      </c>
    </row>
    <row r="5082" spans="1:3" x14ac:dyDescent="0.35">
      <c r="A5082" t="s">
        <v>216</v>
      </c>
      <c r="B5082" t="s">
        <v>274</v>
      </c>
      <c r="C5082" t="s">
        <v>5318</v>
      </c>
    </row>
    <row r="5083" spans="1:3" x14ac:dyDescent="0.35">
      <c r="A5083" t="s">
        <v>216</v>
      </c>
      <c r="B5083" t="s">
        <v>274</v>
      </c>
      <c r="C5083" t="s">
        <v>5319</v>
      </c>
    </row>
    <row r="5084" spans="1:3" x14ac:dyDescent="0.35">
      <c r="A5084" t="s">
        <v>216</v>
      </c>
      <c r="B5084" t="s">
        <v>274</v>
      </c>
      <c r="C5084" t="s">
        <v>5320</v>
      </c>
    </row>
    <row r="5085" spans="1:3" x14ac:dyDescent="0.35">
      <c r="A5085" t="s">
        <v>216</v>
      </c>
      <c r="B5085" t="s">
        <v>274</v>
      </c>
      <c r="C5085" t="s">
        <v>5321</v>
      </c>
    </row>
    <row r="5086" spans="1:3" x14ac:dyDescent="0.35">
      <c r="A5086" t="s">
        <v>216</v>
      </c>
      <c r="B5086" t="s">
        <v>274</v>
      </c>
      <c r="C5086" t="s">
        <v>5322</v>
      </c>
    </row>
    <row r="5087" spans="1:3" x14ac:dyDescent="0.35">
      <c r="A5087" t="s">
        <v>216</v>
      </c>
      <c r="B5087" t="s">
        <v>274</v>
      </c>
      <c r="C5087" t="s">
        <v>5323</v>
      </c>
    </row>
    <row r="5088" spans="1:3" x14ac:dyDescent="0.35">
      <c r="A5088" t="s">
        <v>216</v>
      </c>
      <c r="B5088" t="s">
        <v>274</v>
      </c>
      <c r="C5088" t="s">
        <v>5324</v>
      </c>
    </row>
    <row r="5089" spans="1:3" x14ac:dyDescent="0.35">
      <c r="A5089" t="s">
        <v>216</v>
      </c>
      <c r="B5089" t="s">
        <v>274</v>
      </c>
      <c r="C5089" t="s">
        <v>5325</v>
      </c>
    </row>
    <row r="5090" spans="1:3" x14ac:dyDescent="0.35">
      <c r="A5090" t="s">
        <v>216</v>
      </c>
      <c r="B5090" t="s">
        <v>274</v>
      </c>
      <c r="C5090" t="s">
        <v>5326</v>
      </c>
    </row>
    <row r="5091" spans="1:3" x14ac:dyDescent="0.35">
      <c r="A5091" t="s">
        <v>216</v>
      </c>
      <c r="B5091" t="s">
        <v>274</v>
      </c>
      <c r="C5091" t="s">
        <v>5327</v>
      </c>
    </row>
    <row r="5092" spans="1:3" x14ac:dyDescent="0.35">
      <c r="A5092" t="s">
        <v>216</v>
      </c>
      <c r="B5092" t="s">
        <v>274</v>
      </c>
      <c r="C5092" t="s">
        <v>5328</v>
      </c>
    </row>
    <row r="5093" spans="1:3" x14ac:dyDescent="0.35">
      <c r="A5093" t="s">
        <v>216</v>
      </c>
      <c r="B5093" t="s">
        <v>274</v>
      </c>
      <c r="C5093" t="s">
        <v>5329</v>
      </c>
    </row>
    <row r="5094" spans="1:3" x14ac:dyDescent="0.35">
      <c r="A5094" t="s">
        <v>216</v>
      </c>
      <c r="B5094" t="s">
        <v>274</v>
      </c>
      <c r="C5094" t="s">
        <v>274</v>
      </c>
    </row>
    <row r="5095" spans="1:3" x14ac:dyDescent="0.35">
      <c r="A5095" t="s">
        <v>216</v>
      </c>
      <c r="B5095" t="s">
        <v>274</v>
      </c>
      <c r="C5095" t="s">
        <v>5330</v>
      </c>
    </row>
    <row r="5096" spans="1:3" x14ac:dyDescent="0.35">
      <c r="A5096" t="s">
        <v>216</v>
      </c>
      <c r="B5096" t="s">
        <v>274</v>
      </c>
      <c r="C5096" t="s">
        <v>5331</v>
      </c>
    </row>
    <row r="5097" spans="1:3" x14ac:dyDescent="0.35">
      <c r="A5097" t="s">
        <v>216</v>
      </c>
      <c r="B5097" t="s">
        <v>274</v>
      </c>
      <c r="C5097" t="s">
        <v>5332</v>
      </c>
    </row>
    <row r="5098" spans="1:3" x14ac:dyDescent="0.35">
      <c r="A5098" t="s">
        <v>216</v>
      </c>
      <c r="B5098" t="s">
        <v>274</v>
      </c>
      <c r="C5098" t="s">
        <v>5333</v>
      </c>
    </row>
    <row r="5099" spans="1:3" x14ac:dyDescent="0.35">
      <c r="A5099" t="s">
        <v>216</v>
      </c>
      <c r="B5099" t="s">
        <v>274</v>
      </c>
      <c r="C5099" t="s">
        <v>5334</v>
      </c>
    </row>
    <row r="5100" spans="1:3" x14ac:dyDescent="0.35">
      <c r="A5100" t="s">
        <v>216</v>
      </c>
      <c r="B5100" t="s">
        <v>274</v>
      </c>
      <c r="C5100" t="s">
        <v>5335</v>
      </c>
    </row>
    <row r="5101" spans="1:3" x14ac:dyDescent="0.35">
      <c r="A5101" t="s">
        <v>216</v>
      </c>
      <c r="B5101" t="s">
        <v>274</v>
      </c>
      <c r="C5101" t="s">
        <v>5336</v>
      </c>
    </row>
    <row r="5102" spans="1:3" x14ac:dyDescent="0.35">
      <c r="A5102" t="s">
        <v>216</v>
      </c>
      <c r="B5102" t="s">
        <v>274</v>
      </c>
      <c r="C5102" t="s">
        <v>5337</v>
      </c>
    </row>
    <row r="5103" spans="1:3" x14ac:dyDescent="0.35">
      <c r="A5103" t="s">
        <v>216</v>
      </c>
      <c r="B5103" t="s">
        <v>274</v>
      </c>
      <c r="C5103" t="s">
        <v>5338</v>
      </c>
    </row>
    <row r="5104" spans="1:3" x14ac:dyDescent="0.35">
      <c r="A5104" t="s">
        <v>216</v>
      </c>
      <c r="B5104" t="s">
        <v>274</v>
      </c>
      <c r="C5104" t="s">
        <v>5339</v>
      </c>
    </row>
    <row r="5105" spans="1:3" x14ac:dyDescent="0.35">
      <c r="A5105" t="s">
        <v>216</v>
      </c>
      <c r="B5105" t="s">
        <v>274</v>
      </c>
      <c r="C5105" t="s">
        <v>5340</v>
      </c>
    </row>
    <row r="5106" spans="1:3" x14ac:dyDescent="0.35">
      <c r="A5106" t="s">
        <v>216</v>
      </c>
      <c r="B5106" t="s">
        <v>274</v>
      </c>
      <c r="C5106" t="s">
        <v>5341</v>
      </c>
    </row>
    <row r="5107" spans="1:3" x14ac:dyDescent="0.35">
      <c r="A5107" t="s">
        <v>216</v>
      </c>
      <c r="B5107" t="s">
        <v>274</v>
      </c>
      <c r="C5107" t="s">
        <v>5342</v>
      </c>
    </row>
    <row r="5108" spans="1:3" x14ac:dyDescent="0.35">
      <c r="A5108" t="s">
        <v>216</v>
      </c>
      <c r="B5108" t="s">
        <v>274</v>
      </c>
      <c r="C5108" t="s">
        <v>5343</v>
      </c>
    </row>
    <row r="5109" spans="1:3" x14ac:dyDescent="0.35">
      <c r="A5109" t="s">
        <v>216</v>
      </c>
      <c r="B5109" t="s">
        <v>274</v>
      </c>
      <c r="C5109" t="s">
        <v>5344</v>
      </c>
    </row>
    <row r="5110" spans="1:3" x14ac:dyDescent="0.35">
      <c r="A5110" t="s">
        <v>216</v>
      </c>
      <c r="B5110" t="s">
        <v>274</v>
      </c>
      <c r="C5110" t="s">
        <v>5345</v>
      </c>
    </row>
    <row r="5111" spans="1:3" x14ac:dyDescent="0.35">
      <c r="A5111" t="s">
        <v>216</v>
      </c>
      <c r="B5111" t="s">
        <v>274</v>
      </c>
      <c r="C5111" t="s">
        <v>5346</v>
      </c>
    </row>
    <row r="5112" spans="1:3" x14ac:dyDescent="0.35">
      <c r="A5112" t="s">
        <v>216</v>
      </c>
      <c r="B5112" t="s">
        <v>274</v>
      </c>
      <c r="C5112" t="s">
        <v>5347</v>
      </c>
    </row>
    <row r="5113" spans="1:3" x14ac:dyDescent="0.35">
      <c r="A5113" t="s">
        <v>216</v>
      </c>
      <c r="B5113" t="s">
        <v>274</v>
      </c>
      <c r="C5113" t="s">
        <v>5348</v>
      </c>
    </row>
    <row r="5114" spans="1:3" x14ac:dyDescent="0.35">
      <c r="A5114" t="s">
        <v>216</v>
      </c>
      <c r="B5114" t="s">
        <v>274</v>
      </c>
      <c r="C5114" t="s">
        <v>5349</v>
      </c>
    </row>
    <row r="5115" spans="1:3" x14ac:dyDescent="0.35">
      <c r="A5115" t="s">
        <v>216</v>
      </c>
      <c r="B5115" t="s">
        <v>274</v>
      </c>
      <c r="C5115" t="s">
        <v>5350</v>
      </c>
    </row>
    <row r="5116" spans="1:3" x14ac:dyDescent="0.35">
      <c r="A5116" t="s">
        <v>216</v>
      </c>
      <c r="B5116" t="s">
        <v>274</v>
      </c>
      <c r="C5116" t="s">
        <v>5351</v>
      </c>
    </row>
    <row r="5117" spans="1:3" x14ac:dyDescent="0.35">
      <c r="A5117" t="s">
        <v>216</v>
      </c>
      <c r="B5117" t="s">
        <v>274</v>
      </c>
      <c r="C5117" t="s">
        <v>5352</v>
      </c>
    </row>
    <row r="5118" spans="1:3" x14ac:dyDescent="0.35">
      <c r="A5118" t="s">
        <v>216</v>
      </c>
      <c r="B5118" t="s">
        <v>274</v>
      </c>
      <c r="C5118" t="s">
        <v>5353</v>
      </c>
    </row>
    <row r="5119" spans="1:3" x14ac:dyDescent="0.35">
      <c r="A5119" t="s">
        <v>216</v>
      </c>
      <c r="B5119" t="s">
        <v>274</v>
      </c>
      <c r="C5119" t="s">
        <v>5354</v>
      </c>
    </row>
    <row r="5120" spans="1:3" x14ac:dyDescent="0.35">
      <c r="A5120" t="s">
        <v>216</v>
      </c>
      <c r="B5120" t="s">
        <v>274</v>
      </c>
      <c r="C5120" t="s">
        <v>5355</v>
      </c>
    </row>
    <row r="5121" spans="1:3" x14ac:dyDescent="0.35">
      <c r="A5121" t="s">
        <v>216</v>
      </c>
      <c r="B5121" t="s">
        <v>274</v>
      </c>
      <c r="C5121" t="s">
        <v>5356</v>
      </c>
    </row>
    <row r="5122" spans="1:3" x14ac:dyDescent="0.35">
      <c r="A5122" t="s">
        <v>216</v>
      </c>
      <c r="B5122" t="s">
        <v>274</v>
      </c>
      <c r="C5122" t="s">
        <v>5357</v>
      </c>
    </row>
    <row r="5123" spans="1:3" x14ac:dyDescent="0.35">
      <c r="A5123" t="s">
        <v>216</v>
      </c>
      <c r="B5123" t="s">
        <v>274</v>
      </c>
      <c r="C5123" t="s">
        <v>5358</v>
      </c>
    </row>
    <row r="5124" spans="1:3" x14ac:dyDescent="0.35">
      <c r="A5124" t="s">
        <v>216</v>
      </c>
      <c r="B5124" t="s">
        <v>75</v>
      </c>
      <c r="C5124" t="s">
        <v>5359</v>
      </c>
    </row>
    <row r="5125" spans="1:3" x14ac:dyDescent="0.35">
      <c r="A5125" t="s">
        <v>216</v>
      </c>
      <c r="B5125" t="s">
        <v>75</v>
      </c>
      <c r="C5125" t="s">
        <v>5360</v>
      </c>
    </row>
    <row r="5126" spans="1:3" x14ac:dyDescent="0.35">
      <c r="A5126" t="s">
        <v>216</v>
      </c>
      <c r="B5126" t="s">
        <v>75</v>
      </c>
      <c r="C5126" t="s">
        <v>5361</v>
      </c>
    </row>
    <row r="5127" spans="1:3" x14ac:dyDescent="0.35">
      <c r="A5127" t="s">
        <v>216</v>
      </c>
      <c r="B5127" t="s">
        <v>75</v>
      </c>
      <c r="C5127" t="s">
        <v>5362</v>
      </c>
    </row>
    <row r="5128" spans="1:3" x14ac:dyDescent="0.35">
      <c r="A5128" t="s">
        <v>216</v>
      </c>
      <c r="B5128" t="s">
        <v>75</v>
      </c>
      <c r="C5128" t="s">
        <v>5363</v>
      </c>
    </row>
    <row r="5129" spans="1:3" x14ac:dyDescent="0.35">
      <c r="A5129" t="s">
        <v>216</v>
      </c>
      <c r="B5129" t="s">
        <v>75</v>
      </c>
      <c r="C5129" t="s">
        <v>5364</v>
      </c>
    </row>
    <row r="5130" spans="1:3" x14ac:dyDescent="0.35">
      <c r="A5130" t="s">
        <v>216</v>
      </c>
      <c r="B5130" t="s">
        <v>75</v>
      </c>
      <c r="C5130" t="s">
        <v>5365</v>
      </c>
    </row>
    <row r="5131" spans="1:3" x14ac:dyDescent="0.35">
      <c r="A5131" t="s">
        <v>216</v>
      </c>
      <c r="B5131" t="s">
        <v>75</v>
      </c>
      <c r="C5131" t="s">
        <v>5366</v>
      </c>
    </row>
    <row r="5132" spans="1:3" x14ac:dyDescent="0.35">
      <c r="A5132" t="s">
        <v>216</v>
      </c>
      <c r="B5132" t="s">
        <v>75</v>
      </c>
      <c r="C5132" t="s">
        <v>5367</v>
      </c>
    </row>
    <row r="5133" spans="1:3" x14ac:dyDescent="0.35">
      <c r="A5133" t="s">
        <v>216</v>
      </c>
      <c r="B5133" t="s">
        <v>75</v>
      </c>
      <c r="C5133" t="s">
        <v>5368</v>
      </c>
    </row>
    <row r="5134" spans="1:3" x14ac:dyDescent="0.35">
      <c r="A5134" t="s">
        <v>216</v>
      </c>
      <c r="B5134" t="s">
        <v>75</v>
      </c>
      <c r="C5134" t="s">
        <v>5369</v>
      </c>
    </row>
    <row r="5135" spans="1:3" x14ac:dyDescent="0.35">
      <c r="A5135" t="s">
        <v>216</v>
      </c>
      <c r="B5135" t="s">
        <v>75</v>
      </c>
      <c r="C5135" t="s">
        <v>5370</v>
      </c>
    </row>
    <row r="5136" spans="1:3" x14ac:dyDescent="0.35">
      <c r="A5136" t="s">
        <v>216</v>
      </c>
      <c r="B5136" t="s">
        <v>75</v>
      </c>
      <c r="C5136" t="s">
        <v>5371</v>
      </c>
    </row>
    <row r="5137" spans="1:3" x14ac:dyDescent="0.35">
      <c r="A5137" t="s">
        <v>216</v>
      </c>
      <c r="B5137" t="s">
        <v>75</v>
      </c>
      <c r="C5137" t="s">
        <v>5372</v>
      </c>
    </row>
    <row r="5138" spans="1:3" x14ac:dyDescent="0.35">
      <c r="A5138" t="s">
        <v>216</v>
      </c>
      <c r="B5138" t="s">
        <v>75</v>
      </c>
      <c r="C5138" t="s">
        <v>5373</v>
      </c>
    </row>
    <row r="5139" spans="1:3" x14ac:dyDescent="0.35">
      <c r="A5139" t="s">
        <v>216</v>
      </c>
      <c r="B5139" t="s">
        <v>75</v>
      </c>
      <c r="C5139" t="s">
        <v>5374</v>
      </c>
    </row>
    <row r="5140" spans="1:3" x14ac:dyDescent="0.35">
      <c r="A5140" t="s">
        <v>216</v>
      </c>
      <c r="B5140" t="s">
        <v>75</v>
      </c>
      <c r="C5140" t="s">
        <v>5375</v>
      </c>
    </row>
    <row r="5141" spans="1:3" x14ac:dyDescent="0.35">
      <c r="A5141" t="s">
        <v>216</v>
      </c>
      <c r="B5141" t="s">
        <v>75</v>
      </c>
      <c r="C5141" t="s">
        <v>5376</v>
      </c>
    </row>
    <row r="5142" spans="1:3" x14ac:dyDescent="0.35">
      <c r="A5142" t="s">
        <v>216</v>
      </c>
      <c r="B5142" t="s">
        <v>75</v>
      </c>
      <c r="C5142" t="s">
        <v>5377</v>
      </c>
    </row>
    <row r="5143" spans="1:3" x14ac:dyDescent="0.35">
      <c r="A5143" t="s">
        <v>216</v>
      </c>
      <c r="B5143" t="s">
        <v>75</v>
      </c>
      <c r="C5143" t="s">
        <v>5378</v>
      </c>
    </row>
    <row r="5144" spans="1:3" x14ac:dyDescent="0.35">
      <c r="A5144" t="s">
        <v>216</v>
      </c>
      <c r="B5144" t="s">
        <v>75</v>
      </c>
      <c r="C5144" t="s">
        <v>5379</v>
      </c>
    </row>
    <row r="5145" spans="1:3" x14ac:dyDescent="0.35">
      <c r="A5145" t="s">
        <v>216</v>
      </c>
      <c r="B5145" t="s">
        <v>75</v>
      </c>
      <c r="C5145" t="s">
        <v>5380</v>
      </c>
    </row>
    <row r="5146" spans="1:3" x14ac:dyDescent="0.35">
      <c r="A5146" t="s">
        <v>216</v>
      </c>
      <c r="B5146" t="s">
        <v>75</v>
      </c>
      <c r="C5146" t="s">
        <v>5381</v>
      </c>
    </row>
    <row r="5147" spans="1:3" x14ac:dyDescent="0.35">
      <c r="A5147" t="s">
        <v>216</v>
      </c>
      <c r="B5147" t="s">
        <v>75</v>
      </c>
      <c r="C5147" t="s">
        <v>5382</v>
      </c>
    </row>
    <row r="5148" spans="1:3" x14ac:dyDescent="0.35">
      <c r="A5148" t="s">
        <v>216</v>
      </c>
      <c r="B5148" t="s">
        <v>75</v>
      </c>
      <c r="C5148" t="s">
        <v>5383</v>
      </c>
    </row>
    <row r="5149" spans="1:3" x14ac:dyDescent="0.35">
      <c r="A5149" t="s">
        <v>216</v>
      </c>
      <c r="B5149" t="s">
        <v>75</v>
      </c>
      <c r="C5149" t="s">
        <v>5384</v>
      </c>
    </row>
    <row r="5150" spans="1:3" x14ac:dyDescent="0.35">
      <c r="A5150" t="s">
        <v>216</v>
      </c>
      <c r="B5150" t="s">
        <v>75</v>
      </c>
      <c r="C5150" t="s">
        <v>5385</v>
      </c>
    </row>
    <row r="5151" spans="1:3" x14ac:dyDescent="0.35">
      <c r="A5151" t="s">
        <v>216</v>
      </c>
      <c r="B5151" t="s">
        <v>75</v>
      </c>
      <c r="C5151" t="s">
        <v>5386</v>
      </c>
    </row>
    <row r="5152" spans="1:3" x14ac:dyDescent="0.35">
      <c r="A5152" t="s">
        <v>216</v>
      </c>
      <c r="B5152" t="s">
        <v>75</v>
      </c>
      <c r="C5152" t="s">
        <v>5387</v>
      </c>
    </row>
    <row r="5153" spans="1:3" x14ac:dyDescent="0.35">
      <c r="A5153" t="s">
        <v>216</v>
      </c>
      <c r="B5153" t="s">
        <v>75</v>
      </c>
      <c r="C5153" t="s">
        <v>5388</v>
      </c>
    </row>
    <row r="5154" spans="1:3" x14ac:dyDescent="0.35">
      <c r="A5154" t="s">
        <v>216</v>
      </c>
      <c r="B5154" t="s">
        <v>75</v>
      </c>
      <c r="C5154" t="s">
        <v>5389</v>
      </c>
    </row>
    <row r="5155" spans="1:3" x14ac:dyDescent="0.35">
      <c r="A5155" t="s">
        <v>216</v>
      </c>
      <c r="B5155" t="s">
        <v>75</v>
      </c>
      <c r="C5155" t="s">
        <v>5390</v>
      </c>
    </row>
    <row r="5156" spans="1:3" x14ac:dyDescent="0.35">
      <c r="A5156" t="s">
        <v>216</v>
      </c>
      <c r="B5156" t="s">
        <v>75</v>
      </c>
      <c r="C5156" t="s">
        <v>5391</v>
      </c>
    </row>
    <row r="5157" spans="1:3" x14ac:dyDescent="0.35">
      <c r="A5157" t="s">
        <v>216</v>
      </c>
      <c r="B5157" t="s">
        <v>75</v>
      </c>
      <c r="C5157" t="s">
        <v>5392</v>
      </c>
    </row>
    <row r="5158" spans="1:3" x14ac:dyDescent="0.35">
      <c r="A5158" t="s">
        <v>216</v>
      </c>
      <c r="B5158" t="s">
        <v>75</v>
      </c>
      <c r="C5158" t="s">
        <v>5393</v>
      </c>
    </row>
    <row r="5159" spans="1:3" x14ac:dyDescent="0.35">
      <c r="A5159" t="s">
        <v>216</v>
      </c>
      <c r="B5159" t="s">
        <v>75</v>
      </c>
      <c r="C5159" t="s">
        <v>5394</v>
      </c>
    </row>
    <row r="5160" spans="1:3" x14ac:dyDescent="0.35">
      <c r="A5160" t="s">
        <v>216</v>
      </c>
      <c r="B5160" t="s">
        <v>75</v>
      </c>
      <c r="C5160" t="s">
        <v>5395</v>
      </c>
    </row>
    <row r="5161" spans="1:3" x14ac:dyDescent="0.35">
      <c r="A5161" t="s">
        <v>216</v>
      </c>
      <c r="B5161" t="s">
        <v>75</v>
      </c>
      <c r="C5161" t="s">
        <v>5396</v>
      </c>
    </row>
    <row r="5162" spans="1:3" x14ac:dyDescent="0.35">
      <c r="A5162" t="s">
        <v>216</v>
      </c>
      <c r="B5162" t="s">
        <v>75</v>
      </c>
      <c r="C5162" t="s">
        <v>5397</v>
      </c>
    </row>
    <row r="5163" spans="1:3" x14ac:dyDescent="0.35">
      <c r="A5163" t="s">
        <v>216</v>
      </c>
      <c r="B5163" t="s">
        <v>75</v>
      </c>
      <c r="C5163" t="s">
        <v>5398</v>
      </c>
    </row>
    <row r="5164" spans="1:3" x14ac:dyDescent="0.35">
      <c r="A5164" t="s">
        <v>216</v>
      </c>
      <c r="B5164" t="s">
        <v>75</v>
      </c>
      <c r="C5164" t="s">
        <v>5399</v>
      </c>
    </row>
    <row r="5165" spans="1:3" x14ac:dyDescent="0.35">
      <c r="A5165" t="s">
        <v>216</v>
      </c>
      <c r="B5165" t="s">
        <v>75</v>
      </c>
      <c r="C5165" t="s">
        <v>5400</v>
      </c>
    </row>
    <row r="5166" spans="1:3" x14ac:dyDescent="0.35">
      <c r="A5166" t="s">
        <v>216</v>
      </c>
      <c r="B5166" t="s">
        <v>75</v>
      </c>
      <c r="C5166" t="s">
        <v>5401</v>
      </c>
    </row>
    <row r="5167" spans="1:3" x14ac:dyDescent="0.35">
      <c r="A5167" t="s">
        <v>216</v>
      </c>
      <c r="B5167" t="s">
        <v>75</v>
      </c>
      <c r="C5167" t="s">
        <v>5402</v>
      </c>
    </row>
    <row r="5168" spans="1:3" x14ac:dyDescent="0.35">
      <c r="A5168" t="s">
        <v>216</v>
      </c>
      <c r="B5168" t="s">
        <v>75</v>
      </c>
      <c r="C5168" t="s">
        <v>5403</v>
      </c>
    </row>
    <row r="5169" spans="1:3" x14ac:dyDescent="0.35">
      <c r="A5169" t="s">
        <v>216</v>
      </c>
      <c r="B5169" t="s">
        <v>75</v>
      </c>
      <c r="C5169" t="s">
        <v>5404</v>
      </c>
    </row>
    <row r="5170" spans="1:3" x14ac:dyDescent="0.35">
      <c r="A5170" t="s">
        <v>216</v>
      </c>
      <c r="B5170" t="s">
        <v>75</v>
      </c>
      <c r="C5170" t="s">
        <v>5405</v>
      </c>
    </row>
    <row r="5171" spans="1:3" x14ac:dyDescent="0.35">
      <c r="A5171" t="s">
        <v>216</v>
      </c>
      <c r="B5171" t="s">
        <v>75</v>
      </c>
      <c r="C5171" t="s">
        <v>5406</v>
      </c>
    </row>
    <row r="5172" spans="1:3" x14ac:dyDescent="0.35">
      <c r="A5172" t="s">
        <v>216</v>
      </c>
      <c r="B5172" t="s">
        <v>75</v>
      </c>
      <c r="C5172" t="s">
        <v>5407</v>
      </c>
    </row>
    <row r="5173" spans="1:3" x14ac:dyDescent="0.35">
      <c r="A5173" t="s">
        <v>216</v>
      </c>
      <c r="B5173" t="s">
        <v>75</v>
      </c>
      <c r="C5173" t="s">
        <v>5408</v>
      </c>
    </row>
    <row r="5174" spans="1:3" x14ac:dyDescent="0.35">
      <c r="A5174" t="s">
        <v>216</v>
      </c>
      <c r="B5174" t="s">
        <v>75</v>
      </c>
      <c r="C5174" t="s">
        <v>5409</v>
      </c>
    </row>
    <row r="5175" spans="1:3" x14ac:dyDescent="0.35">
      <c r="A5175" t="s">
        <v>216</v>
      </c>
      <c r="B5175" t="s">
        <v>75</v>
      </c>
      <c r="C5175" t="s">
        <v>5410</v>
      </c>
    </row>
    <row r="5176" spans="1:3" x14ac:dyDescent="0.35">
      <c r="A5176" t="s">
        <v>216</v>
      </c>
      <c r="B5176" t="s">
        <v>75</v>
      </c>
      <c r="C5176" t="s">
        <v>5411</v>
      </c>
    </row>
    <row r="5177" spans="1:3" x14ac:dyDescent="0.35">
      <c r="A5177" t="s">
        <v>216</v>
      </c>
      <c r="B5177" t="s">
        <v>75</v>
      </c>
      <c r="C5177" t="s">
        <v>5412</v>
      </c>
    </row>
    <row r="5178" spans="1:3" x14ac:dyDescent="0.35">
      <c r="A5178" t="s">
        <v>216</v>
      </c>
      <c r="B5178" t="s">
        <v>75</v>
      </c>
      <c r="C5178" t="s">
        <v>5413</v>
      </c>
    </row>
    <row r="5179" spans="1:3" x14ac:dyDescent="0.35">
      <c r="A5179" t="s">
        <v>216</v>
      </c>
      <c r="B5179" t="s">
        <v>75</v>
      </c>
      <c r="C5179" t="s">
        <v>5414</v>
      </c>
    </row>
    <row r="5180" spans="1:3" x14ac:dyDescent="0.35">
      <c r="A5180" t="s">
        <v>216</v>
      </c>
      <c r="B5180" t="s">
        <v>75</v>
      </c>
      <c r="C5180" t="s">
        <v>5415</v>
      </c>
    </row>
    <row r="5181" spans="1:3" x14ac:dyDescent="0.35">
      <c r="A5181" t="s">
        <v>216</v>
      </c>
      <c r="B5181" t="s">
        <v>75</v>
      </c>
      <c r="C5181" t="s">
        <v>5416</v>
      </c>
    </row>
    <row r="5182" spans="1:3" x14ac:dyDescent="0.35">
      <c r="A5182" t="s">
        <v>216</v>
      </c>
      <c r="B5182" t="s">
        <v>75</v>
      </c>
      <c r="C5182" t="s">
        <v>5417</v>
      </c>
    </row>
    <row r="5183" spans="1:3" x14ac:dyDescent="0.35">
      <c r="A5183" t="s">
        <v>216</v>
      </c>
      <c r="B5183" t="s">
        <v>75</v>
      </c>
      <c r="C5183" t="s">
        <v>5418</v>
      </c>
    </row>
    <row r="5184" spans="1:3" x14ac:dyDescent="0.35">
      <c r="A5184" t="s">
        <v>216</v>
      </c>
      <c r="B5184" t="s">
        <v>75</v>
      </c>
      <c r="C5184" t="s">
        <v>5419</v>
      </c>
    </row>
    <row r="5185" spans="1:3" x14ac:dyDescent="0.35">
      <c r="A5185" t="s">
        <v>216</v>
      </c>
      <c r="B5185" t="s">
        <v>75</v>
      </c>
      <c r="C5185" t="s">
        <v>5420</v>
      </c>
    </row>
    <row r="5186" spans="1:3" x14ac:dyDescent="0.35">
      <c r="A5186" t="s">
        <v>216</v>
      </c>
      <c r="B5186" t="s">
        <v>75</v>
      </c>
      <c r="C5186" t="s">
        <v>5421</v>
      </c>
    </row>
    <row r="5187" spans="1:3" x14ac:dyDescent="0.35">
      <c r="A5187" t="s">
        <v>216</v>
      </c>
      <c r="B5187" t="s">
        <v>75</v>
      </c>
      <c r="C5187" t="s">
        <v>5422</v>
      </c>
    </row>
    <row r="5188" spans="1:3" x14ac:dyDescent="0.35">
      <c r="A5188" t="s">
        <v>216</v>
      </c>
      <c r="B5188" t="s">
        <v>75</v>
      </c>
      <c r="C5188" t="s">
        <v>5423</v>
      </c>
    </row>
    <row r="5189" spans="1:3" x14ac:dyDescent="0.35">
      <c r="A5189" t="s">
        <v>216</v>
      </c>
      <c r="B5189" t="s">
        <v>75</v>
      </c>
      <c r="C5189" t="s">
        <v>5424</v>
      </c>
    </row>
    <row r="5190" spans="1:3" x14ac:dyDescent="0.35">
      <c r="A5190" t="s">
        <v>216</v>
      </c>
      <c r="B5190" t="s">
        <v>75</v>
      </c>
      <c r="C5190" t="s">
        <v>5425</v>
      </c>
    </row>
    <row r="5191" spans="1:3" x14ac:dyDescent="0.35">
      <c r="A5191" t="s">
        <v>216</v>
      </c>
      <c r="B5191" t="s">
        <v>75</v>
      </c>
      <c r="C5191" t="s">
        <v>5426</v>
      </c>
    </row>
    <row r="5192" spans="1:3" x14ac:dyDescent="0.35">
      <c r="A5192" t="s">
        <v>216</v>
      </c>
      <c r="B5192" t="s">
        <v>75</v>
      </c>
      <c r="C5192" t="s">
        <v>5427</v>
      </c>
    </row>
    <row r="5193" spans="1:3" x14ac:dyDescent="0.35">
      <c r="A5193" t="s">
        <v>216</v>
      </c>
      <c r="B5193" t="s">
        <v>75</v>
      </c>
      <c r="C5193" t="s">
        <v>5428</v>
      </c>
    </row>
    <row r="5194" spans="1:3" x14ac:dyDescent="0.35">
      <c r="A5194" t="s">
        <v>216</v>
      </c>
      <c r="B5194" t="s">
        <v>75</v>
      </c>
      <c r="C5194" t="s">
        <v>5429</v>
      </c>
    </row>
    <row r="5195" spans="1:3" x14ac:dyDescent="0.35">
      <c r="A5195" t="s">
        <v>216</v>
      </c>
      <c r="B5195" t="s">
        <v>75</v>
      </c>
      <c r="C5195" t="s">
        <v>5430</v>
      </c>
    </row>
    <row r="5196" spans="1:3" x14ac:dyDescent="0.35">
      <c r="A5196" t="s">
        <v>216</v>
      </c>
      <c r="B5196" t="s">
        <v>75</v>
      </c>
      <c r="C5196" t="s">
        <v>5431</v>
      </c>
    </row>
    <row r="5197" spans="1:3" x14ac:dyDescent="0.35">
      <c r="A5197" t="s">
        <v>216</v>
      </c>
      <c r="B5197" t="s">
        <v>75</v>
      </c>
      <c r="C5197" t="s">
        <v>5432</v>
      </c>
    </row>
    <row r="5198" spans="1:3" x14ac:dyDescent="0.35">
      <c r="A5198" t="s">
        <v>216</v>
      </c>
      <c r="B5198" t="s">
        <v>75</v>
      </c>
      <c r="C5198" t="s">
        <v>5433</v>
      </c>
    </row>
    <row r="5199" spans="1:3" x14ac:dyDescent="0.35">
      <c r="A5199" t="s">
        <v>216</v>
      </c>
      <c r="B5199" t="s">
        <v>75</v>
      </c>
      <c r="C5199" t="s">
        <v>5434</v>
      </c>
    </row>
    <row r="5200" spans="1:3" x14ac:dyDescent="0.35">
      <c r="A5200" t="s">
        <v>216</v>
      </c>
      <c r="B5200" t="s">
        <v>75</v>
      </c>
      <c r="C5200" t="s">
        <v>5435</v>
      </c>
    </row>
    <row r="5201" spans="1:3" x14ac:dyDescent="0.35">
      <c r="A5201" t="s">
        <v>216</v>
      </c>
      <c r="B5201" t="s">
        <v>75</v>
      </c>
      <c r="C5201" t="s">
        <v>5436</v>
      </c>
    </row>
    <row r="5202" spans="1:3" x14ac:dyDescent="0.35">
      <c r="A5202" t="s">
        <v>216</v>
      </c>
      <c r="B5202" t="s">
        <v>75</v>
      </c>
      <c r="C5202" t="s">
        <v>5437</v>
      </c>
    </row>
    <row r="5203" spans="1:3" x14ac:dyDescent="0.35">
      <c r="A5203" t="s">
        <v>216</v>
      </c>
      <c r="B5203" t="s">
        <v>75</v>
      </c>
      <c r="C5203" t="s">
        <v>5438</v>
      </c>
    </row>
    <row r="5204" spans="1:3" x14ac:dyDescent="0.35">
      <c r="A5204" t="s">
        <v>216</v>
      </c>
      <c r="B5204" t="s">
        <v>75</v>
      </c>
      <c r="C5204" t="s">
        <v>5439</v>
      </c>
    </row>
    <row r="5205" spans="1:3" x14ac:dyDescent="0.35">
      <c r="A5205" t="s">
        <v>216</v>
      </c>
      <c r="B5205" t="s">
        <v>75</v>
      </c>
      <c r="C5205" t="s">
        <v>5440</v>
      </c>
    </row>
    <row r="5206" spans="1:3" x14ac:dyDescent="0.35">
      <c r="A5206" t="s">
        <v>216</v>
      </c>
      <c r="B5206" t="s">
        <v>75</v>
      </c>
      <c r="C5206" t="s">
        <v>5441</v>
      </c>
    </row>
    <row r="5207" spans="1:3" x14ac:dyDescent="0.35">
      <c r="A5207" t="s">
        <v>216</v>
      </c>
      <c r="B5207" t="s">
        <v>75</v>
      </c>
      <c r="C5207" t="s">
        <v>5442</v>
      </c>
    </row>
    <row r="5208" spans="1:3" x14ac:dyDescent="0.35">
      <c r="A5208" t="s">
        <v>216</v>
      </c>
      <c r="B5208" t="s">
        <v>75</v>
      </c>
      <c r="C5208" t="s">
        <v>5443</v>
      </c>
    </row>
    <row r="5209" spans="1:3" x14ac:dyDescent="0.35">
      <c r="A5209" t="s">
        <v>216</v>
      </c>
      <c r="B5209" t="s">
        <v>75</v>
      </c>
      <c r="C5209" t="s">
        <v>5444</v>
      </c>
    </row>
    <row r="5210" spans="1:3" x14ac:dyDescent="0.35">
      <c r="A5210" t="s">
        <v>216</v>
      </c>
      <c r="B5210" t="s">
        <v>75</v>
      </c>
      <c r="C5210" t="s">
        <v>5445</v>
      </c>
    </row>
    <row r="5211" spans="1:3" x14ac:dyDescent="0.35">
      <c r="A5211" t="s">
        <v>216</v>
      </c>
      <c r="B5211" t="s">
        <v>75</v>
      </c>
      <c r="C5211" t="s">
        <v>5446</v>
      </c>
    </row>
    <row r="5212" spans="1:3" x14ac:dyDescent="0.35">
      <c r="A5212" t="s">
        <v>216</v>
      </c>
      <c r="B5212" t="s">
        <v>75</v>
      </c>
      <c r="C5212" t="s">
        <v>5447</v>
      </c>
    </row>
    <row r="5213" spans="1:3" x14ac:dyDescent="0.35">
      <c r="A5213" t="s">
        <v>216</v>
      </c>
      <c r="B5213" t="s">
        <v>75</v>
      </c>
      <c r="C5213" t="s">
        <v>5448</v>
      </c>
    </row>
    <row r="5214" spans="1:3" x14ac:dyDescent="0.35">
      <c r="A5214" t="s">
        <v>216</v>
      </c>
      <c r="B5214" t="s">
        <v>75</v>
      </c>
      <c r="C5214" t="s">
        <v>5449</v>
      </c>
    </row>
    <row r="5215" spans="1:3" x14ac:dyDescent="0.35">
      <c r="A5215" t="s">
        <v>216</v>
      </c>
      <c r="B5215" t="s">
        <v>75</v>
      </c>
      <c r="C5215" t="s">
        <v>5450</v>
      </c>
    </row>
    <row r="5216" spans="1:3" x14ac:dyDescent="0.35">
      <c r="A5216" t="s">
        <v>216</v>
      </c>
      <c r="B5216" t="s">
        <v>75</v>
      </c>
      <c r="C5216" t="s">
        <v>5451</v>
      </c>
    </row>
    <row r="5217" spans="1:3" x14ac:dyDescent="0.35">
      <c r="A5217" t="s">
        <v>216</v>
      </c>
      <c r="B5217" t="s">
        <v>75</v>
      </c>
      <c r="C5217" t="s">
        <v>5452</v>
      </c>
    </row>
    <row r="5218" spans="1:3" x14ac:dyDescent="0.35">
      <c r="A5218" t="s">
        <v>216</v>
      </c>
      <c r="B5218" t="s">
        <v>75</v>
      </c>
      <c r="C5218" t="s">
        <v>5453</v>
      </c>
    </row>
    <row r="5219" spans="1:3" x14ac:dyDescent="0.35">
      <c r="A5219" t="s">
        <v>216</v>
      </c>
      <c r="B5219" t="s">
        <v>75</v>
      </c>
      <c r="C5219" t="s">
        <v>5454</v>
      </c>
    </row>
    <row r="5220" spans="1:3" x14ac:dyDescent="0.35">
      <c r="A5220" t="s">
        <v>216</v>
      </c>
      <c r="B5220" t="s">
        <v>75</v>
      </c>
      <c r="C5220" t="s">
        <v>5455</v>
      </c>
    </row>
    <row r="5221" spans="1:3" x14ac:dyDescent="0.35">
      <c r="A5221" t="s">
        <v>216</v>
      </c>
      <c r="B5221" t="s">
        <v>75</v>
      </c>
      <c r="C5221" t="s">
        <v>5456</v>
      </c>
    </row>
    <row r="5222" spans="1:3" x14ac:dyDescent="0.35">
      <c r="A5222" t="s">
        <v>216</v>
      </c>
      <c r="B5222" t="s">
        <v>75</v>
      </c>
      <c r="C5222" t="s">
        <v>5457</v>
      </c>
    </row>
    <row r="5223" spans="1:3" x14ac:dyDescent="0.35">
      <c r="A5223" t="s">
        <v>216</v>
      </c>
      <c r="B5223" t="s">
        <v>75</v>
      </c>
      <c r="C5223" t="s">
        <v>5458</v>
      </c>
    </row>
    <row r="5224" spans="1:3" x14ac:dyDescent="0.35">
      <c r="A5224" t="s">
        <v>216</v>
      </c>
      <c r="B5224" t="s">
        <v>75</v>
      </c>
      <c r="C5224" t="s">
        <v>5459</v>
      </c>
    </row>
    <row r="5225" spans="1:3" x14ac:dyDescent="0.35">
      <c r="A5225" t="s">
        <v>216</v>
      </c>
      <c r="B5225" t="s">
        <v>75</v>
      </c>
      <c r="C5225" t="s">
        <v>5460</v>
      </c>
    </row>
    <row r="5226" spans="1:3" x14ac:dyDescent="0.35">
      <c r="A5226" t="s">
        <v>216</v>
      </c>
      <c r="B5226" t="s">
        <v>75</v>
      </c>
      <c r="C5226" t="s">
        <v>5461</v>
      </c>
    </row>
    <row r="5227" spans="1:3" x14ac:dyDescent="0.35">
      <c r="A5227" t="s">
        <v>216</v>
      </c>
      <c r="B5227" t="s">
        <v>75</v>
      </c>
      <c r="C5227" t="s">
        <v>5462</v>
      </c>
    </row>
    <row r="5228" spans="1:3" x14ac:dyDescent="0.35">
      <c r="A5228" t="s">
        <v>216</v>
      </c>
      <c r="B5228" t="s">
        <v>75</v>
      </c>
      <c r="C5228" t="s">
        <v>5463</v>
      </c>
    </row>
    <row r="5229" spans="1:3" x14ac:dyDescent="0.35">
      <c r="A5229" t="s">
        <v>216</v>
      </c>
      <c r="B5229" t="s">
        <v>75</v>
      </c>
      <c r="C5229" t="s">
        <v>5464</v>
      </c>
    </row>
    <row r="5230" spans="1:3" x14ac:dyDescent="0.35">
      <c r="A5230" t="s">
        <v>216</v>
      </c>
      <c r="B5230" t="s">
        <v>75</v>
      </c>
      <c r="C5230" t="s">
        <v>5465</v>
      </c>
    </row>
    <row r="5231" spans="1:3" x14ac:dyDescent="0.35">
      <c r="A5231" t="s">
        <v>216</v>
      </c>
      <c r="B5231" t="s">
        <v>75</v>
      </c>
      <c r="C5231" t="s">
        <v>5466</v>
      </c>
    </row>
    <row r="5232" spans="1:3" x14ac:dyDescent="0.35">
      <c r="A5232" t="s">
        <v>216</v>
      </c>
      <c r="B5232" t="s">
        <v>75</v>
      </c>
      <c r="C5232" t="s">
        <v>5467</v>
      </c>
    </row>
    <row r="5233" spans="1:3" x14ac:dyDescent="0.35">
      <c r="A5233" t="s">
        <v>216</v>
      </c>
      <c r="B5233" t="s">
        <v>75</v>
      </c>
      <c r="C5233" t="s">
        <v>5468</v>
      </c>
    </row>
    <row r="5234" spans="1:3" x14ac:dyDescent="0.35">
      <c r="A5234" t="s">
        <v>216</v>
      </c>
      <c r="B5234" t="s">
        <v>75</v>
      </c>
      <c r="C5234" t="s">
        <v>5469</v>
      </c>
    </row>
    <row r="5235" spans="1:3" x14ac:dyDescent="0.35">
      <c r="A5235" t="s">
        <v>216</v>
      </c>
      <c r="B5235" t="s">
        <v>75</v>
      </c>
      <c r="C5235" t="s">
        <v>5470</v>
      </c>
    </row>
    <row r="5236" spans="1:3" x14ac:dyDescent="0.35">
      <c r="A5236" t="s">
        <v>216</v>
      </c>
      <c r="B5236" t="s">
        <v>75</v>
      </c>
      <c r="C5236" t="s">
        <v>5471</v>
      </c>
    </row>
    <row r="5237" spans="1:3" x14ac:dyDescent="0.35">
      <c r="A5237" t="s">
        <v>216</v>
      </c>
      <c r="B5237" t="s">
        <v>75</v>
      </c>
      <c r="C5237" t="s">
        <v>5472</v>
      </c>
    </row>
    <row r="5238" spans="1:3" x14ac:dyDescent="0.35">
      <c r="A5238" t="s">
        <v>216</v>
      </c>
      <c r="B5238" t="s">
        <v>75</v>
      </c>
      <c r="C5238" t="s">
        <v>5473</v>
      </c>
    </row>
    <row r="5239" spans="1:3" x14ac:dyDescent="0.35">
      <c r="A5239" t="s">
        <v>216</v>
      </c>
      <c r="B5239" t="s">
        <v>75</v>
      </c>
      <c r="C5239" t="s">
        <v>5474</v>
      </c>
    </row>
    <row r="5240" spans="1:3" x14ac:dyDescent="0.35">
      <c r="A5240" t="s">
        <v>216</v>
      </c>
      <c r="B5240" t="s">
        <v>75</v>
      </c>
      <c r="C5240" t="s">
        <v>5475</v>
      </c>
    </row>
    <row r="5241" spans="1:3" x14ac:dyDescent="0.35">
      <c r="A5241" t="s">
        <v>216</v>
      </c>
      <c r="B5241" t="s">
        <v>75</v>
      </c>
      <c r="C5241" t="s">
        <v>5476</v>
      </c>
    </row>
    <row r="5242" spans="1:3" x14ac:dyDescent="0.35">
      <c r="A5242" t="s">
        <v>216</v>
      </c>
      <c r="B5242" t="s">
        <v>75</v>
      </c>
      <c r="C5242" t="s">
        <v>5477</v>
      </c>
    </row>
    <row r="5243" spans="1:3" x14ac:dyDescent="0.35">
      <c r="A5243" t="s">
        <v>216</v>
      </c>
      <c r="B5243" t="s">
        <v>75</v>
      </c>
      <c r="C5243" t="s">
        <v>5478</v>
      </c>
    </row>
    <row r="5244" spans="1:3" x14ac:dyDescent="0.35">
      <c r="A5244" t="s">
        <v>216</v>
      </c>
      <c r="B5244" t="s">
        <v>75</v>
      </c>
      <c r="C5244" t="s">
        <v>5479</v>
      </c>
    </row>
    <row r="5245" spans="1:3" x14ac:dyDescent="0.35">
      <c r="A5245" t="s">
        <v>216</v>
      </c>
      <c r="B5245" t="s">
        <v>75</v>
      </c>
      <c r="C5245" t="s">
        <v>5480</v>
      </c>
    </row>
    <row r="5246" spans="1:3" x14ac:dyDescent="0.35">
      <c r="A5246" t="s">
        <v>216</v>
      </c>
      <c r="B5246" t="s">
        <v>75</v>
      </c>
      <c r="C5246" t="s">
        <v>5481</v>
      </c>
    </row>
    <row r="5247" spans="1:3" x14ac:dyDescent="0.35">
      <c r="A5247" t="s">
        <v>216</v>
      </c>
      <c r="B5247" t="s">
        <v>75</v>
      </c>
      <c r="C5247" t="s">
        <v>5482</v>
      </c>
    </row>
    <row r="5248" spans="1:3" x14ac:dyDescent="0.35">
      <c r="A5248" t="s">
        <v>216</v>
      </c>
      <c r="B5248" t="s">
        <v>75</v>
      </c>
      <c r="C5248" t="s">
        <v>5483</v>
      </c>
    </row>
    <row r="5249" spans="1:3" x14ac:dyDescent="0.35">
      <c r="A5249" t="s">
        <v>216</v>
      </c>
      <c r="B5249" t="s">
        <v>75</v>
      </c>
      <c r="C5249" t="s">
        <v>5484</v>
      </c>
    </row>
    <row r="5250" spans="1:3" x14ac:dyDescent="0.35">
      <c r="A5250" t="s">
        <v>216</v>
      </c>
      <c r="B5250" t="s">
        <v>75</v>
      </c>
      <c r="C5250" t="s">
        <v>5485</v>
      </c>
    </row>
    <row r="5251" spans="1:3" x14ac:dyDescent="0.35">
      <c r="A5251" t="s">
        <v>216</v>
      </c>
      <c r="B5251" t="s">
        <v>75</v>
      </c>
      <c r="C5251" t="s">
        <v>5486</v>
      </c>
    </row>
    <row r="5252" spans="1:3" x14ac:dyDescent="0.35">
      <c r="A5252" t="s">
        <v>216</v>
      </c>
      <c r="B5252" t="s">
        <v>75</v>
      </c>
      <c r="C5252" t="s">
        <v>5487</v>
      </c>
    </row>
    <row r="5253" spans="1:3" x14ac:dyDescent="0.35">
      <c r="A5253" t="s">
        <v>216</v>
      </c>
      <c r="B5253" t="s">
        <v>75</v>
      </c>
      <c r="C5253" t="s">
        <v>5488</v>
      </c>
    </row>
    <row r="5254" spans="1:3" x14ac:dyDescent="0.35">
      <c r="A5254" t="s">
        <v>216</v>
      </c>
      <c r="B5254" t="s">
        <v>75</v>
      </c>
      <c r="C5254" t="s">
        <v>5489</v>
      </c>
    </row>
    <row r="5255" spans="1:3" x14ac:dyDescent="0.35">
      <c r="A5255" t="s">
        <v>216</v>
      </c>
      <c r="B5255" t="s">
        <v>75</v>
      </c>
      <c r="C5255" t="s">
        <v>5490</v>
      </c>
    </row>
    <row r="5256" spans="1:3" x14ac:dyDescent="0.35">
      <c r="A5256" t="s">
        <v>216</v>
      </c>
      <c r="B5256" t="s">
        <v>75</v>
      </c>
      <c r="C5256" t="s">
        <v>5491</v>
      </c>
    </row>
    <row r="5257" spans="1:3" x14ac:dyDescent="0.35">
      <c r="A5257" t="s">
        <v>216</v>
      </c>
      <c r="B5257" t="s">
        <v>75</v>
      </c>
      <c r="C5257" t="s">
        <v>5492</v>
      </c>
    </row>
    <row r="5258" spans="1:3" x14ac:dyDescent="0.35">
      <c r="A5258" t="s">
        <v>216</v>
      </c>
      <c r="B5258" t="s">
        <v>75</v>
      </c>
      <c r="C5258" t="s">
        <v>5493</v>
      </c>
    </row>
    <row r="5259" spans="1:3" x14ac:dyDescent="0.35">
      <c r="A5259" t="s">
        <v>216</v>
      </c>
      <c r="B5259" t="s">
        <v>75</v>
      </c>
      <c r="C5259" t="s">
        <v>5494</v>
      </c>
    </row>
    <row r="5260" spans="1:3" x14ac:dyDescent="0.35">
      <c r="A5260" t="s">
        <v>216</v>
      </c>
      <c r="B5260" t="s">
        <v>75</v>
      </c>
      <c r="C5260" t="s">
        <v>5495</v>
      </c>
    </row>
    <row r="5261" spans="1:3" x14ac:dyDescent="0.35">
      <c r="A5261" t="s">
        <v>216</v>
      </c>
      <c r="B5261" t="s">
        <v>75</v>
      </c>
      <c r="C5261" t="s">
        <v>5496</v>
      </c>
    </row>
    <row r="5262" spans="1:3" x14ac:dyDescent="0.35">
      <c r="A5262" t="s">
        <v>216</v>
      </c>
      <c r="B5262" t="s">
        <v>75</v>
      </c>
      <c r="C5262" t="s">
        <v>5497</v>
      </c>
    </row>
    <row r="5263" spans="1:3" x14ac:dyDescent="0.35">
      <c r="A5263" t="s">
        <v>216</v>
      </c>
      <c r="B5263" t="s">
        <v>75</v>
      </c>
      <c r="C5263" t="s">
        <v>5498</v>
      </c>
    </row>
    <row r="5264" spans="1:3" x14ac:dyDescent="0.35">
      <c r="A5264" t="s">
        <v>216</v>
      </c>
      <c r="B5264" t="s">
        <v>75</v>
      </c>
      <c r="C5264" t="s">
        <v>5499</v>
      </c>
    </row>
    <row r="5265" spans="1:3" x14ac:dyDescent="0.35">
      <c r="A5265" t="s">
        <v>216</v>
      </c>
      <c r="B5265" t="s">
        <v>75</v>
      </c>
      <c r="C5265" t="s">
        <v>5500</v>
      </c>
    </row>
    <row r="5266" spans="1:3" x14ac:dyDescent="0.35">
      <c r="A5266" t="s">
        <v>216</v>
      </c>
      <c r="B5266" t="s">
        <v>75</v>
      </c>
      <c r="C5266" t="s">
        <v>5501</v>
      </c>
    </row>
    <row r="5267" spans="1:3" x14ac:dyDescent="0.35">
      <c r="A5267" t="s">
        <v>216</v>
      </c>
      <c r="B5267" t="s">
        <v>75</v>
      </c>
      <c r="C5267" t="s">
        <v>5502</v>
      </c>
    </row>
    <row r="5268" spans="1:3" x14ac:dyDescent="0.35">
      <c r="A5268" t="s">
        <v>216</v>
      </c>
      <c r="B5268" t="s">
        <v>75</v>
      </c>
      <c r="C5268" t="s">
        <v>5503</v>
      </c>
    </row>
    <row r="5269" spans="1:3" x14ac:dyDescent="0.35">
      <c r="A5269" t="s">
        <v>216</v>
      </c>
      <c r="B5269" t="s">
        <v>75</v>
      </c>
      <c r="C5269" t="s">
        <v>5504</v>
      </c>
    </row>
    <row r="5270" spans="1:3" x14ac:dyDescent="0.35">
      <c r="A5270" t="s">
        <v>216</v>
      </c>
      <c r="B5270" t="s">
        <v>75</v>
      </c>
      <c r="C5270" t="s">
        <v>5505</v>
      </c>
    </row>
    <row r="5271" spans="1:3" x14ac:dyDescent="0.35">
      <c r="A5271" t="s">
        <v>216</v>
      </c>
      <c r="B5271" t="s">
        <v>75</v>
      </c>
      <c r="C5271" t="s">
        <v>5506</v>
      </c>
    </row>
    <row r="5272" spans="1:3" x14ac:dyDescent="0.35">
      <c r="A5272" t="s">
        <v>216</v>
      </c>
      <c r="B5272" t="s">
        <v>75</v>
      </c>
      <c r="C5272" t="s">
        <v>5507</v>
      </c>
    </row>
    <row r="5273" spans="1:3" x14ac:dyDescent="0.35">
      <c r="A5273" t="s">
        <v>216</v>
      </c>
      <c r="B5273" t="s">
        <v>75</v>
      </c>
      <c r="C5273" t="s">
        <v>5508</v>
      </c>
    </row>
    <row r="5274" spans="1:3" x14ac:dyDescent="0.35">
      <c r="A5274" t="s">
        <v>216</v>
      </c>
      <c r="B5274" t="s">
        <v>75</v>
      </c>
      <c r="C5274" t="s">
        <v>5509</v>
      </c>
    </row>
    <row r="5275" spans="1:3" x14ac:dyDescent="0.35">
      <c r="A5275" t="s">
        <v>216</v>
      </c>
      <c r="B5275" t="s">
        <v>75</v>
      </c>
      <c r="C5275" t="s">
        <v>5510</v>
      </c>
    </row>
    <row r="5276" spans="1:3" x14ac:dyDescent="0.35">
      <c r="A5276" t="s">
        <v>216</v>
      </c>
      <c r="B5276" t="s">
        <v>75</v>
      </c>
      <c r="C5276" t="s">
        <v>5511</v>
      </c>
    </row>
    <row r="5277" spans="1:3" x14ac:dyDescent="0.35">
      <c r="A5277" t="s">
        <v>216</v>
      </c>
      <c r="B5277" t="s">
        <v>75</v>
      </c>
      <c r="C5277" t="s">
        <v>5512</v>
      </c>
    </row>
    <row r="5278" spans="1:3" x14ac:dyDescent="0.35">
      <c r="A5278" t="s">
        <v>216</v>
      </c>
      <c r="B5278" t="s">
        <v>75</v>
      </c>
      <c r="C5278" t="s">
        <v>5513</v>
      </c>
    </row>
    <row r="5279" spans="1:3" x14ac:dyDescent="0.35">
      <c r="A5279" t="s">
        <v>216</v>
      </c>
      <c r="B5279" t="s">
        <v>75</v>
      </c>
      <c r="C5279" t="s">
        <v>5514</v>
      </c>
    </row>
    <row r="5280" spans="1:3" x14ac:dyDescent="0.35">
      <c r="A5280" t="s">
        <v>216</v>
      </c>
      <c r="B5280" t="s">
        <v>75</v>
      </c>
      <c r="C5280" t="s">
        <v>5515</v>
      </c>
    </row>
    <row r="5281" spans="1:3" x14ac:dyDescent="0.35">
      <c r="A5281" t="s">
        <v>216</v>
      </c>
      <c r="B5281" t="s">
        <v>75</v>
      </c>
      <c r="C5281" t="s">
        <v>5516</v>
      </c>
    </row>
    <row r="5282" spans="1:3" x14ac:dyDescent="0.35">
      <c r="A5282" t="s">
        <v>216</v>
      </c>
      <c r="B5282" t="s">
        <v>75</v>
      </c>
      <c r="C5282" t="s">
        <v>5517</v>
      </c>
    </row>
    <row r="5283" spans="1:3" x14ac:dyDescent="0.35">
      <c r="A5283" t="s">
        <v>216</v>
      </c>
      <c r="B5283" t="s">
        <v>75</v>
      </c>
      <c r="C5283" t="s">
        <v>5518</v>
      </c>
    </row>
    <row r="5284" spans="1:3" x14ac:dyDescent="0.35">
      <c r="A5284" t="s">
        <v>216</v>
      </c>
      <c r="B5284" t="s">
        <v>75</v>
      </c>
      <c r="C5284" t="s">
        <v>5519</v>
      </c>
    </row>
    <row r="5285" spans="1:3" x14ac:dyDescent="0.35">
      <c r="A5285" t="s">
        <v>216</v>
      </c>
      <c r="B5285" t="s">
        <v>75</v>
      </c>
      <c r="C5285" t="s">
        <v>5520</v>
      </c>
    </row>
    <row r="5286" spans="1:3" x14ac:dyDescent="0.35">
      <c r="A5286" t="s">
        <v>216</v>
      </c>
      <c r="B5286" t="s">
        <v>75</v>
      </c>
      <c r="C5286" t="s">
        <v>5521</v>
      </c>
    </row>
    <row r="5287" spans="1:3" x14ac:dyDescent="0.35">
      <c r="A5287" t="s">
        <v>216</v>
      </c>
      <c r="B5287" t="s">
        <v>75</v>
      </c>
      <c r="C5287" t="s">
        <v>5522</v>
      </c>
    </row>
    <row r="5288" spans="1:3" x14ac:dyDescent="0.35">
      <c r="A5288" t="s">
        <v>216</v>
      </c>
      <c r="B5288" t="s">
        <v>75</v>
      </c>
      <c r="C5288" t="s">
        <v>5523</v>
      </c>
    </row>
    <row r="5289" spans="1:3" x14ac:dyDescent="0.35">
      <c r="A5289" t="s">
        <v>216</v>
      </c>
      <c r="B5289" t="s">
        <v>75</v>
      </c>
      <c r="C5289" t="s">
        <v>5524</v>
      </c>
    </row>
    <row r="5290" spans="1:3" x14ac:dyDescent="0.35">
      <c r="A5290" t="s">
        <v>216</v>
      </c>
      <c r="B5290" t="s">
        <v>75</v>
      </c>
      <c r="C5290" t="s">
        <v>5525</v>
      </c>
    </row>
    <row r="5291" spans="1:3" x14ac:dyDescent="0.35">
      <c r="A5291" t="s">
        <v>216</v>
      </c>
      <c r="B5291" t="s">
        <v>75</v>
      </c>
      <c r="C5291" t="s">
        <v>5526</v>
      </c>
    </row>
    <row r="5292" spans="1:3" x14ac:dyDescent="0.35">
      <c r="A5292" t="s">
        <v>216</v>
      </c>
      <c r="B5292" t="s">
        <v>75</v>
      </c>
      <c r="C5292" t="s">
        <v>5527</v>
      </c>
    </row>
    <row r="5293" spans="1:3" x14ac:dyDescent="0.35">
      <c r="A5293" t="s">
        <v>216</v>
      </c>
      <c r="B5293" t="s">
        <v>75</v>
      </c>
      <c r="C5293" t="s">
        <v>5528</v>
      </c>
    </row>
    <row r="5294" spans="1:3" x14ac:dyDescent="0.35">
      <c r="A5294" t="s">
        <v>216</v>
      </c>
      <c r="B5294" t="s">
        <v>75</v>
      </c>
      <c r="C5294" t="s">
        <v>5529</v>
      </c>
    </row>
    <row r="5295" spans="1:3" x14ac:dyDescent="0.35">
      <c r="A5295" t="s">
        <v>216</v>
      </c>
      <c r="B5295" t="s">
        <v>75</v>
      </c>
      <c r="C5295" t="s">
        <v>5530</v>
      </c>
    </row>
    <row r="5296" spans="1:3" x14ac:dyDescent="0.35">
      <c r="A5296" t="s">
        <v>216</v>
      </c>
      <c r="B5296" t="s">
        <v>75</v>
      </c>
      <c r="C5296" t="s">
        <v>5531</v>
      </c>
    </row>
    <row r="5297" spans="1:3" x14ac:dyDescent="0.35">
      <c r="A5297" t="s">
        <v>216</v>
      </c>
      <c r="B5297" t="s">
        <v>75</v>
      </c>
      <c r="C5297" t="s">
        <v>5532</v>
      </c>
    </row>
    <row r="5298" spans="1:3" x14ac:dyDescent="0.35">
      <c r="A5298" t="s">
        <v>216</v>
      </c>
      <c r="B5298" t="s">
        <v>75</v>
      </c>
      <c r="C5298" t="s">
        <v>5533</v>
      </c>
    </row>
    <row r="5299" spans="1:3" x14ac:dyDescent="0.35">
      <c r="A5299" t="s">
        <v>216</v>
      </c>
      <c r="B5299" t="s">
        <v>75</v>
      </c>
      <c r="C5299" t="s">
        <v>5534</v>
      </c>
    </row>
    <row r="5300" spans="1:3" x14ac:dyDescent="0.35">
      <c r="A5300" t="s">
        <v>216</v>
      </c>
      <c r="B5300" t="s">
        <v>75</v>
      </c>
      <c r="C5300" t="s">
        <v>5535</v>
      </c>
    </row>
    <row r="5301" spans="1:3" x14ac:dyDescent="0.35">
      <c r="A5301" t="s">
        <v>216</v>
      </c>
      <c r="B5301" t="s">
        <v>75</v>
      </c>
      <c r="C5301" t="s">
        <v>5536</v>
      </c>
    </row>
    <row r="5302" spans="1:3" x14ac:dyDescent="0.35">
      <c r="A5302" t="s">
        <v>216</v>
      </c>
      <c r="B5302" t="s">
        <v>75</v>
      </c>
      <c r="C5302" t="s">
        <v>5537</v>
      </c>
    </row>
    <row r="5303" spans="1:3" x14ac:dyDescent="0.35">
      <c r="A5303" t="s">
        <v>216</v>
      </c>
      <c r="B5303" t="s">
        <v>75</v>
      </c>
      <c r="C5303" t="s">
        <v>5538</v>
      </c>
    </row>
    <row r="5304" spans="1:3" x14ac:dyDescent="0.35">
      <c r="A5304" t="s">
        <v>216</v>
      </c>
      <c r="B5304" t="s">
        <v>75</v>
      </c>
      <c r="C5304" t="s">
        <v>5539</v>
      </c>
    </row>
    <row r="5305" spans="1:3" x14ac:dyDescent="0.35">
      <c r="A5305" t="s">
        <v>216</v>
      </c>
      <c r="B5305" t="s">
        <v>75</v>
      </c>
      <c r="C5305" t="s">
        <v>5540</v>
      </c>
    </row>
    <row r="5306" spans="1:3" x14ac:dyDescent="0.35">
      <c r="A5306" t="s">
        <v>216</v>
      </c>
      <c r="B5306" t="s">
        <v>75</v>
      </c>
      <c r="C5306" t="s">
        <v>5541</v>
      </c>
    </row>
    <row r="5307" spans="1:3" x14ac:dyDescent="0.35">
      <c r="A5307" t="s">
        <v>216</v>
      </c>
      <c r="B5307" t="s">
        <v>75</v>
      </c>
      <c r="C5307" t="s">
        <v>5542</v>
      </c>
    </row>
    <row r="5308" spans="1:3" x14ac:dyDescent="0.35">
      <c r="A5308" t="s">
        <v>216</v>
      </c>
      <c r="B5308" t="s">
        <v>75</v>
      </c>
      <c r="C5308" t="s">
        <v>5543</v>
      </c>
    </row>
    <row r="5309" spans="1:3" x14ac:dyDescent="0.35">
      <c r="A5309" t="s">
        <v>216</v>
      </c>
      <c r="B5309" t="s">
        <v>75</v>
      </c>
      <c r="C5309" t="s">
        <v>5544</v>
      </c>
    </row>
    <row r="5310" spans="1:3" x14ac:dyDescent="0.35">
      <c r="A5310" t="s">
        <v>216</v>
      </c>
      <c r="B5310" t="s">
        <v>75</v>
      </c>
      <c r="C5310" t="s">
        <v>5545</v>
      </c>
    </row>
    <row r="5311" spans="1:3" x14ac:dyDescent="0.35">
      <c r="A5311" t="s">
        <v>216</v>
      </c>
      <c r="B5311" t="s">
        <v>75</v>
      </c>
      <c r="C5311" t="s">
        <v>5546</v>
      </c>
    </row>
    <row r="5312" spans="1:3" x14ac:dyDescent="0.35">
      <c r="A5312" t="s">
        <v>216</v>
      </c>
      <c r="B5312" t="s">
        <v>75</v>
      </c>
      <c r="C5312" t="s">
        <v>5547</v>
      </c>
    </row>
    <row r="5313" spans="1:3" x14ac:dyDescent="0.35">
      <c r="A5313" t="s">
        <v>216</v>
      </c>
      <c r="B5313" t="s">
        <v>75</v>
      </c>
      <c r="C5313" t="s">
        <v>5548</v>
      </c>
    </row>
    <row r="5314" spans="1:3" x14ac:dyDescent="0.35">
      <c r="A5314" t="s">
        <v>216</v>
      </c>
      <c r="B5314" t="s">
        <v>75</v>
      </c>
      <c r="C5314" t="s">
        <v>5549</v>
      </c>
    </row>
    <row r="5315" spans="1:3" x14ac:dyDescent="0.35">
      <c r="A5315" t="s">
        <v>216</v>
      </c>
      <c r="B5315" t="s">
        <v>75</v>
      </c>
      <c r="C5315" t="s">
        <v>5550</v>
      </c>
    </row>
    <row r="5316" spans="1:3" x14ac:dyDescent="0.35">
      <c r="A5316" t="s">
        <v>216</v>
      </c>
      <c r="B5316" t="s">
        <v>75</v>
      </c>
      <c r="C5316" t="s">
        <v>5551</v>
      </c>
    </row>
    <row r="5317" spans="1:3" x14ac:dyDescent="0.35">
      <c r="A5317" t="s">
        <v>216</v>
      </c>
      <c r="B5317" t="s">
        <v>75</v>
      </c>
      <c r="C5317" t="s">
        <v>5552</v>
      </c>
    </row>
    <row r="5318" spans="1:3" x14ac:dyDescent="0.35">
      <c r="A5318" t="s">
        <v>216</v>
      </c>
      <c r="B5318" t="s">
        <v>75</v>
      </c>
      <c r="C5318" t="s">
        <v>5553</v>
      </c>
    </row>
    <row r="5319" spans="1:3" x14ac:dyDescent="0.35">
      <c r="A5319" t="s">
        <v>216</v>
      </c>
      <c r="B5319" t="s">
        <v>75</v>
      </c>
      <c r="C5319" t="s">
        <v>5554</v>
      </c>
    </row>
    <row r="5320" spans="1:3" x14ac:dyDescent="0.35">
      <c r="A5320" t="s">
        <v>216</v>
      </c>
      <c r="B5320" t="s">
        <v>75</v>
      </c>
      <c r="C5320" t="s">
        <v>5555</v>
      </c>
    </row>
    <row r="5321" spans="1:3" x14ac:dyDescent="0.35">
      <c r="A5321" t="s">
        <v>216</v>
      </c>
      <c r="B5321" t="s">
        <v>75</v>
      </c>
      <c r="C5321" t="s">
        <v>5556</v>
      </c>
    </row>
    <row r="5322" spans="1:3" x14ac:dyDescent="0.35">
      <c r="A5322" t="s">
        <v>216</v>
      </c>
      <c r="B5322" t="s">
        <v>75</v>
      </c>
      <c r="C5322" t="s">
        <v>5557</v>
      </c>
    </row>
    <row r="5323" spans="1:3" x14ac:dyDescent="0.35">
      <c r="A5323" t="s">
        <v>216</v>
      </c>
      <c r="B5323" t="s">
        <v>75</v>
      </c>
      <c r="C5323" t="s">
        <v>5558</v>
      </c>
    </row>
    <row r="5324" spans="1:3" x14ac:dyDescent="0.35">
      <c r="A5324" t="s">
        <v>216</v>
      </c>
      <c r="B5324" t="s">
        <v>75</v>
      </c>
      <c r="C5324" t="s">
        <v>5559</v>
      </c>
    </row>
    <row r="5325" spans="1:3" x14ac:dyDescent="0.35">
      <c r="A5325" t="s">
        <v>216</v>
      </c>
      <c r="B5325" t="s">
        <v>75</v>
      </c>
      <c r="C5325" t="s">
        <v>5560</v>
      </c>
    </row>
    <row r="5326" spans="1:3" x14ac:dyDescent="0.35">
      <c r="A5326" t="s">
        <v>216</v>
      </c>
      <c r="B5326" t="s">
        <v>75</v>
      </c>
      <c r="C5326" t="s">
        <v>5561</v>
      </c>
    </row>
    <row r="5327" spans="1:3" x14ac:dyDescent="0.35">
      <c r="A5327" t="s">
        <v>216</v>
      </c>
      <c r="B5327" t="s">
        <v>75</v>
      </c>
      <c r="C5327" t="s">
        <v>5562</v>
      </c>
    </row>
    <row r="5328" spans="1:3" x14ac:dyDescent="0.35">
      <c r="A5328" t="s">
        <v>216</v>
      </c>
      <c r="B5328" t="s">
        <v>75</v>
      </c>
      <c r="C5328" t="s">
        <v>5563</v>
      </c>
    </row>
    <row r="5329" spans="1:3" x14ac:dyDescent="0.35">
      <c r="A5329" t="s">
        <v>216</v>
      </c>
      <c r="B5329" t="s">
        <v>75</v>
      </c>
      <c r="C5329" t="s">
        <v>5564</v>
      </c>
    </row>
    <row r="5330" spans="1:3" x14ac:dyDescent="0.35">
      <c r="A5330" t="s">
        <v>216</v>
      </c>
      <c r="B5330" t="s">
        <v>75</v>
      </c>
      <c r="C5330" t="s">
        <v>5565</v>
      </c>
    </row>
    <row r="5331" spans="1:3" x14ac:dyDescent="0.35">
      <c r="A5331" t="s">
        <v>216</v>
      </c>
      <c r="B5331" t="s">
        <v>75</v>
      </c>
      <c r="C5331" t="s">
        <v>5566</v>
      </c>
    </row>
    <row r="5332" spans="1:3" x14ac:dyDescent="0.35">
      <c r="A5332" t="s">
        <v>216</v>
      </c>
      <c r="B5332" t="s">
        <v>75</v>
      </c>
      <c r="C5332" t="s">
        <v>5567</v>
      </c>
    </row>
    <row r="5333" spans="1:3" x14ac:dyDescent="0.35">
      <c r="A5333" t="s">
        <v>216</v>
      </c>
      <c r="B5333" t="s">
        <v>75</v>
      </c>
      <c r="C5333" t="s">
        <v>5568</v>
      </c>
    </row>
    <row r="5334" spans="1:3" x14ac:dyDescent="0.35">
      <c r="A5334" t="s">
        <v>216</v>
      </c>
      <c r="B5334" t="s">
        <v>75</v>
      </c>
      <c r="C5334" t="s">
        <v>5569</v>
      </c>
    </row>
    <row r="5335" spans="1:3" x14ac:dyDescent="0.35">
      <c r="A5335" t="s">
        <v>216</v>
      </c>
      <c r="B5335" t="s">
        <v>75</v>
      </c>
      <c r="C5335" t="s">
        <v>5570</v>
      </c>
    </row>
    <row r="5336" spans="1:3" x14ac:dyDescent="0.35">
      <c r="A5336" t="s">
        <v>216</v>
      </c>
      <c r="B5336" t="s">
        <v>75</v>
      </c>
      <c r="C5336" t="s">
        <v>5571</v>
      </c>
    </row>
    <row r="5337" spans="1:3" x14ac:dyDescent="0.35">
      <c r="A5337" t="s">
        <v>216</v>
      </c>
      <c r="B5337" t="s">
        <v>75</v>
      </c>
      <c r="C5337" t="s">
        <v>5572</v>
      </c>
    </row>
    <row r="5338" spans="1:3" x14ac:dyDescent="0.35">
      <c r="A5338" t="s">
        <v>216</v>
      </c>
      <c r="B5338" t="s">
        <v>75</v>
      </c>
      <c r="C5338" t="s">
        <v>5573</v>
      </c>
    </row>
    <row r="5339" spans="1:3" x14ac:dyDescent="0.35">
      <c r="A5339" t="s">
        <v>216</v>
      </c>
      <c r="B5339" t="s">
        <v>75</v>
      </c>
      <c r="C5339" t="s">
        <v>5574</v>
      </c>
    </row>
    <row r="5340" spans="1:3" x14ac:dyDescent="0.35">
      <c r="A5340" t="s">
        <v>216</v>
      </c>
      <c r="B5340" t="s">
        <v>75</v>
      </c>
      <c r="C5340" t="s">
        <v>5575</v>
      </c>
    </row>
    <row r="5341" spans="1:3" x14ac:dyDescent="0.35">
      <c r="A5341" t="s">
        <v>216</v>
      </c>
      <c r="B5341" t="s">
        <v>75</v>
      </c>
      <c r="C5341" t="s">
        <v>5576</v>
      </c>
    </row>
    <row r="5342" spans="1:3" x14ac:dyDescent="0.35">
      <c r="A5342" t="s">
        <v>216</v>
      </c>
      <c r="B5342" t="s">
        <v>75</v>
      </c>
      <c r="C5342" t="s">
        <v>5577</v>
      </c>
    </row>
    <row r="5343" spans="1:3" x14ac:dyDescent="0.35">
      <c r="A5343" t="s">
        <v>216</v>
      </c>
      <c r="B5343" t="s">
        <v>75</v>
      </c>
      <c r="C5343" t="s">
        <v>5578</v>
      </c>
    </row>
    <row r="5344" spans="1:3" x14ac:dyDescent="0.35">
      <c r="A5344" t="s">
        <v>216</v>
      </c>
      <c r="B5344" t="s">
        <v>75</v>
      </c>
      <c r="C5344" t="s">
        <v>5579</v>
      </c>
    </row>
    <row r="5345" spans="1:3" x14ac:dyDescent="0.35">
      <c r="A5345" t="s">
        <v>216</v>
      </c>
      <c r="B5345" t="s">
        <v>75</v>
      </c>
      <c r="C5345" t="s">
        <v>5580</v>
      </c>
    </row>
    <row r="5346" spans="1:3" x14ac:dyDescent="0.35">
      <c r="A5346" t="s">
        <v>216</v>
      </c>
      <c r="B5346" t="s">
        <v>75</v>
      </c>
      <c r="C5346" t="s">
        <v>5581</v>
      </c>
    </row>
    <row r="5347" spans="1:3" x14ac:dyDescent="0.35">
      <c r="A5347" t="s">
        <v>216</v>
      </c>
      <c r="B5347" t="s">
        <v>75</v>
      </c>
      <c r="C5347" t="s">
        <v>5582</v>
      </c>
    </row>
    <row r="5348" spans="1:3" x14ac:dyDescent="0.35">
      <c r="A5348" t="s">
        <v>216</v>
      </c>
      <c r="B5348" t="s">
        <v>75</v>
      </c>
      <c r="C5348" t="s">
        <v>5583</v>
      </c>
    </row>
    <row r="5349" spans="1:3" x14ac:dyDescent="0.35">
      <c r="A5349" t="s">
        <v>216</v>
      </c>
      <c r="B5349" t="s">
        <v>75</v>
      </c>
      <c r="C5349" t="s">
        <v>5584</v>
      </c>
    </row>
    <row r="5350" spans="1:3" x14ac:dyDescent="0.35">
      <c r="A5350" t="s">
        <v>216</v>
      </c>
      <c r="B5350" t="s">
        <v>75</v>
      </c>
      <c r="C5350" t="s">
        <v>5585</v>
      </c>
    </row>
    <row r="5351" spans="1:3" x14ac:dyDescent="0.35">
      <c r="A5351" t="s">
        <v>216</v>
      </c>
      <c r="B5351" t="s">
        <v>75</v>
      </c>
      <c r="C5351" t="s">
        <v>5586</v>
      </c>
    </row>
    <row r="5352" spans="1:3" x14ac:dyDescent="0.35">
      <c r="A5352" t="s">
        <v>216</v>
      </c>
      <c r="B5352" t="s">
        <v>75</v>
      </c>
      <c r="C5352" t="s">
        <v>5587</v>
      </c>
    </row>
    <row r="5353" spans="1:3" x14ac:dyDescent="0.35">
      <c r="A5353" t="s">
        <v>216</v>
      </c>
      <c r="B5353" t="s">
        <v>75</v>
      </c>
      <c r="C5353" t="s">
        <v>5588</v>
      </c>
    </row>
    <row r="5354" spans="1:3" x14ac:dyDescent="0.35">
      <c r="A5354" t="s">
        <v>216</v>
      </c>
      <c r="B5354" t="s">
        <v>75</v>
      </c>
      <c r="C5354" t="s">
        <v>5589</v>
      </c>
    </row>
    <row r="5355" spans="1:3" x14ac:dyDescent="0.35">
      <c r="A5355" t="s">
        <v>216</v>
      </c>
      <c r="B5355" t="s">
        <v>75</v>
      </c>
      <c r="C5355" t="s">
        <v>5590</v>
      </c>
    </row>
    <row r="5356" spans="1:3" x14ac:dyDescent="0.35">
      <c r="A5356" t="s">
        <v>216</v>
      </c>
      <c r="B5356" t="s">
        <v>75</v>
      </c>
      <c r="C5356" t="s">
        <v>5591</v>
      </c>
    </row>
    <row r="5357" spans="1:3" x14ac:dyDescent="0.35">
      <c r="A5357" t="s">
        <v>216</v>
      </c>
      <c r="B5357" t="s">
        <v>75</v>
      </c>
      <c r="C5357" t="s">
        <v>5592</v>
      </c>
    </row>
    <row r="5358" spans="1:3" x14ac:dyDescent="0.35">
      <c r="A5358" t="s">
        <v>216</v>
      </c>
      <c r="B5358" t="s">
        <v>75</v>
      </c>
      <c r="C5358" t="s">
        <v>5593</v>
      </c>
    </row>
    <row r="5359" spans="1:3" x14ac:dyDescent="0.35">
      <c r="A5359" t="s">
        <v>216</v>
      </c>
      <c r="B5359" t="s">
        <v>75</v>
      </c>
      <c r="C5359" t="s">
        <v>5594</v>
      </c>
    </row>
    <row r="5360" spans="1:3" x14ac:dyDescent="0.35">
      <c r="A5360" t="s">
        <v>216</v>
      </c>
      <c r="B5360" t="s">
        <v>75</v>
      </c>
      <c r="C5360" t="s">
        <v>5595</v>
      </c>
    </row>
    <row r="5361" spans="1:3" x14ac:dyDescent="0.35">
      <c r="A5361" t="s">
        <v>216</v>
      </c>
      <c r="B5361" t="s">
        <v>75</v>
      </c>
      <c r="C5361" t="s">
        <v>5596</v>
      </c>
    </row>
    <row r="5362" spans="1:3" x14ac:dyDescent="0.35">
      <c r="A5362" t="s">
        <v>216</v>
      </c>
      <c r="B5362" t="s">
        <v>75</v>
      </c>
      <c r="C5362" t="s">
        <v>5597</v>
      </c>
    </row>
    <row r="5363" spans="1:3" x14ac:dyDescent="0.35">
      <c r="A5363" t="s">
        <v>216</v>
      </c>
      <c r="B5363" t="s">
        <v>75</v>
      </c>
      <c r="C5363" t="s">
        <v>5598</v>
      </c>
    </row>
    <row r="5364" spans="1:3" x14ac:dyDescent="0.35">
      <c r="A5364" t="s">
        <v>216</v>
      </c>
      <c r="B5364" t="s">
        <v>75</v>
      </c>
      <c r="C5364" t="s">
        <v>5599</v>
      </c>
    </row>
    <row r="5365" spans="1:3" x14ac:dyDescent="0.35">
      <c r="A5365" t="s">
        <v>216</v>
      </c>
      <c r="B5365" t="s">
        <v>75</v>
      </c>
      <c r="C5365" t="s">
        <v>5600</v>
      </c>
    </row>
    <row r="5366" spans="1:3" x14ac:dyDescent="0.35">
      <c r="A5366" t="s">
        <v>216</v>
      </c>
      <c r="B5366" t="s">
        <v>75</v>
      </c>
      <c r="C5366" t="s">
        <v>5601</v>
      </c>
    </row>
    <row r="5367" spans="1:3" x14ac:dyDescent="0.35">
      <c r="A5367" t="s">
        <v>216</v>
      </c>
      <c r="B5367" t="s">
        <v>75</v>
      </c>
      <c r="C5367" t="s">
        <v>5602</v>
      </c>
    </row>
    <row r="5368" spans="1:3" x14ac:dyDescent="0.35">
      <c r="A5368" t="s">
        <v>216</v>
      </c>
      <c r="B5368" t="s">
        <v>75</v>
      </c>
      <c r="C5368" t="s">
        <v>5603</v>
      </c>
    </row>
    <row r="5369" spans="1:3" x14ac:dyDescent="0.35">
      <c r="A5369" t="s">
        <v>216</v>
      </c>
      <c r="B5369" t="s">
        <v>75</v>
      </c>
      <c r="C5369" t="s">
        <v>5604</v>
      </c>
    </row>
    <row r="5370" spans="1:3" x14ac:dyDescent="0.35">
      <c r="A5370" t="s">
        <v>216</v>
      </c>
      <c r="B5370" t="s">
        <v>75</v>
      </c>
      <c r="C5370" t="s">
        <v>5605</v>
      </c>
    </row>
    <row r="5371" spans="1:3" x14ac:dyDescent="0.35">
      <c r="A5371" t="s">
        <v>216</v>
      </c>
      <c r="B5371" t="s">
        <v>75</v>
      </c>
      <c r="C5371" t="s">
        <v>5606</v>
      </c>
    </row>
    <row r="5372" spans="1:3" x14ac:dyDescent="0.35">
      <c r="A5372" t="s">
        <v>216</v>
      </c>
      <c r="B5372" t="s">
        <v>75</v>
      </c>
      <c r="C5372" t="s">
        <v>5607</v>
      </c>
    </row>
    <row r="5373" spans="1:3" x14ac:dyDescent="0.35">
      <c r="A5373" t="s">
        <v>216</v>
      </c>
      <c r="B5373" t="s">
        <v>75</v>
      </c>
      <c r="C5373" t="s">
        <v>5608</v>
      </c>
    </row>
    <row r="5374" spans="1:3" x14ac:dyDescent="0.35">
      <c r="A5374" t="s">
        <v>216</v>
      </c>
      <c r="B5374" t="s">
        <v>75</v>
      </c>
      <c r="C5374" t="s">
        <v>5609</v>
      </c>
    </row>
    <row r="5375" spans="1:3" x14ac:dyDescent="0.35">
      <c r="A5375" t="s">
        <v>216</v>
      </c>
      <c r="B5375" t="s">
        <v>75</v>
      </c>
      <c r="C5375" t="s">
        <v>5610</v>
      </c>
    </row>
    <row r="5376" spans="1:3" x14ac:dyDescent="0.35">
      <c r="A5376" t="s">
        <v>216</v>
      </c>
      <c r="B5376" t="s">
        <v>75</v>
      </c>
      <c r="C5376" t="s">
        <v>5611</v>
      </c>
    </row>
    <row r="5377" spans="1:3" x14ac:dyDescent="0.35">
      <c r="A5377" t="s">
        <v>216</v>
      </c>
      <c r="B5377" t="s">
        <v>75</v>
      </c>
      <c r="C5377" t="s">
        <v>5612</v>
      </c>
    </row>
    <row r="5378" spans="1:3" x14ac:dyDescent="0.35">
      <c r="A5378" t="s">
        <v>216</v>
      </c>
      <c r="B5378" t="s">
        <v>75</v>
      </c>
      <c r="C5378" t="s">
        <v>5613</v>
      </c>
    </row>
    <row r="5379" spans="1:3" x14ac:dyDescent="0.35">
      <c r="A5379" t="s">
        <v>216</v>
      </c>
      <c r="B5379" t="s">
        <v>75</v>
      </c>
      <c r="C5379" t="s">
        <v>5614</v>
      </c>
    </row>
    <row r="5380" spans="1:3" x14ac:dyDescent="0.35">
      <c r="A5380" t="s">
        <v>216</v>
      </c>
      <c r="B5380" t="s">
        <v>75</v>
      </c>
      <c r="C5380" t="s">
        <v>5615</v>
      </c>
    </row>
    <row r="5381" spans="1:3" x14ac:dyDescent="0.35">
      <c r="A5381" t="s">
        <v>216</v>
      </c>
      <c r="B5381" t="s">
        <v>75</v>
      </c>
      <c r="C5381" t="s">
        <v>5616</v>
      </c>
    </row>
    <row r="5382" spans="1:3" x14ac:dyDescent="0.35">
      <c r="A5382" t="s">
        <v>216</v>
      </c>
      <c r="B5382" t="s">
        <v>75</v>
      </c>
      <c r="C5382" t="s">
        <v>5617</v>
      </c>
    </row>
    <row r="5383" spans="1:3" x14ac:dyDescent="0.35">
      <c r="A5383" t="s">
        <v>216</v>
      </c>
      <c r="B5383" t="s">
        <v>75</v>
      </c>
      <c r="C5383" t="s">
        <v>5618</v>
      </c>
    </row>
    <row r="5384" spans="1:3" x14ac:dyDescent="0.35">
      <c r="A5384" t="s">
        <v>216</v>
      </c>
      <c r="B5384" t="s">
        <v>75</v>
      </c>
      <c r="C5384" t="s">
        <v>5619</v>
      </c>
    </row>
    <row r="5385" spans="1:3" x14ac:dyDescent="0.35">
      <c r="A5385" t="s">
        <v>216</v>
      </c>
      <c r="B5385" t="s">
        <v>75</v>
      </c>
      <c r="C5385" t="s">
        <v>5620</v>
      </c>
    </row>
    <row r="5386" spans="1:3" x14ac:dyDescent="0.35">
      <c r="A5386" t="s">
        <v>216</v>
      </c>
      <c r="B5386" t="s">
        <v>75</v>
      </c>
      <c r="C5386" t="s">
        <v>5621</v>
      </c>
    </row>
    <row r="5387" spans="1:3" x14ac:dyDescent="0.35">
      <c r="A5387" t="s">
        <v>216</v>
      </c>
      <c r="B5387" t="s">
        <v>75</v>
      </c>
      <c r="C5387" t="s">
        <v>5622</v>
      </c>
    </row>
    <row r="5388" spans="1:3" x14ac:dyDescent="0.35">
      <c r="A5388" t="s">
        <v>216</v>
      </c>
      <c r="B5388" t="s">
        <v>75</v>
      </c>
      <c r="C5388" t="s">
        <v>5623</v>
      </c>
    </row>
    <row r="5389" spans="1:3" x14ac:dyDescent="0.35">
      <c r="A5389" t="s">
        <v>216</v>
      </c>
      <c r="B5389" t="s">
        <v>75</v>
      </c>
      <c r="C5389" t="s">
        <v>5624</v>
      </c>
    </row>
    <row r="5390" spans="1:3" x14ac:dyDescent="0.35">
      <c r="A5390" t="s">
        <v>216</v>
      </c>
      <c r="B5390" t="s">
        <v>75</v>
      </c>
      <c r="C5390" t="s">
        <v>5625</v>
      </c>
    </row>
    <row r="5391" spans="1:3" x14ac:dyDescent="0.35">
      <c r="A5391" t="s">
        <v>216</v>
      </c>
      <c r="B5391" t="s">
        <v>75</v>
      </c>
      <c r="C5391" t="s">
        <v>75</v>
      </c>
    </row>
    <row r="5392" spans="1:3" x14ac:dyDescent="0.35">
      <c r="A5392" t="s">
        <v>216</v>
      </c>
      <c r="B5392" t="s">
        <v>75</v>
      </c>
      <c r="C5392" t="s">
        <v>5626</v>
      </c>
    </row>
    <row r="5393" spans="1:3" x14ac:dyDescent="0.35">
      <c r="A5393" t="s">
        <v>216</v>
      </c>
      <c r="B5393" t="s">
        <v>75</v>
      </c>
      <c r="C5393" t="s">
        <v>5627</v>
      </c>
    </row>
    <row r="5394" spans="1:3" x14ac:dyDescent="0.35">
      <c r="A5394" t="s">
        <v>216</v>
      </c>
      <c r="B5394" t="s">
        <v>75</v>
      </c>
      <c r="C5394" t="s">
        <v>5628</v>
      </c>
    </row>
    <row r="5395" spans="1:3" x14ac:dyDescent="0.35">
      <c r="A5395" t="s">
        <v>216</v>
      </c>
      <c r="B5395" t="s">
        <v>75</v>
      </c>
      <c r="C5395" t="s">
        <v>5629</v>
      </c>
    </row>
    <row r="5396" spans="1:3" x14ac:dyDescent="0.35">
      <c r="A5396" t="s">
        <v>216</v>
      </c>
      <c r="B5396" t="s">
        <v>75</v>
      </c>
      <c r="C5396" t="s">
        <v>5630</v>
      </c>
    </row>
    <row r="5397" spans="1:3" x14ac:dyDescent="0.35">
      <c r="A5397" t="s">
        <v>216</v>
      </c>
      <c r="B5397" t="s">
        <v>75</v>
      </c>
      <c r="C5397" t="s">
        <v>5631</v>
      </c>
    </row>
    <row r="5398" spans="1:3" x14ac:dyDescent="0.35">
      <c r="A5398" t="s">
        <v>216</v>
      </c>
      <c r="B5398" t="s">
        <v>75</v>
      </c>
      <c r="C5398" t="s">
        <v>5632</v>
      </c>
    </row>
    <row r="5399" spans="1:3" x14ac:dyDescent="0.35">
      <c r="A5399" t="s">
        <v>216</v>
      </c>
      <c r="B5399" t="s">
        <v>75</v>
      </c>
      <c r="C5399" t="s">
        <v>5633</v>
      </c>
    </row>
    <row r="5400" spans="1:3" x14ac:dyDescent="0.35">
      <c r="A5400" t="s">
        <v>216</v>
      </c>
      <c r="B5400" t="s">
        <v>75</v>
      </c>
      <c r="C5400" t="s">
        <v>5634</v>
      </c>
    </row>
    <row r="5401" spans="1:3" x14ac:dyDescent="0.35">
      <c r="A5401" t="s">
        <v>216</v>
      </c>
      <c r="B5401" t="s">
        <v>75</v>
      </c>
      <c r="C5401" t="s">
        <v>5635</v>
      </c>
    </row>
    <row r="5402" spans="1:3" x14ac:dyDescent="0.35">
      <c r="A5402" t="s">
        <v>216</v>
      </c>
      <c r="B5402" t="s">
        <v>75</v>
      </c>
      <c r="C5402" t="s">
        <v>5636</v>
      </c>
    </row>
    <row r="5403" spans="1:3" x14ac:dyDescent="0.35">
      <c r="A5403" t="s">
        <v>216</v>
      </c>
      <c r="B5403" t="s">
        <v>75</v>
      </c>
      <c r="C5403" t="s">
        <v>5637</v>
      </c>
    </row>
    <row r="5404" spans="1:3" x14ac:dyDescent="0.35">
      <c r="A5404" t="s">
        <v>216</v>
      </c>
      <c r="B5404" t="s">
        <v>75</v>
      </c>
      <c r="C5404" t="s">
        <v>5638</v>
      </c>
    </row>
    <row r="5405" spans="1:3" x14ac:dyDescent="0.35">
      <c r="A5405" t="s">
        <v>216</v>
      </c>
      <c r="B5405" t="s">
        <v>75</v>
      </c>
      <c r="C5405" t="s">
        <v>5639</v>
      </c>
    </row>
    <row r="5406" spans="1:3" x14ac:dyDescent="0.35">
      <c r="A5406" t="s">
        <v>216</v>
      </c>
      <c r="B5406" t="s">
        <v>75</v>
      </c>
      <c r="C5406" t="s">
        <v>5640</v>
      </c>
    </row>
    <row r="5407" spans="1:3" x14ac:dyDescent="0.35">
      <c r="A5407" t="s">
        <v>216</v>
      </c>
      <c r="B5407" t="s">
        <v>75</v>
      </c>
      <c r="C5407" t="s">
        <v>5641</v>
      </c>
    </row>
    <row r="5408" spans="1:3" x14ac:dyDescent="0.35">
      <c r="A5408" t="s">
        <v>216</v>
      </c>
      <c r="B5408" t="s">
        <v>75</v>
      </c>
      <c r="C5408" t="s">
        <v>5642</v>
      </c>
    </row>
    <row r="5409" spans="1:3" x14ac:dyDescent="0.35">
      <c r="A5409" t="s">
        <v>216</v>
      </c>
      <c r="B5409" t="s">
        <v>75</v>
      </c>
      <c r="C5409" t="s">
        <v>5643</v>
      </c>
    </row>
    <row r="5410" spans="1:3" x14ac:dyDescent="0.35">
      <c r="A5410" t="s">
        <v>216</v>
      </c>
      <c r="B5410" t="s">
        <v>75</v>
      </c>
      <c r="C5410" t="s">
        <v>5644</v>
      </c>
    </row>
    <row r="5411" spans="1:3" x14ac:dyDescent="0.35">
      <c r="A5411" t="s">
        <v>216</v>
      </c>
      <c r="B5411" t="s">
        <v>75</v>
      </c>
      <c r="C5411" t="s">
        <v>5645</v>
      </c>
    </row>
    <row r="5412" spans="1:3" x14ac:dyDescent="0.35">
      <c r="A5412" t="s">
        <v>216</v>
      </c>
      <c r="B5412" t="s">
        <v>75</v>
      </c>
      <c r="C5412" t="s">
        <v>5646</v>
      </c>
    </row>
    <row r="5413" spans="1:3" x14ac:dyDescent="0.35">
      <c r="A5413" t="s">
        <v>216</v>
      </c>
      <c r="B5413" t="s">
        <v>75</v>
      </c>
      <c r="C5413" t="s">
        <v>5647</v>
      </c>
    </row>
    <row r="5414" spans="1:3" x14ac:dyDescent="0.35">
      <c r="A5414" t="s">
        <v>216</v>
      </c>
      <c r="B5414" t="s">
        <v>75</v>
      </c>
      <c r="C5414" t="s">
        <v>5648</v>
      </c>
    </row>
    <row r="5415" spans="1:3" x14ac:dyDescent="0.35">
      <c r="A5415" t="s">
        <v>216</v>
      </c>
      <c r="B5415" t="s">
        <v>75</v>
      </c>
      <c r="C5415" t="s">
        <v>5649</v>
      </c>
    </row>
    <row r="5416" spans="1:3" x14ac:dyDescent="0.35">
      <c r="A5416" t="s">
        <v>216</v>
      </c>
      <c r="B5416" t="s">
        <v>75</v>
      </c>
      <c r="C5416" t="s">
        <v>5650</v>
      </c>
    </row>
    <row r="5417" spans="1:3" x14ac:dyDescent="0.35">
      <c r="A5417" t="s">
        <v>216</v>
      </c>
      <c r="B5417" t="s">
        <v>75</v>
      </c>
      <c r="C5417" t="s">
        <v>5651</v>
      </c>
    </row>
    <row r="5418" spans="1:3" x14ac:dyDescent="0.35">
      <c r="A5418" t="s">
        <v>216</v>
      </c>
      <c r="B5418" t="s">
        <v>75</v>
      </c>
      <c r="C5418" t="s">
        <v>5652</v>
      </c>
    </row>
    <row r="5419" spans="1:3" x14ac:dyDescent="0.35">
      <c r="A5419" t="s">
        <v>216</v>
      </c>
      <c r="B5419" t="s">
        <v>75</v>
      </c>
      <c r="C5419" t="s">
        <v>5653</v>
      </c>
    </row>
    <row r="5420" spans="1:3" x14ac:dyDescent="0.35">
      <c r="A5420" t="s">
        <v>216</v>
      </c>
      <c r="B5420" t="s">
        <v>75</v>
      </c>
      <c r="C5420" t="s">
        <v>5654</v>
      </c>
    </row>
    <row r="5421" spans="1:3" x14ac:dyDescent="0.35">
      <c r="A5421" t="s">
        <v>216</v>
      </c>
      <c r="B5421" t="s">
        <v>75</v>
      </c>
      <c r="C5421" t="s">
        <v>5655</v>
      </c>
    </row>
    <row r="5422" spans="1:3" x14ac:dyDescent="0.35">
      <c r="A5422" t="s">
        <v>216</v>
      </c>
      <c r="B5422" t="s">
        <v>75</v>
      </c>
      <c r="C5422" t="s">
        <v>5656</v>
      </c>
    </row>
    <row r="5423" spans="1:3" x14ac:dyDescent="0.35">
      <c r="A5423" t="s">
        <v>216</v>
      </c>
      <c r="B5423" t="s">
        <v>75</v>
      </c>
      <c r="C5423" t="s">
        <v>5657</v>
      </c>
    </row>
    <row r="5424" spans="1:3" x14ac:dyDescent="0.35">
      <c r="A5424" t="s">
        <v>216</v>
      </c>
      <c r="B5424" t="s">
        <v>75</v>
      </c>
      <c r="C5424" t="s">
        <v>5658</v>
      </c>
    </row>
    <row r="5425" spans="1:3" x14ac:dyDescent="0.35">
      <c r="A5425" t="s">
        <v>216</v>
      </c>
      <c r="B5425" t="s">
        <v>75</v>
      </c>
      <c r="C5425" t="s">
        <v>5659</v>
      </c>
    </row>
    <row r="5426" spans="1:3" x14ac:dyDescent="0.35">
      <c r="A5426" t="s">
        <v>216</v>
      </c>
      <c r="B5426" t="s">
        <v>75</v>
      </c>
      <c r="C5426" t="s">
        <v>5660</v>
      </c>
    </row>
    <row r="5427" spans="1:3" x14ac:dyDescent="0.35">
      <c r="A5427" t="s">
        <v>216</v>
      </c>
      <c r="B5427" t="s">
        <v>75</v>
      </c>
      <c r="C5427" t="s">
        <v>5661</v>
      </c>
    </row>
    <row r="5428" spans="1:3" x14ac:dyDescent="0.35">
      <c r="A5428" t="s">
        <v>216</v>
      </c>
      <c r="B5428" t="s">
        <v>75</v>
      </c>
      <c r="C5428" t="s">
        <v>5662</v>
      </c>
    </row>
    <row r="5429" spans="1:3" x14ac:dyDescent="0.35">
      <c r="A5429" t="s">
        <v>216</v>
      </c>
      <c r="B5429" t="s">
        <v>75</v>
      </c>
      <c r="C5429" t="s">
        <v>5663</v>
      </c>
    </row>
    <row r="5430" spans="1:3" x14ac:dyDescent="0.35">
      <c r="A5430" t="s">
        <v>216</v>
      </c>
      <c r="B5430" t="s">
        <v>75</v>
      </c>
      <c r="C5430" t="s">
        <v>5664</v>
      </c>
    </row>
    <row r="5431" spans="1:3" x14ac:dyDescent="0.35">
      <c r="A5431" t="s">
        <v>216</v>
      </c>
      <c r="B5431" t="s">
        <v>75</v>
      </c>
      <c r="C5431" t="s">
        <v>5665</v>
      </c>
    </row>
    <row r="5432" spans="1:3" x14ac:dyDescent="0.35">
      <c r="A5432" t="s">
        <v>216</v>
      </c>
      <c r="B5432" t="s">
        <v>75</v>
      </c>
      <c r="C5432" t="s">
        <v>5666</v>
      </c>
    </row>
    <row r="5433" spans="1:3" x14ac:dyDescent="0.35">
      <c r="A5433" t="s">
        <v>216</v>
      </c>
      <c r="B5433" t="s">
        <v>75</v>
      </c>
      <c r="C5433" t="s">
        <v>5667</v>
      </c>
    </row>
    <row r="5434" spans="1:3" x14ac:dyDescent="0.35">
      <c r="A5434" t="s">
        <v>216</v>
      </c>
      <c r="B5434" t="s">
        <v>75</v>
      </c>
      <c r="C5434" t="s">
        <v>5668</v>
      </c>
    </row>
    <row r="5435" spans="1:3" x14ac:dyDescent="0.35">
      <c r="A5435" t="s">
        <v>216</v>
      </c>
      <c r="B5435" t="s">
        <v>284</v>
      </c>
      <c r="C5435" t="s">
        <v>5669</v>
      </c>
    </row>
    <row r="5436" spans="1:3" x14ac:dyDescent="0.35">
      <c r="A5436" t="s">
        <v>216</v>
      </c>
      <c r="B5436" t="s">
        <v>284</v>
      </c>
      <c r="C5436" t="s">
        <v>5670</v>
      </c>
    </row>
    <row r="5437" spans="1:3" x14ac:dyDescent="0.35">
      <c r="A5437" t="s">
        <v>216</v>
      </c>
      <c r="B5437" t="s">
        <v>284</v>
      </c>
      <c r="C5437" t="s">
        <v>5671</v>
      </c>
    </row>
    <row r="5438" spans="1:3" x14ac:dyDescent="0.35">
      <c r="A5438" t="s">
        <v>216</v>
      </c>
      <c r="B5438" t="s">
        <v>284</v>
      </c>
      <c r="C5438" t="s">
        <v>5672</v>
      </c>
    </row>
    <row r="5439" spans="1:3" x14ac:dyDescent="0.35">
      <c r="A5439" t="s">
        <v>216</v>
      </c>
      <c r="B5439" t="s">
        <v>284</v>
      </c>
      <c r="C5439" t="s">
        <v>5673</v>
      </c>
    </row>
    <row r="5440" spans="1:3" x14ac:dyDescent="0.35">
      <c r="A5440" t="s">
        <v>216</v>
      </c>
      <c r="B5440" t="s">
        <v>284</v>
      </c>
      <c r="C5440" t="s">
        <v>5674</v>
      </c>
    </row>
    <row r="5441" spans="1:3" x14ac:dyDescent="0.35">
      <c r="A5441" t="s">
        <v>216</v>
      </c>
      <c r="B5441" t="s">
        <v>284</v>
      </c>
      <c r="C5441" t="s">
        <v>5675</v>
      </c>
    </row>
    <row r="5442" spans="1:3" x14ac:dyDescent="0.35">
      <c r="A5442" t="s">
        <v>216</v>
      </c>
      <c r="B5442" t="s">
        <v>284</v>
      </c>
      <c r="C5442" t="s">
        <v>5676</v>
      </c>
    </row>
    <row r="5443" spans="1:3" x14ac:dyDescent="0.35">
      <c r="A5443" t="s">
        <v>216</v>
      </c>
      <c r="B5443" t="s">
        <v>284</v>
      </c>
      <c r="C5443" t="s">
        <v>5677</v>
      </c>
    </row>
    <row r="5444" spans="1:3" x14ac:dyDescent="0.35">
      <c r="A5444" t="s">
        <v>216</v>
      </c>
      <c r="B5444" t="s">
        <v>284</v>
      </c>
      <c r="C5444" t="s">
        <v>5678</v>
      </c>
    </row>
    <row r="5445" spans="1:3" x14ac:dyDescent="0.35">
      <c r="A5445" t="s">
        <v>216</v>
      </c>
      <c r="B5445" t="s">
        <v>284</v>
      </c>
      <c r="C5445" t="s">
        <v>5679</v>
      </c>
    </row>
    <row r="5446" spans="1:3" x14ac:dyDescent="0.35">
      <c r="A5446" t="s">
        <v>216</v>
      </c>
      <c r="B5446" t="s">
        <v>284</v>
      </c>
      <c r="C5446" t="s">
        <v>5680</v>
      </c>
    </row>
    <row r="5447" spans="1:3" x14ac:dyDescent="0.35">
      <c r="A5447" t="s">
        <v>216</v>
      </c>
      <c r="B5447" t="s">
        <v>284</v>
      </c>
      <c r="C5447" t="s">
        <v>5681</v>
      </c>
    </row>
    <row r="5448" spans="1:3" x14ac:dyDescent="0.35">
      <c r="A5448" t="s">
        <v>216</v>
      </c>
      <c r="B5448" t="s">
        <v>284</v>
      </c>
      <c r="C5448" t="s">
        <v>5682</v>
      </c>
    </row>
    <row r="5449" spans="1:3" x14ac:dyDescent="0.35">
      <c r="A5449" t="s">
        <v>216</v>
      </c>
      <c r="B5449" t="s">
        <v>284</v>
      </c>
      <c r="C5449" t="s">
        <v>5683</v>
      </c>
    </row>
    <row r="5450" spans="1:3" x14ac:dyDescent="0.35">
      <c r="A5450" t="s">
        <v>216</v>
      </c>
      <c r="B5450" t="s">
        <v>284</v>
      </c>
      <c r="C5450" t="s">
        <v>5684</v>
      </c>
    </row>
    <row r="5451" spans="1:3" x14ac:dyDescent="0.35">
      <c r="A5451" t="s">
        <v>216</v>
      </c>
      <c r="B5451" t="s">
        <v>284</v>
      </c>
      <c r="C5451" t="s">
        <v>5685</v>
      </c>
    </row>
    <row r="5452" spans="1:3" x14ac:dyDescent="0.35">
      <c r="A5452" t="s">
        <v>216</v>
      </c>
      <c r="B5452" t="s">
        <v>284</v>
      </c>
      <c r="C5452" t="s">
        <v>5686</v>
      </c>
    </row>
    <row r="5453" spans="1:3" x14ac:dyDescent="0.35">
      <c r="A5453" t="s">
        <v>216</v>
      </c>
      <c r="B5453" t="s">
        <v>284</v>
      </c>
      <c r="C5453" t="s">
        <v>5687</v>
      </c>
    </row>
    <row r="5454" spans="1:3" x14ac:dyDescent="0.35">
      <c r="A5454" t="s">
        <v>216</v>
      </c>
      <c r="B5454" t="s">
        <v>284</v>
      </c>
      <c r="C5454" t="s">
        <v>5688</v>
      </c>
    </row>
    <row r="5455" spans="1:3" x14ac:dyDescent="0.35">
      <c r="A5455" t="s">
        <v>216</v>
      </c>
      <c r="B5455" t="s">
        <v>284</v>
      </c>
      <c r="C5455" t="s">
        <v>5689</v>
      </c>
    </row>
    <row r="5456" spans="1:3" x14ac:dyDescent="0.35">
      <c r="A5456" t="s">
        <v>216</v>
      </c>
      <c r="B5456" t="s">
        <v>284</v>
      </c>
      <c r="C5456" t="s">
        <v>5690</v>
      </c>
    </row>
    <row r="5457" spans="1:3" x14ac:dyDescent="0.35">
      <c r="A5457" t="s">
        <v>216</v>
      </c>
      <c r="B5457" t="s">
        <v>284</v>
      </c>
      <c r="C5457" t="s">
        <v>5691</v>
      </c>
    </row>
    <row r="5458" spans="1:3" x14ac:dyDescent="0.35">
      <c r="A5458" t="s">
        <v>216</v>
      </c>
      <c r="B5458" t="s">
        <v>284</v>
      </c>
      <c r="C5458" t="s">
        <v>5692</v>
      </c>
    </row>
    <row r="5459" spans="1:3" x14ac:dyDescent="0.35">
      <c r="A5459" t="s">
        <v>216</v>
      </c>
      <c r="B5459" t="s">
        <v>284</v>
      </c>
      <c r="C5459" t="s">
        <v>5693</v>
      </c>
    </row>
    <row r="5460" spans="1:3" x14ac:dyDescent="0.35">
      <c r="A5460" t="s">
        <v>216</v>
      </c>
      <c r="B5460" t="s">
        <v>284</v>
      </c>
      <c r="C5460" t="s">
        <v>5694</v>
      </c>
    </row>
    <row r="5461" spans="1:3" x14ac:dyDescent="0.35">
      <c r="A5461" t="s">
        <v>216</v>
      </c>
      <c r="B5461" t="s">
        <v>284</v>
      </c>
      <c r="C5461" t="s">
        <v>5695</v>
      </c>
    </row>
    <row r="5462" spans="1:3" x14ac:dyDescent="0.35">
      <c r="A5462" t="s">
        <v>216</v>
      </c>
      <c r="B5462" t="s">
        <v>284</v>
      </c>
      <c r="C5462" t="s">
        <v>5696</v>
      </c>
    </row>
    <row r="5463" spans="1:3" x14ac:dyDescent="0.35">
      <c r="A5463" t="s">
        <v>216</v>
      </c>
      <c r="B5463" t="s">
        <v>284</v>
      </c>
      <c r="C5463" t="s">
        <v>5697</v>
      </c>
    </row>
    <row r="5464" spans="1:3" x14ac:dyDescent="0.35">
      <c r="A5464" t="s">
        <v>216</v>
      </c>
      <c r="B5464" t="s">
        <v>284</v>
      </c>
      <c r="C5464" t="s">
        <v>5698</v>
      </c>
    </row>
    <row r="5465" spans="1:3" x14ac:dyDescent="0.35">
      <c r="A5465" t="s">
        <v>216</v>
      </c>
      <c r="B5465" t="s">
        <v>284</v>
      </c>
      <c r="C5465" t="s">
        <v>5699</v>
      </c>
    </row>
    <row r="5466" spans="1:3" x14ac:dyDescent="0.35">
      <c r="A5466" t="s">
        <v>216</v>
      </c>
      <c r="B5466" t="s">
        <v>284</v>
      </c>
      <c r="C5466" t="s">
        <v>5700</v>
      </c>
    </row>
    <row r="5467" spans="1:3" x14ac:dyDescent="0.35">
      <c r="A5467" t="s">
        <v>216</v>
      </c>
      <c r="B5467" t="s">
        <v>284</v>
      </c>
      <c r="C5467" t="s">
        <v>5701</v>
      </c>
    </row>
    <row r="5468" spans="1:3" x14ac:dyDescent="0.35">
      <c r="A5468" t="s">
        <v>216</v>
      </c>
      <c r="B5468" t="s">
        <v>284</v>
      </c>
      <c r="C5468" t="s">
        <v>5702</v>
      </c>
    </row>
    <row r="5469" spans="1:3" x14ac:dyDescent="0.35">
      <c r="A5469" t="s">
        <v>216</v>
      </c>
      <c r="B5469" t="s">
        <v>284</v>
      </c>
      <c r="C5469" t="s">
        <v>5703</v>
      </c>
    </row>
    <row r="5470" spans="1:3" x14ac:dyDescent="0.35">
      <c r="A5470" t="s">
        <v>216</v>
      </c>
      <c r="B5470" t="s">
        <v>284</v>
      </c>
      <c r="C5470" t="s">
        <v>5704</v>
      </c>
    </row>
    <row r="5471" spans="1:3" x14ac:dyDescent="0.35">
      <c r="A5471" t="s">
        <v>216</v>
      </c>
      <c r="B5471" t="s">
        <v>284</v>
      </c>
      <c r="C5471" t="s">
        <v>5705</v>
      </c>
    </row>
    <row r="5472" spans="1:3" x14ac:dyDescent="0.35">
      <c r="A5472" t="s">
        <v>216</v>
      </c>
      <c r="B5472" t="s">
        <v>284</v>
      </c>
      <c r="C5472" t="s">
        <v>5706</v>
      </c>
    </row>
    <row r="5473" spans="1:3" x14ac:dyDescent="0.35">
      <c r="A5473" t="s">
        <v>216</v>
      </c>
      <c r="B5473" t="s">
        <v>284</v>
      </c>
      <c r="C5473" t="s">
        <v>5707</v>
      </c>
    </row>
    <row r="5474" spans="1:3" x14ac:dyDescent="0.35">
      <c r="A5474" t="s">
        <v>216</v>
      </c>
      <c r="B5474" t="s">
        <v>284</v>
      </c>
      <c r="C5474" t="s">
        <v>5708</v>
      </c>
    </row>
    <row r="5475" spans="1:3" x14ac:dyDescent="0.35">
      <c r="A5475" t="s">
        <v>216</v>
      </c>
      <c r="B5475" t="s">
        <v>284</v>
      </c>
      <c r="C5475" t="s">
        <v>5709</v>
      </c>
    </row>
    <row r="5476" spans="1:3" x14ac:dyDescent="0.35">
      <c r="A5476" t="s">
        <v>216</v>
      </c>
      <c r="B5476" t="s">
        <v>284</v>
      </c>
      <c r="C5476" t="s">
        <v>5710</v>
      </c>
    </row>
    <row r="5477" spans="1:3" x14ac:dyDescent="0.35">
      <c r="A5477" t="s">
        <v>216</v>
      </c>
      <c r="B5477" t="s">
        <v>284</v>
      </c>
      <c r="C5477" t="s">
        <v>5711</v>
      </c>
    </row>
    <row r="5478" spans="1:3" x14ac:dyDescent="0.35">
      <c r="A5478" t="s">
        <v>216</v>
      </c>
      <c r="B5478" t="s">
        <v>284</v>
      </c>
      <c r="C5478" t="s">
        <v>5712</v>
      </c>
    </row>
    <row r="5479" spans="1:3" x14ac:dyDescent="0.35">
      <c r="A5479" t="s">
        <v>216</v>
      </c>
      <c r="B5479" t="s">
        <v>284</v>
      </c>
      <c r="C5479" t="s">
        <v>5713</v>
      </c>
    </row>
    <row r="5480" spans="1:3" x14ac:dyDescent="0.35">
      <c r="A5480" t="s">
        <v>216</v>
      </c>
      <c r="B5480" t="s">
        <v>284</v>
      </c>
      <c r="C5480" t="s">
        <v>5714</v>
      </c>
    </row>
    <row r="5481" spans="1:3" x14ac:dyDescent="0.35">
      <c r="A5481" t="s">
        <v>216</v>
      </c>
      <c r="B5481" t="s">
        <v>284</v>
      </c>
      <c r="C5481" t="s">
        <v>5715</v>
      </c>
    </row>
    <row r="5482" spans="1:3" x14ac:dyDescent="0.35">
      <c r="A5482" t="s">
        <v>216</v>
      </c>
      <c r="B5482" t="s">
        <v>284</v>
      </c>
      <c r="C5482" t="s">
        <v>5716</v>
      </c>
    </row>
    <row r="5483" spans="1:3" x14ac:dyDescent="0.35">
      <c r="A5483" t="s">
        <v>216</v>
      </c>
      <c r="B5483" t="s">
        <v>284</v>
      </c>
      <c r="C5483" t="s">
        <v>5717</v>
      </c>
    </row>
    <row r="5484" spans="1:3" x14ac:dyDescent="0.35">
      <c r="A5484" t="s">
        <v>216</v>
      </c>
      <c r="B5484" t="s">
        <v>284</v>
      </c>
      <c r="C5484" t="s">
        <v>5718</v>
      </c>
    </row>
    <row r="5485" spans="1:3" x14ac:dyDescent="0.35">
      <c r="A5485" t="s">
        <v>216</v>
      </c>
      <c r="B5485" t="s">
        <v>284</v>
      </c>
      <c r="C5485" t="s">
        <v>5719</v>
      </c>
    </row>
    <row r="5486" spans="1:3" x14ac:dyDescent="0.35">
      <c r="A5486" t="s">
        <v>216</v>
      </c>
      <c r="B5486" t="s">
        <v>284</v>
      </c>
      <c r="C5486" t="s">
        <v>5720</v>
      </c>
    </row>
    <row r="5487" spans="1:3" x14ac:dyDescent="0.35">
      <c r="A5487" t="s">
        <v>216</v>
      </c>
      <c r="B5487" t="s">
        <v>284</v>
      </c>
      <c r="C5487" t="s">
        <v>5721</v>
      </c>
    </row>
    <row r="5488" spans="1:3" x14ac:dyDescent="0.35">
      <c r="A5488" t="s">
        <v>216</v>
      </c>
      <c r="B5488" t="s">
        <v>284</v>
      </c>
      <c r="C5488" t="s">
        <v>5722</v>
      </c>
    </row>
    <row r="5489" spans="1:3" x14ac:dyDescent="0.35">
      <c r="A5489" t="s">
        <v>216</v>
      </c>
      <c r="B5489" t="s">
        <v>284</v>
      </c>
      <c r="C5489" t="s">
        <v>5723</v>
      </c>
    </row>
    <row r="5490" spans="1:3" x14ac:dyDescent="0.35">
      <c r="A5490" t="s">
        <v>216</v>
      </c>
      <c r="B5490" t="s">
        <v>284</v>
      </c>
      <c r="C5490" t="s">
        <v>5724</v>
      </c>
    </row>
    <row r="5491" spans="1:3" x14ac:dyDescent="0.35">
      <c r="A5491" t="s">
        <v>216</v>
      </c>
      <c r="B5491" t="s">
        <v>284</v>
      </c>
      <c r="C5491" t="s">
        <v>5725</v>
      </c>
    </row>
    <row r="5492" spans="1:3" x14ac:dyDescent="0.35">
      <c r="A5492" t="s">
        <v>216</v>
      </c>
      <c r="B5492" t="s">
        <v>284</v>
      </c>
      <c r="C5492" t="s">
        <v>5726</v>
      </c>
    </row>
    <row r="5493" spans="1:3" x14ac:dyDescent="0.35">
      <c r="A5493" t="s">
        <v>216</v>
      </c>
      <c r="B5493" t="s">
        <v>284</v>
      </c>
      <c r="C5493" t="s">
        <v>5727</v>
      </c>
    </row>
    <row r="5494" spans="1:3" x14ac:dyDescent="0.35">
      <c r="A5494" t="s">
        <v>216</v>
      </c>
      <c r="B5494" t="s">
        <v>284</v>
      </c>
      <c r="C5494" t="s">
        <v>5728</v>
      </c>
    </row>
    <row r="5495" spans="1:3" x14ac:dyDescent="0.35">
      <c r="A5495" t="s">
        <v>216</v>
      </c>
      <c r="B5495" t="s">
        <v>284</v>
      </c>
      <c r="C5495" t="s">
        <v>5729</v>
      </c>
    </row>
    <row r="5496" spans="1:3" x14ac:dyDescent="0.35">
      <c r="A5496" t="s">
        <v>216</v>
      </c>
      <c r="B5496" t="s">
        <v>284</v>
      </c>
      <c r="C5496" t="s">
        <v>5730</v>
      </c>
    </row>
    <row r="5497" spans="1:3" x14ac:dyDescent="0.35">
      <c r="A5497" t="s">
        <v>216</v>
      </c>
      <c r="B5497" t="s">
        <v>284</v>
      </c>
      <c r="C5497" t="s">
        <v>5731</v>
      </c>
    </row>
    <row r="5498" spans="1:3" x14ac:dyDescent="0.35">
      <c r="A5498" t="s">
        <v>216</v>
      </c>
      <c r="B5498" t="s">
        <v>284</v>
      </c>
      <c r="C5498" t="s">
        <v>5732</v>
      </c>
    </row>
    <row r="5499" spans="1:3" x14ac:dyDescent="0.35">
      <c r="A5499" t="s">
        <v>216</v>
      </c>
      <c r="B5499" t="s">
        <v>284</v>
      </c>
      <c r="C5499" t="s">
        <v>5733</v>
      </c>
    </row>
    <row r="5500" spans="1:3" x14ac:dyDescent="0.35">
      <c r="A5500" t="s">
        <v>216</v>
      </c>
      <c r="B5500" t="s">
        <v>284</v>
      </c>
      <c r="C5500" t="s">
        <v>5734</v>
      </c>
    </row>
    <row r="5501" spans="1:3" x14ac:dyDescent="0.35">
      <c r="A5501" t="s">
        <v>216</v>
      </c>
      <c r="B5501" t="s">
        <v>284</v>
      </c>
      <c r="C5501" t="s">
        <v>5735</v>
      </c>
    </row>
    <row r="5502" spans="1:3" x14ac:dyDescent="0.35">
      <c r="A5502" t="s">
        <v>216</v>
      </c>
      <c r="B5502" t="s">
        <v>284</v>
      </c>
      <c r="C5502" t="s">
        <v>5736</v>
      </c>
    </row>
    <row r="5503" spans="1:3" x14ac:dyDescent="0.35">
      <c r="A5503" t="s">
        <v>216</v>
      </c>
      <c r="B5503" t="s">
        <v>284</v>
      </c>
      <c r="C5503" t="s">
        <v>5737</v>
      </c>
    </row>
    <row r="5504" spans="1:3" x14ac:dyDescent="0.35">
      <c r="A5504" t="s">
        <v>216</v>
      </c>
      <c r="B5504" t="s">
        <v>284</v>
      </c>
      <c r="C5504" t="s">
        <v>5738</v>
      </c>
    </row>
    <row r="5505" spans="1:3" x14ac:dyDescent="0.35">
      <c r="A5505" t="s">
        <v>216</v>
      </c>
      <c r="B5505" t="s">
        <v>284</v>
      </c>
      <c r="C5505" t="s">
        <v>5739</v>
      </c>
    </row>
    <row r="5506" spans="1:3" x14ac:dyDescent="0.35">
      <c r="A5506" t="s">
        <v>216</v>
      </c>
      <c r="B5506" t="s">
        <v>284</v>
      </c>
      <c r="C5506" t="s">
        <v>5740</v>
      </c>
    </row>
    <row r="5507" spans="1:3" x14ac:dyDescent="0.35">
      <c r="A5507" t="s">
        <v>216</v>
      </c>
      <c r="B5507" t="s">
        <v>284</v>
      </c>
      <c r="C5507" t="s">
        <v>5741</v>
      </c>
    </row>
    <row r="5508" spans="1:3" x14ac:dyDescent="0.35">
      <c r="A5508" t="s">
        <v>216</v>
      </c>
      <c r="B5508" t="s">
        <v>284</v>
      </c>
      <c r="C5508" t="s">
        <v>5742</v>
      </c>
    </row>
    <row r="5509" spans="1:3" x14ac:dyDescent="0.35">
      <c r="A5509" t="s">
        <v>216</v>
      </c>
      <c r="B5509" t="s">
        <v>289</v>
      </c>
      <c r="C5509" t="s">
        <v>5743</v>
      </c>
    </row>
    <row r="5510" spans="1:3" x14ac:dyDescent="0.35">
      <c r="A5510" t="s">
        <v>216</v>
      </c>
      <c r="B5510" t="s">
        <v>289</v>
      </c>
      <c r="C5510" t="s">
        <v>5744</v>
      </c>
    </row>
    <row r="5511" spans="1:3" x14ac:dyDescent="0.35">
      <c r="A5511" t="s">
        <v>216</v>
      </c>
      <c r="B5511" t="s">
        <v>289</v>
      </c>
      <c r="C5511" t="s">
        <v>5745</v>
      </c>
    </row>
    <row r="5512" spans="1:3" x14ac:dyDescent="0.35">
      <c r="A5512" t="s">
        <v>216</v>
      </c>
      <c r="B5512" t="s">
        <v>289</v>
      </c>
      <c r="C5512" t="s">
        <v>5746</v>
      </c>
    </row>
    <row r="5513" spans="1:3" x14ac:dyDescent="0.35">
      <c r="A5513" t="s">
        <v>216</v>
      </c>
      <c r="B5513" t="s">
        <v>289</v>
      </c>
      <c r="C5513" t="s">
        <v>5747</v>
      </c>
    </row>
    <row r="5514" spans="1:3" x14ac:dyDescent="0.35">
      <c r="A5514" t="s">
        <v>216</v>
      </c>
      <c r="B5514" t="s">
        <v>289</v>
      </c>
      <c r="C5514" t="s">
        <v>5748</v>
      </c>
    </row>
    <row r="5515" spans="1:3" x14ac:dyDescent="0.35">
      <c r="A5515" t="s">
        <v>216</v>
      </c>
      <c r="B5515" t="s">
        <v>289</v>
      </c>
      <c r="C5515" t="s">
        <v>5749</v>
      </c>
    </row>
    <row r="5516" spans="1:3" x14ac:dyDescent="0.35">
      <c r="A5516" t="s">
        <v>216</v>
      </c>
      <c r="B5516" t="s">
        <v>289</v>
      </c>
      <c r="C5516" t="s">
        <v>5750</v>
      </c>
    </row>
    <row r="5517" spans="1:3" x14ac:dyDescent="0.35">
      <c r="A5517" t="s">
        <v>216</v>
      </c>
      <c r="B5517" t="s">
        <v>289</v>
      </c>
      <c r="C5517" t="s">
        <v>5751</v>
      </c>
    </row>
    <row r="5518" spans="1:3" x14ac:dyDescent="0.35">
      <c r="A5518" t="s">
        <v>216</v>
      </c>
      <c r="B5518" t="s">
        <v>289</v>
      </c>
      <c r="C5518" t="s">
        <v>5752</v>
      </c>
    </row>
    <row r="5519" spans="1:3" x14ac:dyDescent="0.35">
      <c r="A5519" t="s">
        <v>216</v>
      </c>
      <c r="B5519" t="s">
        <v>289</v>
      </c>
      <c r="C5519" t="s">
        <v>5753</v>
      </c>
    </row>
    <row r="5520" spans="1:3" x14ac:dyDescent="0.35">
      <c r="A5520" t="s">
        <v>216</v>
      </c>
      <c r="B5520" t="s">
        <v>289</v>
      </c>
      <c r="C5520" t="s">
        <v>5754</v>
      </c>
    </row>
    <row r="5521" spans="1:3" x14ac:dyDescent="0.35">
      <c r="A5521" t="s">
        <v>216</v>
      </c>
      <c r="B5521" t="s">
        <v>289</v>
      </c>
      <c r="C5521" t="s">
        <v>5755</v>
      </c>
    </row>
    <row r="5522" spans="1:3" x14ac:dyDescent="0.35">
      <c r="A5522" t="s">
        <v>216</v>
      </c>
      <c r="B5522" t="s">
        <v>289</v>
      </c>
      <c r="C5522" t="s">
        <v>5756</v>
      </c>
    </row>
    <row r="5523" spans="1:3" x14ac:dyDescent="0.35">
      <c r="A5523" t="s">
        <v>216</v>
      </c>
      <c r="B5523" t="s">
        <v>289</v>
      </c>
      <c r="C5523" t="s">
        <v>5757</v>
      </c>
    </row>
    <row r="5524" spans="1:3" x14ac:dyDescent="0.35">
      <c r="A5524" t="s">
        <v>216</v>
      </c>
      <c r="B5524" t="s">
        <v>289</v>
      </c>
      <c r="C5524" t="s">
        <v>5758</v>
      </c>
    </row>
    <row r="5525" spans="1:3" x14ac:dyDescent="0.35">
      <c r="A5525" t="s">
        <v>216</v>
      </c>
      <c r="B5525" t="s">
        <v>289</v>
      </c>
      <c r="C5525" t="s">
        <v>5759</v>
      </c>
    </row>
    <row r="5526" spans="1:3" x14ac:dyDescent="0.35">
      <c r="A5526" t="s">
        <v>216</v>
      </c>
      <c r="B5526" t="s">
        <v>289</v>
      </c>
      <c r="C5526" t="s">
        <v>5760</v>
      </c>
    </row>
    <row r="5527" spans="1:3" x14ac:dyDescent="0.35">
      <c r="A5527" t="s">
        <v>216</v>
      </c>
      <c r="B5527" t="s">
        <v>289</v>
      </c>
      <c r="C5527" t="s">
        <v>5761</v>
      </c>
    </row>
    <row r="5528" spans="1:3" x14ac:dyDescent="0.35">
      <c r="A5528" t="s">
        <v>216</v>
      </c>
      <c r="B5528" t="s">
        <v>289</v>
      </c>
      <c r="C5528" t="s">
        <v>5762</v>
      </c>
    </row>
    <row r="5529" spans="1:3" x14ac:dyDescent="0.35">
      <c r="A5529" t="s">
        <v>216</v>
      </c>
      <c r="B5529" t="s">
        <v>289</v>
      </c>
      <c r="C5529" t="s">
        <v>5763</v>
      </c>
    </row>
    <row r="5530" spans="1:3" x14ac:dyDescent="0.35">
      <c r="A5530" t="s">
        <v>216</v>
      </c>
      <c r="B5530" t="s">
        <v>289</v>
      </c>
      <c r="C5530" t="s">
        <v>5764</v>
      </c>
    </row>
    <row r="5531" spans="1:3" x14ac:dyDescent="0.35">
      <c r="A5531" t="s">
        <v>216</v>
      </c>
      <c r="B5531" t="s">
        <v>289</v>
      </c>
      <c r="C5531" t="s">
        <v>5765</v>
      </c>
    </row>
    <row r="5532" spans="1:3" x14ac:dyDescent="0.35">
      <c r="A5532" t="s">
        <v>216</v>
      </c>
      <c r="B5532" t="s">
        <v>289</v>
      </c>
      <c r="C5532" t="s">
        <v>5766</v>
      </c>
    </row>
    <row r="5533" spans="1:3" x14ac:dyDescent="0.35">
      <c r="A5533" t="s">
        <v>216</v>
      </c>
      <c r="B5533" t="s">
        <v>289</v>
      </c>
      <c r="C5533" t="s">
        <v>5767</v>
      </c>
    </row>
    <row r="5534" spans="1:3" x14ac:dyDescent="0.35">
      <c r="A5534" t="s">
        <v>216</v>
      </c>
      <c r="B5534" t="s">
        <v>289</v>
      </c>
      <c r="C5534" t="s">
        <v>5768</v>
      </c>
    </row>
    <row r="5535" spans="1:3" x14ac:dyDescent="0.35">
      <c r="A5535" t="s">
        <v>216</v>
      </c>
      <c r="B5535" t="s">
        <v>289</v>
      </c>
      <c r="C5535" t="s">
        <v>5769</v>
      </c>
    </row>
    <row r="5536" spans="1:3" x14ac:dyDescent="0.35">
      <c r="A5536" t="s">
        <v>216</v>
      </c>
      <c r="B5536" t="s">
        <v>289</v>
      </c>
      <c r="C5536" t="s">
        <v>5770</v>
      </c>
    </row>
    <row r="5537" spans="1:3" x14ac:dyDescent="0.35">
      <c r="A5537" t="s">
        <v>216</v>
      </c>
      <c r="B5537" t="s">
        <v>289</v>
      </c>
      <c r="C5537" t="s">
        <v>5771</v>
      </c>
    </row>
    <row r="5538" spans="1:3" x14ac:dyDescent="0.35">
      <c r="A5538" t="s">
        <v>216</v>
      </c>
      <c r="B5538" t="s">
        <v>289</v>
      </c>
      <c r="C5538" t="s">
        <v>5772</v>
      </c>
    </row>
    <row r="5539" spans="1:3" x14ac:dyDescent="0.35">
      <c r="A5539" t="s">
        <v>216</v>
      </c>
      <c r="B5539" t="s">
        <v>289</v>
      </c>
      <c r="C5539" t="s">
        <v>5773</v>
      </c>
    </row>
    <row r="5540" spans="1:3" x14ac:dyDescent="0.35">
      <c r="A5540" t="s">
        <v>216</v>
      </c>
      <c r="B5540" t="s">
        <v>289</v>
      </c>
      <c r="C5540" t="s">
        <v>5774</v>
      </c>
    </row>
    <row r="5541" spans="1:3" x14ac:dyDescent="0.35">
      <c r="A5541" t="s">
        <v>216</v>
      </c>
      <c r="B5541" t="s">
        <v>289</v>
      </c>
      <c r="C5541" t="s">
        <v>5775</v>
      </c>
    </row>
    <row r="5542" spans="1:3" x14ac:dyDescent="0.35">
      <c r="A5542" t="s">
        <v>216</v>
      </c>
      <c r="B5542" t="s">
        <v>289</v>
      </c>
      <c r="C5542" t="s">
        <v>5776</v>
      </c>
    </row>
    <row r="5543" spans="1:3" x14ac:dyDescent="0.35">
      <c r="A5543" t="s">
        <v>216</v>
      </c>
      <c r="B5543" t="s">
        <v>289</v>
      </c>
      <c r="C5543" t="s">
        <v>5777</v>
      </c>
    </row>
    <row r="5544" spans="1:3" x14ac:dyDescent="0.35">
      <c r="A5544" t="s">
        <v>216</v>
      </c>
      <c r="B5544" t="s">
        <v>289</v>
      </c>
      <c r="C5544" t="s">
        <v>5778</v>
      </c>
    </row>
    <row r="5545" spans="1:3" x14ac:dyDescent="0.35">
      <c r="A5545" t="s">
        <v>216</v>
      </c>
      <c r="B5545" t="s">
        <v>289</v>
      </c>
      <c r="C5545" t="s">
        <v>5779</v>
      </c>
    </row>
    <row r="5546" spans="1:3" x14ac:dyDescent="0.35">
      <c r="A5546" t="s">
        <v>216</v>
      </c>
      <c r="B5546" t="s">
        <v>289</v>
      </c>
      <c r="C5546" t="s">
        <v>5780</v>
      </c>
    </row>
    <row r="5547" spans="1:3" x14ac:dyDescent="0.35">
      <c r="A5547" t="s">
        <v>216</v>
      </c>
      <c r="B5547" t="s">
        <v>289</v>
      </c>
      <c r="C5547" t="s">
        <v>5781</v>
      </c>
    </row>
    <row r="5548" spans="1:3" x14ac:dyDescent="0.35">
      <c r="A5548" t="s">
        <v>216</v>
      </c>
      <c r="B5548" t="s">
        <v>289</v>
      </c>
      <c r="C5548" t="s">
        <v>5782</v>
      </c>
    </row>
    <row r="5549" spans="1:3" x14ac:dyDescent="0.35">
      <c r="A5549" t="s">
        <v>216</v>
      </c>
      <c r="B5549" t="s">
        <v>289</v>
      </c>
      <c r="C5549" t="s">
        <v>5783</v>
      </c>
    </row>
    <row r="5550" spans="1:3" x14ac:dyDescent="0.35">
      <c r="A5550" t="s">
        <v>216</v>
      </c>
      <c r="B5550" t="s">
        <v>289</v>
      </c>
      <c r="C5550" t="s">
        <v>5784</v>
      </c>
    </row>
    <row r="5551" spans="1:3" x14ac:dyDescent="0.35">
      <c r="A5551" t="s">
        <v>216</v>
      </c>
      <c r="B5551" t="s">
        <v>289</v>
      </c>
      <c r="C5551" t="s">
        <v>5785</v>
      </c>
    </row>
    <row r="5552" spans="1:3" x14ac:dyDescent="0.35">
      <c r="A5552" t="s">
        <v>216</v>
      </c>
      <c r="B5552" t="s">
        <v>289</v>
      </c>
      <c r="C5552" t="s">
        <v>5786</v>
      </c>
    </row>
    <row r="5553" spans="1:3" x14ac:dyDescent="0.35">
      <c r="A5553" t="s">
        <v>216</v>
      </c>
      <c r="B5553" t="s">
        <v>289</v>
      </c>
      <c r="C5553" t="s">
        <v>5787</v>
      </c>
    </row>
    <row r="5554" spans="1:3" x14ac:dyDescent="0.35">
      <c r="A5554" t="s">
        <v>216</v>
      </c>
      <c r="B5554" t="s">
        <v>289</v>
      </c>
      <c r="C5554" t="s">
        <v>5788</v>
      </c>
    </row>
    <row r="5555" spans="1:3" x14ac:dyDescent="0.35">
      <c r="A5555" t="s">
        <v>216</v>
      </c>
      <c r="B5555" t="s">
        <v>289</v>
      </c>
      <c r="C5555" t="s">
        <v>5789</v>
      </c>
    </row>
    <row r="5556" spans="1:3" x14ac:dyDescent="0.35">
      <c r="A5556" t="s">
        <v>216</v>
      </c>
      <c r="B5556" t="s">
        <v>289</v>
      </c>
      <c r="C5556" t="s">
        <v>5790</v>
      </c>
    </row>
    <row r="5557" spans="1:3" x14ac:dyDescent="0.35">
      <c r="A5557" t="s">
        <v>216</v>
      </c>
      <c r="B5557" t="s">
        <v>289</v>
      </c>
      <c r="C5557" t="s">
        <v>5791</v>
      </c>
    </row>
    <row r="5558" spans="1:3" x14ac:dyDescent="0.35">
      <c r="A5558" t="s">
        <v>216</v>
      </c>
      <c r="B5558" t="s">
        <v>289</v>
      </c>
      <c r="C5558" t="s">
        <v>5792</v>
      </c>
    </row>
    <row r="5559" spans="1:3" x14ac:dyDescent="0.35">
      <c r="A5559" t="s">
        <v>216</v>
      </c>
      <c r="B5559" t="s">
        <v>289</v>
      </c>
      <c r="C5559" t="s">
        <v>5793</v>
      </c>
    </row>
    <row r="5560" spans="1:3" x14ac:dyDescent="0.35">
      <c r="A5560" t="s">
        <v>216</v>
      </c>
      <c r="B5560" t="s">
        <v>289</v>
      </c>
      <c r="C5560" t="s">
        <v>5794</v>
      </c>
    </row>
    <row r="5561" spans="1:3" x14ac:dyDescent="0.35">
      <c r="A5561" t="s">
        <v>216</v>
      </c>
      <c r="B5561" t="s">
        <v>289</v>
      </c>
      <c r="C5561" t="s">
        <v>5795</v>
      </c>
    </row>
    <row r="5562" spans="1:3" x14ac:dyDescent="0.35">
      <c r="A5562" t="s">
        <v>216</v>
      </c>
      <c r="B5562" t="s">
        <v>289</v>
      </c>
      <c r="C5562" t="s">
        <v>5796</v>
      </c>
    </row>
    <row r="5563" spans="1:3" x14ac:dyDescent="0.35">
      <c r="A5563" t="s">
        <v>216</v>
      </c>
      <c r="B5563" t="s">
        <v>289</v>
      </c>
      <c r="C5563" t="s">
        <v>5797</v>
      </c>
    </row>
    <row r="5564" spans="1:3" x14ac:dyDescent="0.35">
      <c r="A5564" t="s">
        <v>216</v>
      </c>
      <c r="B5564" t="s">
        <v>289</v>
      </c>
      <c r="C5564" t="s">
        <v>5798</v>
      </c>
    </row>
    <row r="5565" spans="1:3" x14ac:dyDescent="0.35">
      <c r="A5565" t="s">
        <v>216</v>
      </c>
      <c r="B5565" t="s">
        <v>289</v>
      </c>
      <c r="C5565" t="s">
        <v>5799</v>
      </c>
    </row>
    <row r="5566" spans="1:3" x14ac:dyDescent="0.35">
      <c r="A5566" t="s">
        <v>216</v>
      </c>
      <c r="B5566" t="s">
        <v>289</v>
      </c>
      <c r="C5566" t="s">
        <v>5800</v>
      </c>
    </row>
    <row r="5567" spans="1:3" x14ac:dyDescent="0.35">
      <c r="A5567" t="s">
        <v>216</v>
      </c>
      <c r="B5567" t="s">
        <v>289</v>
      </c>
      <c r="C5567" t="s">
        <v>5801</v>
      </c>
    </row>
    <row r="5568" spans="1:3" x14ac:dyDescent="0.35">
      <c r="A5568" t="s">
        <v>216</v>
      </c>
      <c r="B5568" t="s">
        <v>289</v>
      </c>
      <c r="C5568" t="s">
        <v>5802</v>
      </c>
    </row>
    <row r="5569" spans="1:3" x14ac:dyDescent="0.35">
      <c r="A5569" t="s">
        <v>216</v>
      </c>
      <c r="B5569" t="s">
        <v>289</v>
      </c>
      <c r="C5569" t="s">
        <v>5803</v>
      </c>
    </row>
    <row r="5570" spans="1:3" x14ac:dyDescent="0.35">
      <c r="A5570" t="s">
        <v>216</v>
      </c>
      <c r="B5570" t="s">
        <v>289</v>
      </c>
      <c r="C5570" t="s">
        <v>5804</v>
      </c>
    </row>
    <row r="5571" spans="1:3" x14ac:dyDescent="0.35">
      <c r="A5571" t="s">
        <v>216</v>
      </c>
      <c r="B5571" t="s">
        <v>289</v>
      </c>
      <c r="C5571" t="s">
        <v>5805</v>
      </c>
    </row>
    <row r="5572" spans="1:3" x14ac:dyDescent="0.35">
      <c r="A5572" t="s">
        <v>216</v>
      </c>
      <c r="B5572" t="s">
        <v>289</v>
      </c>
      <c r="C5572" t="s">
        <v>5806</v>
      </c>
    </row>
    <row r="5573" spans="1:3" x14ac:dyDescent="0.35">
      <c r="A5573" t="s">
        <v>216</v>
      </c>
      <c r="B5573" t="s">
        <v>289</v>
      </c>
      <c r="C5573" t="s">
        <v>5807</v>
      </c>
    </row>
    <row r="5574" spans="1:3" x14ac:dyDescent="0.35">
      <c r="A5574" t="s">
        <v>216</v>
      </c>
      <c r="B5574" t="s">
        <v>289</v>
      </c>
      <c r="C5574" t="s">
        <v>5808</v>
      </c>
    </row>
    <row r="5575" spans="1:3" x14ac:dyDescent="0.35">
      <c r="A5575" t="s">
        <v>216</v>
      </c>
      <c r="B5575" t="s">
        <v>289</v>
      </c>
      <c r="C5575" t="s">
        <v>5809</v>
      </c>
    </row>
    <row r="5576" spans="1:3" x14ac:dyDescent="0.35">
      <c r="A5576" t="s">
        <v>216</v>
      </c>
      <c r="B5576" t="s">
        <v>289</v>
      </c>
      <c r="C5576" t="s">
        <v>5810</v>
      </c>
    </row>
    <row r="5577" spans="1:3" x14ac:dyDescent="0.35">
      <c r="A5577" t="s">
        <v>216</v>
      </c>
      <c r="B5577" t="s">
        <v>289</v>
      </c>
      <c r="C5577" t="s">
        <v>5811</v>
      </c>
    </row>
    <row r="5578" spans="1:3" x14ac:dyDescent="0.35">
      <c r="A5578" t="s">
        <v>216</v>
      </c>
      <c r="B5578" t="s">
        <v>289</v>
      </c>
      <c r="C5578" t="s">
        <v>5812</v>
      </c>
    </row>
    <row r="5579" spans="1:3" x14ac:dyDescent="0.35">
      <c r="A5579" t="s">
        <v>216</v>
      </c>
      <c r="B5579" t="s">
        <v>289</v>
      </c>
      <c r="C5579" t="s">
        <v>5813</v>
      </c>
    </row>
    <row r="5580" spans="1:3" x14ac:dyDescent="0.35">
      <c r="A5580" t="s">
        <v>216</v>
      </c>
      <c r="B5580" t="s">
        <v>289</v>
      </c>
      <c r="C5580" t="s">
        <v>5814</v>
      </c>
    </row>
    <row r="5581" spans="1:3" x14ac:dyDescent="0.35">
      <c r="A5581" t="s">
        <v>216</v>
      </c>
      <c r="B5581" t="s">
        <v>289</v>
      </c>
      <c r="C5581" t="s">
        <v>5815</v>
      </c>
    </row>
    <row r="5582" spans="1:3" x14ac:dyDescent="0.35">
      <c r="A5582" t="s">
        <v>216</v>
      </c>
      <c r="B5582" t="s">
        <v>289</v>
      </c>
      <c r="C5582" t="s">
        <v>5816</v>
      </c>
    </row>
    <row r="5583" spans="1:3" x14ac:dyDescent="0.35">
      <c r="A5583" t="s">
        <v>216</v>
      </c>
      <c r="B5583" t="s">
        <v>289</v>
      </c>
      <c r="C5583" t="s">
        <v>5817</v>
      </c>
    </row>
    <row r="5584" spans="1:3" x14ac:dyDescent="0.35">
      <c r="A5584" t="s">
        <v>216</v>
      </c>
      <c r="B5584" t="s">
        <v>289</v>
      </c>
      <c r="C5584" t="s">
        <v>5818</v>
      </c>
    </row>
    <row r="5585" spans="1:3" x14ac:dyDescent="0.35">
      <c r="A5585" t="s">
        <v>216</v>
      </c>
      <c r="B5585" t="s">
        <v>289</v>
      </c>
      <c r="C5585" t="s">
        <v>5819</v>
      </c>
    </row>
    <row r="5586" spans="1:3" x14ac:dyDescent="0.35">
      <c r="A5586" t="s">
        <v>216</v>
      </c>
      <c r="B5586" t="s">
        <v>289</v>
      </c>
      <c r="C5586" t="s">
        <v>5820</v>
      </c>
    </row>
    <row r="5587" spans="1:3" x14ac:dyDescent="0.35">
      <c r="A5587" t="s">
        <v>216</v>
      </c>
      <c r="B5587" t="s">
        <v>289</v>
      </c>
      <c r="C5587" t="s">
        <v>289</v>
      </c>
    </row>
    <row r="5588" spans="1:3" x14ac:dyDescent="0.35">
      <c r="A5588" t="s">
        <v>216</v>
      </c>
      <c r="B5588" t="s">
        <v>289</v>
      </c>
      <c r="C5588" t="s">
        <v>5821</v>
      </c>
    </row>
    <row r="5589" spans="1:3" x14ac:dyDescent="0.35">
      <c r="A5589" t="s">
        <v>216</v>
      </c>
      <c r="B5589" t="s">
        <v>289</v>
      </c>
      <c r="C5589" t="s">
        <v>5822</v>
      </c>
    </row>
    <row r="5590" spans="1:3" x14ac:dyDescent="0.35">
      <c r="A5590" t="s">
        <v>216</v>
      </c>
      <c r="B5590" t="s">
        <v>289</v>
      </c>
      <c r="C5590" t="s">
        <v>5823</v>
      </c>
    </row>
    <row r="5591" spans="1:3" x14ac:dyDescent="0.35">
      <c r="A5591" t="s">
        <v>217</v>
      </c>
      <c r="B5591" t="s">
        <v>30</v>
      </c>
      <c r="C5591" t="s">
        <v>5824</v>
      </c>
    </row>
    <row r="5592" spans="1:3" x14ac:dyDescent="0.35">
      <c r="A5592" t="s">
        <v>217</v>
      </c>
      <c r="B5592" t="s">
        <v>30</v>
      </c>
      <c r="C5592" t="s">
        <v>5825</v>
      </c>
    </row>
    <row r="5593" spans="1:3" x14ac:dyDescent="0.35">
      <c r="A5593" t="s">
        <v>217</v>
      </c>
      <c r="B5593" t="s">
        <v>30</v>
      </c>
      <c r="C5593" t="s">
        <v>5826</v>
      </c>
    </row>
    <row r="5594" spans="1:3" x14ac:dyDescent="0.35">
      <c r="A5594" t="s">
        <v>217</v>
      </c>
      <c r="B5594" t="s">
        <v>30</v>
      </c>
      <c r="C5594" t="s">
        <v>5827</v>
      </c>
    </row>
    <row r="5595" spans="1:3" x14ac:dyDescent="0.35">
      <c r="A5595" t="s">
        <v>217</v>
      </c>
      <c r="B5595" t="s">
        <v>30</v>
      </c>
      <c r="C5595" t="s">
        <v>30</v>
      </c>
    </row>
    <row r="5596" spans="1:3" x14ac:dyDescent="0.35">
      <c r="A5596" t="s">
        <v>217</v>
      </c>
      <c r="B5596" t="s">
        <v>30</v>
      </c>
      <c r="C5596" t="s">
        <v>5828</v>
      </c>
    </row>
    <row r="5597" spans="1:3" x14ac:dyDescent="0.35">
      <c r="A5597" t="s">
        <v>217</v>
      </c>
      <c r="B5597" t="s">
        <v>30</v>
      </c>
      <c r="C5597" t="s">
        <v>5829</v>
      </c>
    </row>
    <row r="5598" spans="1:3" x14ac:dyDescent="0.35">
      <c r="A5598" t="s">
        <v>217</v>
      </c>
      <c r="B5598" t="s">
        <v>30</v>
      </c>
      <c r="C5598" t="s">
        <v>5830</v>
      </c>
    </row>
    <row r="5599" spans="1:3" x14ac:dyDescent="0.35">
      <c r="A5599" t="s">
        <v>217</v>
      </c>
      <c r="B5599" t="s">
        <v>30</v>
      </c>
      <c r="C5599" t="s">
        <v>5831</v>
      </c>
    </row>
    <row r="5600" spans="1:3" x14ac:dyDescent="0.35">
      <c r="A5600" t="s">
        <v>217</v>
      </c>
      <c r="B5600" t="s">
        <v>30</v>
      </c>
      <c r="C5600" t="s">
        <v>5832</v>
      </c>
    </row>
    <row r="5601" spans="1:3" x14ac:dyDescent="0.35">
      <c r="A5601" t="s">
        <v>217</v>
      </c>
      <c r="B5601" t="s">
        <v>30</v>
      </c>
      <c r="C5601" t="s">
        <v>5833</v>
      </c>
    </row>
    <row r="5602" spans="1:3" x14ac:dyDescent="0.35">
      <c r="A5602" t="s">
        <v>217</v>
      </c>
      <c r="B5602" t="s">
        <v>30</v>
      </c>
      <c r="C5602" t="s">
        <v>5834</v>
      </c>
    </row>
    <row r="5603" spans="1:3" x14ac:dyDescent="0.35">
      <c r="A5603" t="s">
        <v>217</v>
      </c>
      <c r="B5603" t="s">
        <v>30</v>
      </c>
      <c r="C5603" t="s">
        <v>5835</v>
      </c>
    </row>
    <row r="5604" spans="1:3" x14ac:dyDescent="0.35">
      <c r="A5604" t="s">
        <v>217</v>
      </c>
      <c r="B5604" t="s">
        <v>30</v>
      </c>
      <c r="C5604" t="s">
        <v>5836</v>
      </c>
    </row>
    <row r="5605" spans="1:3" x14ac:dyDescent="0.35">
      <c r="A5605" t="s">
        <v>217</v>
      </c>
      <c r="B5605" t="s">
        <v>30</v>
      </c>
      <c r="C5605" t="s">
        <v>5837</v>
      </c>
    </row>
    <row r="5606" spans="1:3" x14ac:dyDescent="0.35">
      <c r="A5606" t="s">
        <v>217</v>
      </c>
      <c r="B5606" t="s">
        <v>30</v>
      </c>
      <c r="C5606" t="s">
        <v>5838</v>
      </c>
    </row>
    <row r="5607" spans="1:3" x14ac:dyDescent="0.35">
      <c r="A5607" t="s">
        <v>217</v>
      </c>
      <c r="B5607" t="s">
        <v>30</v>
      </c>
      <c r="C5607" t="s">
        <v>5839</v>
      </c>
    </row>
    <row r="5608" spans="1:3" x14ac:dyDescent="0.35">
      <c r="A5608" t="s">
        <v>217</v>
      </c>
      <c r="B5608" t="s">
        <v>30</v>
      </c>
      <c r="C5608" t="s">
        <v>5840</v>
      </c>
    </row>
    <row r="5609" spans="1:3" x14ac:dyDescent="0.35">
      <c r="A5609" t="s">
        <v>217</v>
      </c>
      <c r="B5609" t="s">
        <v>30</v>
      </c>
      <c r="C5609" t="s">
        <v>5841</v>
      </c>
    </row>
    <row r="5610" spans="1:3" x14ac:dyDescent="0.35">
      <c r="A5610" t="s">
        <v>217</v>
      </c>
      <c r="B5610" t="s">
        <v>30</v>
      </c>
      <c r="C5610" t="s">
        <v>5842</v>
      </c>
    </row>
    <row r="5611" spans="1:3" x14ac:dyDescent="0.35">
      <c r="A5611" t="s">
        <v>217</v>
      </c>
      <c r="B5611" t="s">
        <v>30</v>
      </c>
      <c r="C5611" t="s">
        <v>5843</v>
      </c>
    </row>
    <row r="5612" spans="1:3" x14ac:dyDescent="0.35">
      <c r="A5612" t="s">
        <v>217</v>
      </c>
      <c r="B5612" t="s">
        <v>30</v>
      </c>
      <c r="C5612" t="s">
        <v>5844</v>
      </c>
    </row>
    <row r="5613" spans="1:3" x14ac:dyDescent="0.35">
      <c r="A5613" t="s">
        <v>217</v>
      </c>
      <c r="B5613" t="s">
        <v>30</v>
      </c>
      <c r="C5613" t="s">
        <v>5845</v>
      </c>
    </row>
    <row r="5614" spans="1:3" x14ac:dyDescent="0.35">
      <c r="A5614" t="s">
        <v>217</v>
      </c>
      <c r="B5614" t="s">
        <v>30</v>
      </c>
      <c r="C5614" t="s">
        <v>5846</v>
      </c>
    </row>
    <row r="5615" spans="1:3" x14ac:dyDescent="0.35">
      <c r="A5615" t="s">
        <v>217</v>
      </c>
      <c r="B5615" t="s">
        <v>30</v>
      </c>
      <c r="C5615" t="s">
        <v>5847</v>
      </c>
    </row>
    <row r="5616" spans="1:3" x14ac:dyDescent="0.35">
      <c r="A5616" t="s">
        <v>217</v>
      </c>
      <c r="B5616" t="s">
        <v>30</v>
      </c>
      <c r="C5616" t="s">
        <v>5848</v>
      </c>
    </row>
    <row r="5617" spans="1:3" x14ac:dyDescent="0.35">
      <c r="A5617" t="s">
        <v>217</v>
      </c>
      <c r="B5617" t="s">
        <v>30</v>
      </c>
      <c r="C5617" t="s">
        <v>5849</v>
      </c>
    </row>
    <row r="5618" spans="1:3" x14ac:dyDescent="0.35">
      <c r="A5618" t="s">
        <v>217</v>
      </c>
      <c r="B5618" t="s">
        <v>30</v>
      </c>
      <c r="C5618" t="s">
        <v>5850</v>
      </c>
    </row>
    <row r="5619" spans="1:3" x14ac:dyDescent="0.35">
      <c r="A5619" t="s">
        <v>217</v>
      </c>
      <c r="B5619" t="s">
        <v>30</v>
      </c>
      <c r="C5619" t="s">
        <v>5851</v>
      </c>
    </row>
    <row r="5620" spans="1:3" x14ac:dyDescent="0.35">
      <c r="A5620" t="s">
        <v>217</v>
      </c>
      <c r="B5620" t="s">
        <v>30</v>
      </c>
      <c r="C5620" t="s">
        <v>5852</v>
      </c>
    </row>
    <row r="5621" spans="1:3" x14ac:dyDescent="0.35">
      <c r="A5621" t="s">
        <v>217</v>
      </c>
      <c r="B5621" t="s">
        <v>30</v>
      </c>
      <c r="C5621" t="s">
        <v>5853</v>
      </c>
    </row>
    <row r="5622" spans="1:3" x14ac:dyDescent="0.35">
      <c r="A5622" t="s">
        <v>217</v>
      </c>
      <c r="B5622" t="s">
        <v>30</v>
      </c>
      <c r="C5622" t="s">
        <v>5854</v>
      </c>
    </row>
    <row r="5623" spans="1:3" x14ac:dyDescent="0.35">
      <c r="A5623" t="s">
        <v>217</v>
      </c>
      <c r="B5623" t="s">
        <v>30</v>
      </c>
      <c r="C5623" t="s">
        <v>5855</v>
      </c>
    </row>
    <row r="5624" spans="1:3" x14ac:dyDescent="0.35">
      <c r="A5624" t="s">
        <v>217</v>
      </c>
      <c r="B5624" t="s">
        <v>30</v>
      </c>
      <c r="C5624" t="s">
        <v>5856</v>
      </c>
    </row>
    <row r="5625" spans="1:3" x14ac:dyDescent="0.35">
      <c r="A5625" t="s">
        <v>217</v>
      </c>
      <c r="B5625" t="s">
        <v>30</v>
      </c>
      <c r="C5625" t="s">
        <v>5857</v>
      </c>
    </row>
    <row r="5626" spans="1:3" x14ac:dyDescent="0.35">
      <c r="A5626" t="s">
        <v>217</v>
      </c>
      <c r="B5626" t="s">
        <v>30</v>
      </c>
      <c r="C5626" t="s">
        <v>5858</v>
      </c>
    </row>
    <row r="5627" spans="1:3" x14ac:dyDescent="0.35">
      <c r="A5627" t="s">
        <v>217</v>
      </c>
      <c r="B5627" t="s">
        <v>30</v>
      </c>
      <c r="C5627" t="s">
        <v>5859</v>
      </c>
    </row>
    <row r="5628" spans="1:3" x14ac:dyDescent="0.35">
      <c r="A5628" t="s">
        <v>217</v>
      </c>
      <c r="B5628" t="s">
        <v>30</v>
      </c>
      <c r="C5628" t="s">
        <v>5860</v>
      </c>
    </row>
    <row r="5629" spans="1:3" x14ac:dyDescent="0.35">
      <c r="A5629" t="s">
        <v>217</v>
      </c>
      <c r="B5629" t="s">
        <v>30</v>
      </c>
      <c r="C5629" t="s">
        <v>5861</v>
      </c>
    </row>
    <row r="5630" spans="1:3" x14ac:dyDescent="0.35">
      <c r="A5630" t="s">
        <v>217</v>
      </c>
      <c r="B5630" t="s">
        <v>30</v>
      </c>
      <c r="C5630" t="s">
        <v>5862</v>
      </c>
    </row>
    <row r="5631" spans="1:3" x14ac:dyDescent="0.35">
      <c r="A5631" t="s">
        <v>217</v>
      </c>
      <c r="B5631" t="s">
        <v>30</v>
      </c>
      <c r="C5631" t="s">
        <v>5863</v>
      </c>
    </row>
    <row r="5632" spans="1:3" x14ac:dyDescent="0.35">
      <c r="A5632" t="s">
        <v>217</v>
      </c>
      <c r="B5632" t="s">
        <v>245</v>
      </c>
      <c r="C5632" t="s">
        <v>5864</v>
      </c>
    </row>
    <row r="5633" spans="1:3" x14ac:dyDescent="0.35">
      <c r="A5633" t="s">
        <v>217</v>
      </c>
      <c r="B5633" t="s">
        <v>245</v>
      </c>
      <c r="C5633" t="s">
        <v>5865</v>
      </c>
    </row>
    <row r="5634" spans="1:3" x14ac:dyDescent="0.35">
      <c r="A5634" t="s">
        <v>217</v>
      </c>
      <c r="B5634" t="s">
        <v>245</v>
      </c>
      <c r="C5634" t="s">
        <v>5866</v>
      </c>
    </row>
    <row r="5635" spans="1:3" x14ac:dyDescent="0.35">
      <c r="A5635" t="s">
        <v>217</v>
      </c>
      <c r="B5635" t="s">
        <v>245</v>
      </c>
      <c r="C5635" t="s">
        <v>5867</v>
      </c>
    </row>
    <row r="5636" spans="1:3" x14ac:dyDescent="0.35">
      <c r="A5636" t="s">
        <v>217</v>
      </c>
      <c r="B5636" t="s">
        <v>245</v>
      </c>
      <c r="C5636" t="s">
        <v>5868</v>
      </c>
    </row>
    <row r="5637" spans="1:3" x14ac:dyDescent="0.35">
      <c r="A5637" t="s">
        <v>217</v>
      </c>
      <c r="B5637" t="s">
        <v>245</v>
      </c>
      <c r="C5637" t="s">
        <v>5869</v>
      </c>
    </row>
    <row r="5638" spans="1:3" x14ac:dyDescent="0.35">
      <c r="A5638" t="s">
        <v>217</v>
      </c>
      <c r="B5638" t="s">
        <v>245</v>
      </c>
      <c r="C5638" t="s">
        <v>5870</v>
      </c>
    </row>
    <row r="5639" spans="1:3" x14ac:dyDescent="0.35">
      <c r="A5639" t="s">
        <v>217</v>
      </c>
      <c r="B5639" t="s">
        <v>245</v>
      </c>
      <c r="C5639" t="s">
        <v>5871</v>
      </c>
    </row>
    <row r="5640" spans="1:3" x14ac:dyDescent="0.35">
      <c r="A5640" t="s">
        <v>217</v>
      </c>
      <c r="B5640" t="s">
        <v>245</v>
      </c>
      <c r="C5640" t="s">
        <v>5872</v>
      </c>
    </row>
    <row r="5641" spans="1:3" x14ac:dyDescent="0.35">
      <c r="A5641" t="s">
        <v>217</v>
      </c>
      <c r="B5641" t="s">
        <v>245</v>
      </c>
      <c r="C5641" t="s">
        <v>5873</v>
      </c>
    </row>
    <row r="5642" spans="1:3" x14ac:dyDescent="0.35">
      <c r="A5642" t="s">
        <v>217</v>
      </c>
      <c r="B5642" t="s">
        <v>259</v>
      </c>
      <c r="C5642" t="s">
        <v>259</v>
      </c>
    </row>
    <row r="5643" spans="1:3" x14ac:dyDescent="0.35">
      <c r="A5643" t="s">
        <v>217</v>
      </c>
      <c r="B5643" t="s">
        <v>259</v>
      </c>
      <c r="C5643" t="s">
        <v>5874</v>
      </c>
    </row>
    <row r="5644" spans="1:3" x14ac:dyDescent="0.35">
      <c r="A5644" t="s">
        <v>217</v>
      </c>
      <c r="B5644" t="s">
        <v>259</v>
      </c>
      <c r="C5644" t="s">
        <v>5875</v>
      </c>
    </row>
    <row r="5645" spans="1:3" x14ac:dyDescent="0.35">
      <c r="A5645" t="s">
        <v>217</v>
      </c>
      <c r="B5645" t="s">
        <v>259</v>
      </c>
      <c r="C5645" t="s">
        <v>5876</v>
      </c>
    </row>
    <row r="5646" spans="1:3" x14ac:dyDescent="0.35">
      <c r="A5646" t="s">
        <v>217</v>
      </c>
      <c r="B5646" t="s">
        <v>259</v>
      </c>
      <c r="C5646" t="s">
        <v>5877</v>
      </c>
    </row>
    <row r="5647" spans="1:3" x14ac:dyDescent="0.35">
      <c r="A5647" t="s">
        <v>217</v>
      </c>
      <c r="B5647" t="s">
        <v>259</v>
      </c>
      <c r="C5647" t="s">
        <v>5878</v>
      </c>
    </row>
    <row r="5648" spans="1:3" x14ac:dyDescent="0.35">
      <c r="A5648" t="s">
        <v>217</v>
      </c>
      <c r="B5648" t="s">
        <v>259</v>
      </c>
      <c r="C5648" t="s">
        <v>5879</v>
      </c>
    </row>
    <row r="5649" spans="1:3" x14ac:dyDescent="0.35">
      <c r="A5649" t="s">
        <v>217</v>
      </c>
      <c r="B5649" t="s">
        <v>259</v>
      </c>
      <c r="C5649" t="s">
        <v>5880</v>
      </c>
    </row>
    <row r="5650" spans="1:3" x14ac:dyDescent="0.35">
      <c r="A5650" t="s">
        <v>217</v>
      </c>
      <c r="B5650" t="s">
        <v>259</v>
      </c>
      <c r="C5650" t="s">
        <v>5881</v>
      </c>
    </row>
    <row r="5651" spans="1:3" x14ac:dyDescent="0.35">
      <c r="A5651" t="s">
        <v>217</v>
      </c>
      <c r="B5651" t="s">
        <v>259</v>
      </c>
      <c r="C5651" t="s">
        <v>5882</v>
      </c>
    </row>
    <row r="5652" spans="1:3" x14ac:dyDescent="0.35">
      <c r="A5652" t="s">
        <v>217</v>
      </c>
      <c r="B5652" t="s">
        <v>259</v>
      </c>
      <c r="C5652" t="s">
        <v>5883</v>
      </c>
    </row>
    <row r="5653" spans="1:3" x14ac:dyDescent="0.35">
      <c r="A5653" t="s">
        <v>217</v>
      </c>
      <c r="B5653" t="s">
        <v>259</v>
      </c>
      <c r="C5653" t="s">
        <v>5884</v>
      </c>
    </row>
    <row r="5654" spans="1:3" x14ac:dyDescent="0.35">
      <c r="A5654" t="s">
        <v>217</v>
      </c>
      <c r="B5654" t="s">
        <v>259</v>
      </c>
      <c r="C5654" t="s">
        <v>5885</v>
      </c>
    </row>
    <row r="5655" spans="1:3" x14ac:dyDescent="0.35">
      <c r="A5655" t="s">
        <v>217</v>
      </c>
      <c r="B5655" t="s">
        <v>259</v>
      </c>
      <c r="C5655" t="s">
        <v>5886</v>
      </c>
    </row>
    <row r="5656" spans="1:3" x14ac:dyDescent="0.35">
      <c r="A5656" t="s">
        <v>217</v>
      </c>
      <c r="B5656" t="s">
        <v>259</v>
      </c>
      <c r="C5656" t="s">
        <v>5887</v>
      </c>
    </row>
    <row r="5657" spans="1:3" x14ac:dyDescent="0.35">
      <c r="A5657" t="s">
        <v>217</v>
      </c>
      <c r="B5657" t="s">
        <v>259</v>
      </c>
      <c r="C5657" t="s">
        <v>5888</v>
      </c>
    </row>
    <row r="5658" spans="1:3" x14ac:dyDescent="0.35">
      <c r="A5658" t="s">
        <v>217</v>
      </c>
      <c r="B5658" t="s">
        <v>259</v>
      </c>
      <c r="C5658" t="s">
        <v>5889</v>
      </c>
    </row>
    <row r="5659" spans="1:3" x14ac:dyDescent="0.35">
      <c r="A5659" t="s">
        <v>217</v>
      </c>
      <c r="B5659" t="s">
        <v>259</v>
      </c>
      <c r="C5659" t="s">
        <v>5890</v>
      </c>
    </row>
    <row r="5660" spans="1:3" x14ac:dyDescent="0.35">
      <c r="A5660" t="s">
        <v>217</v>
      </c>
      <c r="B5660" t="s">
        <v>259</v>
      </c>
      <c r="C5660" t="s">
        <v>5891</v>
      </c>
    </row>
    <row r="5661" spans="1:3" x14ac:dyDescent="0.35">
      <c r="A5661" t="s">
        <v>217</v>
      </c>
      <c r="B5661" t="s">
        <v>259</v>
      </c>
      <c r="C5661" t="s">
        <v>5892</v>
      </c>
    </row>
    <row r="5662" spans="1:3" x14ac:dyDescent="0.35">
      <c r="A5662" t="s">
        <v>217</v>
      </c>
      <c r="B5662" t="s">
        <v>270</v>
      </c>
      <c r="C5662" t="s">
        <v>5893</v>
      </c>
    </row>
    <row r="5663" spans="1:3" x14ac:dyDescent="0.35">
      <c r="A5663" t="s">
        <v>217</v>
      </c>
      <c r="B5663" t="s">
        <v>270</v>
      </c>
      <c r="C5663" t="s">
        <v>5894</v>
      </c>
    </row>
    <row r="5664" spans="1:3" x14ac:dyDescent="0.35">
      <c r="A5664" t="s">
        <v>217</v>
      </c>
      <c r="B5664" t="s">
        <v>270</v>
      </c>
      <c r="C5664" t="s">
        <v>5895</v>
      </c>
    </row>
    <row r="5665" spans="1:3" x14ac:dyDescent="0.35">
      <c r="A5665" t="s">
        <v>217</v>
      </c>
      <c r="B5665" t="s">
        <v>270</v>
      </c>
      <c r="C5665" t="s">
        <v>5896</v>
      </c>
    </row>
    <row r="5666" spans="1:3" x14ac:dyDescent="0.35">
      <c r="A5666" t="s">
        <v>217</v>
      </c>
      <c r="B5666" t="s">
        <v>270</v>
      </c>
      <c r="C5666" t="s">
        <v>5897</v>
      </c>
    </row>
    <row r="5667" spans="1:3" x14ac:dyDescent="0.35">
      <c r="A5667" t="s">
        <v>217</v>
      </c>
      <c r="B5667" t="s">
        <v>270</v>
      </c>
      <c r="C5667" t="s">
        <v>5898</v>
      </c>
    </row>
    <row r="5668" spans="1:3" x14ac:dyDescent="0.35">
      <c r="A5668" t="s">
        <v>217</v>
      </c>
      <c r="B5668" t="s">
        <v>270</v>
      </c>
      <c r="C5668" t="s">
        <v>5899</v>
      </c>
    </row>
    <row r="5669" spans="1:3" x14ac:dyDescent="0.35">
      <c r="A5669" t="s">
        <v>217</v>
      </c>
      <c r="B5669" t="s">
        <v>270</v>
      </c>
      <c r="C5669" t="s">
        <v>5900</v>
      </c>
    </row>
    <row r="5670" spans="1:3" x14ac:dyDescent="0.35">
      <c r="A5670" t="s">
        <v>217</v>
      </c>
      <c r="B5670" t="s">
        <v>270</v>
      </c>
      <c r="C5670" t="s">
        <v>5901</v>
      </c>
    </row>
    <row r="5671" spans="1:3" x14ac:dyDescent="0.35">
      <c r="A5671" t="s">
        <v>217</v>
      </c>
      <c r="B5671" t="s">
        <v>270</v>
      </c>
      <c r="C5671" t="s">
        <v>5902</v>
      </c>
    </row>
    <row r="5672" spans="1:3" x14ac:dyDescent="0.35">
      <c r="A5672" t="s">
        <v>217</v>
      </c>
      <c r="B5672" t="s">
        <v>270</v>
      </c>
      <c r="C5672" t="s">
        <v>5903</v>
      </c>
    </row>
    <row r="5673" spans="1:3" x14ac:dyDescent="0.35">
      <c r="A5673" t="s">
        <v>217</v>
      </c>
      <c r="B5673" t="s">
        <v>270</v>
      </c>
      <c r="C5673" t="s">
        <v>5904</v>
      </c>
    </row>
    <row r="5674" spans="1:3" x14ac:dyDescent="0.35">
      <c r="A5674" t="s">
        <v>217</v>
      </c>
      <c r="B5674" t="s">
        <v>270</v>
      </c>
      <c r="C5674" t="s">
        <v>5905</v>
      </c>
    </row>
    <row r="5675" spans="1:3" x14ac:dyDescent="0.35">
      <c r="A5675" t="s">
        <v>217</v>
      </c>
      <c r="B5675" t="s">
        <v>270</v>
      </c>
      <c r="C5675" t="s">
        <v>5906</v>
      </c>
    </row>
    <row r="5676" spans="1:3" x14ac:dyDescent="0.35">
      <c r="A5676" t="s">
        <v>217</v>
      </c>
      <c r="B5676" t="s">
        <v>270</v>
      </c>
      <c r="C5676" t="s">
        <v>5907</v>
      </c>
    </row>
    <row r="5677" spans="1:3" x14ac:dyDescent="0.35">
      <c r="A5677" t="s">
        <v>217</v>
      </c>
      <c r="B5677" t="s">
        <v>270</v>
      </c>
      <c r="C5677" t="s">
        <v>5908</v>
      </c>
    </row>
    <row r="5678" spans="1:3" x14ac:dyDescent="0.35">
      <c r="A5678" t="s">
        <v>217</v>
      </c>
      <c r="B5678" t="s">
        <v>270</v>
      </c>
      <c r="C5678" t="s">
        <v>5909</v>
      </c>
    </row>
    <row r="5679" spans="1:3" x14ac:dyDescent="0.35">
      <c r="A5679" t="s">
        <v>217</v>
      </c>
      <c r="B5679" t="s">
        <v>270</v>
      </c>
      <c r="C5679" t="s">
        <v>5910</v>
      </c>
    </row>
    <row r="5680" spans="1:3" x14ac:dyDescent="0.35">
      <c r="A5680" t="s">
        <v>217</v>
      </c>
      <c r="B5680" t="s">
        <v>270</v>
      </c>
      <c r="C5680" t="s">
        <v>5911</v>
      </c>
    </row>
    <row r="5681" spans="1:3" x14ac:dyDescent="0.35">
      <c r="A5681" t="s">
        <v>217</v>
      </c>
      <c r="B5681" t="s">
        <v>270</v>
      </c>
      <c r="C5681" t="s">
        <v>5912</v>
      </c>
    </row>
    <row r="5682" spans="1:3" x14ac:dyDescent="0.35">
      <c r="A5682" t="s">
        <v>217</v>
      </c>
      <c r="B5682" t="s">
        <v>270</v>
      </c>
      <c r="C5682" t="s">
        <v>5913</v>
      </c>
    </row>
    <row r="5683" spans="1:3" x14ac:dyDescent="0.35">
      <c r="A5683" t="s">
        <v>217</v>
      </c>
      <c r="B5683" t="s">
        <v>270</v>
      </c>
      <c r="C5683" t="s">
        <v>5914</v>
      </c>
    </row>
    <row r="5684" spans="1:3" x14ac:dyDescent="0.35">
      <c r="A5684" t="s">
        <v>217</v>
      </c>
      <c r="B5684" t="s">
        <v>270</v>
      </c>
      <c r="C5684" t="s">
        <v>5915</v>
      </c>
    </row>
    <row r="5685" spans="1:3" x14ac:dyDescent="0.35">
      <c r="A5685" t="s">
        <v>217</v>
      </c>
      <c r="B5685" t="s">
        <v>270</v>
      </c>
      <c r="C5685" t="s">
        <v>270</v>
      </c>
    </row>
    <row r="5686" spans="1:3" x14ac:dyDescent="0.35">
      <c r="A5686" t="s">
        <v>217</v>
      </c>
      <c r="B5686" t="s">
        <v>270</v>
      </c>
      <c r="C5686" t="s">
        <v>5916</v>
      </c>
    </row>
    <row r="5687" spans="1:3" x14ac:dyDescent="0.35">
      <c r="A5687" t="s">
        <v>217</v>
      </c>
      <c r="B5687" t="s">
        <v>270</v>
      </c>
      <c r="C5687" t="s">
        <v>5917</v>
      </c>
    </row>
    <row r="5688" spans="1:3" x14ac:dyDescent="0.35">
      <c r="A5688" t="s">
        <v>217</v>
      </c>
      <c r="B5688" t="s">
        <v>270</v>
      </c>
      <c r="C5688" t="s">
        <v>5918</v>
      </c>
    </row>
    <row r="5689" spans="1:3" x14ac:dyDescent="0.35">
      <c r="A5689" t="s">
        <v>217</v>
      </c>
      <c r="B5689" t="s">
        <v>270</v>
      </c>
      <c r="C5689" t="s">
        <v>5919</v>
      </c>
    </row>
    <row r="5690" spans="1:3" x14ac:dyDescent="0.35">
      <c r="A5690" t="s">
        <v>217</v>
      </c>
      <c r="B5690" t="s">
        <v>270</v>
      </c>
      <c r="C5690" t="s">
        <v>5920</v>
      </c>
    </row>
    <row r="5691" spans="1:3" x14ac:dyDescent="0.35">
      <c r="A5691" t="s">
        <v>217</v>
      </c>
      <c r="B5691" t="s">
        <v>270</v>
      </c>
      <c r="C5691" t="s">
        <v>5921</v>
      </c>
    </row>
    <row r="5692" spans="1:3" x14ac:dyDescent="0.35">
      <c r="A5692" t="s">
        <v>217</v>
      </c>
      <c r="B5692" t="s">
        <v>270</v>
      </c>
      <c r="C5692" t="s">
        <v>5922</v>
      </c>
    </row>
    <row r="5693" spans="1:3" x14ac:dyDescent="0.35">
      <c r="A5693" t="s">
        <v>217</v>
      </c>
      <c r="B5693" t="s">
        <v>270</v>
      </c>
      <c r="C5693" t="s">
        <v>5923</v>
      </c>
    </row>
    <row r="5694" spans="1:3" x14ac:dyDescent="0.35">
      <c r="A5694" t="s">
        <v>217</v>
      </c>
      <c r="B5694" t="s">
        <v>270</v>
      </c>
      <c r="C5694" t="s">
        <v>5924</v>
      </c>
    </row>
    <row r="5695" spans="1:3" x14ac:dyDescent="0.35">
      <c r="A5695" t="s">
        <v>217</v>
      </c>
      <c r="B5695" t="s">
        <v>270</v>
      </c>
      <c r="C5695" t="s">
        <v>5925</v>
      </c>
    </row>
    <row r="5696" spans="1:3" x14ac:dyDescent="0.35">
      <c r="A5696" t="s">
        <v>217</v>
      </c>
      <c r="B5696" t="s">
        <v>270</v>
      </c>
      <c r="C5696" t="s">
        <v>5926</v>
      </c>
    </row>
    <row r="5697" spans="1:3" x14ac:dyDescent="0.35">
      <c r="A5697" t="s">
        <v>217</v>
      </c>
      <c r="B5697" t="s">
        <v>270</v>
      </c>
      <c r="C5697" t="s">
        <v>5927</v>
      </c>
    </row>
    <row r="5698" spans="1:3" x14ac:dyDescent="0.35">
      <c r="A5698" t="s">
        <v>217</v>
      </c>
      <c r="B5698" t="s">
        <v>270</v>
      </c>
      <c r="C5698" t="s">
        <v>5928</v>
      </c>
    </row>
    <row r="5699" spans="1:3" x14ac:dyDescent="0.35">
      <c r="A5699" t="s">
        <v>217</v>
      </c>
      <c r="B5699" t="s">
        <v>270</v>
      </c>
      <c r="C5699" t="s">
        <v>5929</v>
      </c>
    </row>
    <row r="5700" spans="1:3" x14ac:dyDescent="0.35">
      <c r="A5700" t="s">
        <v>217</v>
      </c>
      <c r="B5700" t="s">
        <v>270</v>
      </c>
      <c r="C5700" t="s">
        <v>5930</v>
      </c>
    </row>
    <row r="5701" spans="1:3" x14ac:dyDescent="0.35">
      <c r="A5701" t="s">
        <v>217</v>
      </c>
      <c r="B5701" t="s">
        <v>270</v>
      </c>
      <c r="C5701" t="s">
        <v>5931</v>
      </c>
    </row>
    <row r="5702" spans="1:3" x14ac:dyDescent="0.35">
      <c r="A5702" t="s">
        <v>217</v>
      </c>
      <c r="B5702" t="s">
        <v>270</v>
      </c>
      <c r="C5702" t="s">
        <v>5932</v>
      </c>
    </row>
    <row r="5703" spans="1:3" x14ac:dyDescent="0.35">
      <c r="A5703" t="s">
        <v>217</v>
      </c>
      <c r="B5703" t="s">
        <v>270</v>
      </c>
      <c r="C5703" t="s">
        <v>5933</v>
      </c>
    </row>
    <row r="5704" spans="1:3" x14ac:dyDescent="0.35">
      <c r="A5704" t="s">
        <v>217</v>
      </c>
      <c r="B5704" t="s">
        <v>270</v>
      </c>
      <c r="C5704" t="s">
        <v>5934</v>
      </c>
    </row>
    <row r="5705" spans="1:3" x14ac:dyDescent="0.35">
      <c r="A5705" t="s">
        <v>217</v>
      </c>
      <c r="B5705" t="s">
        <v>270</v>
      </c>
      <c r="C5705" t="s">
        <v>5935</v>
      </c>
    </row>
    <row r="5706" spans="1:3" x14ac:dyDescent="0.35">
      <c r="A5706" t="s">
        <v>217</v>
      </c>
      <c r="B5706" t="s">
        <v>270</v>
      </c>
      <c r="C5706" t="s">
        <v>5936</v>
      </c>
    </row>
    <row r="5707" spans="1:3" x14ac:dyDescent="0.35">
      <c r="A5707" t="s">
        <v>217</v>
      </c>
      <c r="B5707" t="s">
        <v>270</v>
      </c>
      <c r="C5707" t="s">
        <v>5937</v>
      </c>
    </row>
    <row r="5708" spans="1:3" x14ac:dyDescent="0.35">
      <c r="A5708" t="s">
        <v>217</v>
      </c>
      <c r="B5708" t="s">
        <v>270</v>
      </c>
      <c r="C5708" t="s">
        <v>5938</v>
      </c>
    </row>
    <row r="5709" spans="1:3" x14ac:dyDescent="0.35">
      <c r="A5709" t="s">
        <v>217</v>
      </c>
      <c r="B5709" t="s">
        <v>270</v>
      </c>
      <c r="C5709" t="s">
        <v>5939</v>
      </c>
    </row>
    <row r="5710" spans="1:3" x14ac:dyDescent="0.35">
      <c r="A5710" t="s">
        <v>217</v>
      </c>
      <c r="B5710" t="s">
        <v>270</v>
      </c>
      <c r="C5710" t="s">
        <v>5940</v>
      </c>
    </row>
    <row r="5711" spans="1:3" x14ac:dyDescent="0.35">
      <c r="A5711" t="s">
        <v>217</v>
      </c>
      <c r="B5711" t="s">
        <v>270</v>
      </c>
      <c r="C5711" t="s">
        <v>5941</v>
      </c>
    </row>
    <row r="5712" spans="1:3" x14ac:dyDescent="0.35">
      <c r="A5712" t="s">
        <v>217</v>
      </c>
      <c r="B5712" t="s">
        <v>270</v>
      </c>
      <c r="C5712" t="s">
        <v>5942</v>
      </c>
    </row>
    <row r="5713" spans="1:3" x14ac:dyDescent="0.35">
      <c r="A5713" t="s">
        <v>217</v>
      </c>
      <c r="B5713" t="s">
        <v>270</v>
      </c>
      <c r="C5713" t="s">
        <v>5943</v>
      </c>
    </row>
    <row r="5714" spans="1:3" x14ac:dyDescent="0.35">
      <c r="A5714" t="s">
        <v>217</v>
      </c>
      <c r="B5714" t="s">
        <v>270</v>
      </c>
      <c r="C5714" t="s">
        <v>5944</v>
      </c>
    </row>
    <row r="5715" spans="1:3" x14ac:dyDescent="0.35">
      <c r="A5715" t="s">
        <v>217</v>
      </c>
      <c r="B5715" t="s">
        <v>270</v>
      </c>
      <c r="C5715" t="s">
        <v>5945</v>
      </c>
    </row>
    <row r="5716" spans="1:3" x14ac:dyDescent="0.35">
      <c r="A5716" t="s">
        <v>217</v>
      </c>
      <c r="B5716" t="s">
        <v>270</v>
      </c>
      <c r="C5716" t="s">
        <v>5946</v>
      </c>
    </row>
    <row r="5717" spans="1:3" x14ac:dyDescent="0.35">
      <c r="A5717" t="s">
        <v>217</v>
      </c>
      <c r="B5717" t="s">
        <v>270</v>
      </c>
      <c r="C5717" t="s">
        <v>5947</v>
      </c>
    </row>
    <row r="5718" spans="1:3" x14ac:dyDescent="0.35">
      <c r="A5718" t="s">
        <v>217</v>
      </c>
      <c r="B5718" t="s">
        <v>270</v>
      </c>
      <c r="C5718" t="s">
        <v>5948</v>
      </c>
    </row>
    <row r="5719" spans="1:3" x14ac:dyDescent="0.35">
      <c r="A5719" t="s">
        <v>217</v>
      </c>
      <c r="B5719" t="s">
        <v>270</v>
      </c>
      <c r="C5719" t="s">
        <v>5949</v>
      </c>
    </row>
    <row r="5720" spans="1:3" x14ac:dyDescent="0.35">
      <c r="A5720" t="s">
        <v>217</v>
      </c>
      <c r="B5720" t="s">
        <v>270</v>
      </c>
      <c r="C5720" t="s">
        <v>5950</v>
      </c>
    </row>
    <row r="5721" spans="1:3" x14ac:dyDescent="0.35">
      <c r="A5721" t="s">
        <v>217</v>
      </c>
      <c r="B5721" t="s">
        <v>270</v>
      </c>
      <c r="C5721" t="s">
        <v>5951</v>
      </c>
    </row>
    <row r="5722" spans="1:3" x14ac:dyDescent="0.35">
      <c r="A5722" t="s">
        <v>217</v>
      </c>
      <c r="B5722" t="s">
        <v>270</v>
      </c>
      <c r="C5722" t="s">
        <v>5952</v>
      </c>
    </row>
    <row r="5723" spans="1:3" x14ac:dyDescent="0.35">
      <c r="A5723" t="s">
        <v>217</v>
      </c>
      <c r="B5723" t="s">
        <v>275</v>
      </c>
      <c r="C5723" t="s">
        <v>5953</v>
      </c>
    </row>
    <row r="5724" spans="1:3" x14ac:dyDescent="0.35">
      <c r="A5724" t="s">
        <v>217</v>
      </c>
      <c r="B5724" t="s">
        <v>275</v>
      </c>
      <c r="C5724" t="s">
        <v>5954</v>
      </c>
    </row>
    <row r="5725" spans="1:3" x14ac:dyDescent="0.35">
      <c r="A5725" t="s">
        <v>217</v>
      </c>
      <c r="B5725" t="s">
        <v>275</v>
      </c>
      <c r="C5725" t="s">
        <v>5955</v>
      </c>
    </row>
    <row r="5726" spans="1:3" x14ac:dyDescent="0.35">
      <c r="A5726" t="s">
        <v>217</v>
      </c>
      <c r="B5726" t="s">
        <v>275</v>
      </c>
      <c r="C5726" t="s">
        <v>5956</v>
      </c>
    </row>
    <row r="5727" spans="1:3" x14ac:dyDescent="0.35">
      <c r="A5727" t="s">
        <v>217</v>
      </c>
      <c r="B5727" t="s">
        <v>275</v>
      </c>
      <c r="C5727" t="s">
        <v>5957</v>
      </c>
    </row>
    <row r="5728" spans="1:3" x14ac:dyDescent="0.35">
      <c r="A5728" t="s">
        <v>217</v>
      </c>
      <c r="B5728" t="s">
        <v>275</v>
      </c>
      <c r="C5728" t="s">
        <v>5958</v>
      </c>
    </row>
    <row r="5729" spans="1:3" x14ac:dyDescent="0.35">
      <c r="A5729" t="s">
        <v>217</v>
      </c>
      <c r="B5729" t="s">
        <v>275</v>
      </c>
      <c r="C5729" t="s">
        <v>5959</v>
      </c>
    </row>
    <row r="5730" spans="1:3" x14ac:dyDescent="0.35">
      <c r="A5730" t="s">
        <v>217</v>
      </c>
      <c r="B5730" t="s">
        <v>275</v>
      </c>
      <c r="C5730" t="s">
        <v>5960</v>
      </c>
    </row>
    <row r="5731" spans="1:3" x14ac:dyDescent="0.35">
      <c r="A5731" t="s">
        <v>217</v>
      </c>
      <c r="B5731" t="s">
        <v>275</v>
      </c>
      <c r="C5731" t="s">
        <v>5961</v>
      </c>
    </row>
    <row r="5732" spans="1:3" x14ac:dyDescent="0.35">
      <c r="A5732" t="s">
        <v>217</v>
      </c>
      <c r="B5732" t="s">
        <v>275</v>
      </c>
      <c r="C5732" t="s">
        <v>5962</v>
      </c>
    </row>
    <row r="5733" spans="1:3" x14ac:dyDescent="0.35">
      <c r="A5733" t="s">
        <v>217</v>
      </c>
      <c r="B5733" t="s">
        <v>275</v>
      </c>
      <c r="C5733" t="s">
        <v>5963</v>
      </c>
    </row>
    <row r="5734" spans="1:3" x14ac:dyDescent="0.35">
      <c r="A5734" t="s">
        <v>217</v>
      </c>
      <c r="B5734" t="s">
        <v>275</v>
      </c>
      <c r="C5734" t="s">
        <v>5964</v>
      </c>
    </row>
    <row r="5735" spans="1:3" x14ac:dyDescent="0.35">
      <c r="A5735" t="s">
        <v>217</v>
      </c>
      <c r="B5735" t="s">
        <v>275</v>
      </c>
      <c r="C5735" t="s">
        <v>5965</v>
      </c>
    </row>
    <row r="5736" spans="1:3" x14ac:dyDescent="0.35">
      <c r="A5736" t="s">
        <v>217</v>
      </c>
      <c r="B5736" t="s">
        <v>275</v>
      </c>
      <c r="C5736" t="s">
        <v>5966</v>
      </c>
    </row>
    <row r="5737" spans="1:3" x14ac:dyDescent="0.35">
      <c r="A5737" t="s">
        <v>217</v>
      </c>
      <c r="B5737" t="s">
        <v>275</v>
      </c>
      <c r="C5737" t="s">
        <v>5967</v>
      </c>
    </row>
    <row r="5738" spans="1:3" x14ac:dyDescent="0.35">
      <c r="A5738" t="s">
        <v>217</v>
      </c>
      <c r="B5738" t="s">
        <v>275</v>
      </c>
      <c r="C5738" t="s">
        <v>5968</v>
      </c>
    </row>
    <row r="5739" spans="1:3" x14ac:dyDescent="0.35">
      <c r="A5739" t="s">
        <v>217</v>
      </c>
      <c r="B5739" t="s">
        <v>275</v>
      </c>
      <c r="C5739" t="s">
        <v>5969</v>
      </c>
    </row>
    <row r="5740" spans="1:3" x14ac:dyDescent="0.35">
      <c r="A5740" t="s">
        <v>217</v>
      </c>
      <c r="B5740" t="s">
        <v>275</v>
      </c>
      <c r="C5740" t="s">
        <v>5970</v>
      </c>
    </row>
    <row r="5741" spans="1:3" x14ac:dyDescent="0.35">
      <c r="A5741" t="s">
        <v>217</v>
      </c>
      <c r="B5741" t="s">
        <v>275</v>
      </c>
      <c r="C5741" t="s">
        <v>2869</v>
      </c>
    </row>
    <row r="5742" spans="1:3" x14ac:dyDescent="0.35">
      <c r="A5742" t="s">
        <v>217</v>
      </c>
      <c r="B5742" t="s">
        <v>275</v>
      </c>
      <c r="C5742" t="s">
        <v>5971</v>
      </c>
    </row>
    <row r="5743" spans="1:3" x14ac:dyDescent="0.35">
      <c r="A5743" t="s">
        <v>217</v>
      </c>
      <c r="B5743" t="s">
        <v>275</v>
      </c>
      <c r="C5743" t="s">
        <v>5972</v>
      </c>
    </row>
    <row r="5744" spans="1:3" x14ac:dyDescent="0.35">
      <c r="A5744" t="s">
        <v>217</v>
      </c>
      <c r="B5744" t="s">
        <v>275</v>
      </c>
      <c r="C5744" t="s">
        <v>5973</v>
      </c>
    </row>
    <row r="5745" spans="1:3" x14ac:dyDescent="0.35">
      <c r="A5745" t="s">
        <v>217</v>
      </c>
      <c r="B5745" t="s">
        <v>275</v>
      </c>
      <c r="C5745" t="s">
        <v>5974</v>
      </c>
    </row>
    <row r="5746" spans="1:3" x14ac:dyDescent="0.35">
      <c r="A5746" t="s">
        <v>217</v>
      </c>
      <c r="B5746" t="s">
        <v>275</v>
      </c>
      <c r="C5746" t="s">
        <v>5975</v>
      </c>
    </row>
    <row r="5747" spans="1:3" x14ac:dyDescent="0.35">
      <c r="A5747" t="s">
        <v>217</v>
      </c>
      <c r="B5747" t="s">
        <v>275</v>
      </c>
      <c r="C5747" t="s">
        <v>5976</v>
      </c>
    </row>
    <row r="5748" spans="1:3" x14ac:dyDescent="0.35">
      <c r="A5748" t="s">
        <v>217</v>
      </c>
      <c r="B5748" t="s">
        <v>275</v>
      </c>
      <c r="C5748" t="s">
        <v>5977</v>
      </c>
    </row>
    <row r="5749" spans="1:3" x14ac:dyDescent="0.35">
      <c r="A5749" t="s">
        <v>217</v>
      </c>
      <c r="B5749" t="s">
        <v>275</v>
      </c>
      <c r="C5749" t="s">
        <v>5978</v>
      </c>
    </row>
    <row r="5750" spans="1:3" x14ac:dyDescent="0.35">
      <c r="A5750" t="s">
        <v>217</v>
      </c>
      <c r="B5750" t="s">
        <v>275</v>
      </c>
      <c r="C5750" t="s">
        <v>5979</v>
      </c>
    </row>
    <row r="5751" spans="1:3" x14ac:dyDescent="0.35">
      <c r="A5751" t="s">
        <v>217</v>
      </c>
      <c r="B5751" t="s">
        <v>275</v>
      </c>
      <c r="C5751" t="s">
        <v>5980</v>
      </c>
    </row>
    <row r="5752" spans="1:3" x14ac:dyDescent="0.35">
      <c r="A5752" t="s">
        <v>217</v>
      </c>
      <c r="B5752" t="s">
        <v>275</v>
      </c>
      <c r="C5752" t="s">
        <v>5981</v>
      </c>
    </row>
    <row r="5753" spans="1:3" x14ac:dyDescent="0.35">
      <c r="A5753" t="s">
        <v>217</v>
      </c>
      <c r="B5753" t="s">
        <v>275</v>
      </c>
      <c r="C5753" t="s">
        <v>5982</v>
      </c>
    </row>
    <row r="5754" spans="1:3" x14ac:dyDescent="0.35">
      <c r="A5754" t="s">
        <v>217</v>
      </c>
      <c r="B5754" t="s">
        <v>275</v>
      </c>
      <c r="C5754" t="s">
        <v>5983</v>
      </c>
    </row>
    <row r="5755" spans="1:3" x14ac:dyDescent="0.35">
      <c r="A5755" t="s">
        <v>217</v>
      </c>
      <c r="B5755" t="s">
        <v>275</v>
      </c>
      <c r="C5755" t="s">
        <v>5984</v>
      </c>
    </row>
    <row r="5756" spans="1:3" x14ac:dyDescent="0.35">
      <c r="A5756" t="s">
        <v>217</v>
      </c>
      <c r="B5756" t="s">
        <v>275</v>
      </c>
      <c r="C5756" t="s">
        <v>5985</v>
      </c>
    </row>
    <row r="5757" spans="1:3" x14ac:dyDescent="0.35">
      <c r="A5757" t="s">
        <v>217</v>
      </c>
      <c r="B5757" t="s">
        <v>275</v>
      </c>
      <c r="C5757" t="s">
        <v>275</v>
      </c>
    </row>
    <row r="5758" spans="1:3" x14ac:dyDescent="0.35">
      <c r="A5758" t="s">
        <v>217</v>
      </c>
      <c r="B5758" t="s">
        <v>275</v>
      </c>
      <c r="C5758" t="s">
        <v>5986</v>
      </c>
    </row>
    <row r="5759" spans="1:3" x14ac:dyDescent="0.35">
      <c r="A5759" t="s">
        <v>217</v>
      </c>
      <c r="B5759" t="s">
        <v>275</v>
      </c>
      <c r="C5759" t="s">
        <v>5987</v>
      </c>
    </row>
    <row r="5760" spans="1:3" x14ac:dyDescent="0.35">
      <c r="A5760" t="s">
        <v>217</v>
      </c>
      <c r="B5760" t="s">
        <v>275</v>
      </c>
      <c r="C5760" t="s">
        <v>5988</v>
      </c>
    </row>
    <row r="5761" spans="1:3" x14ac:dyDescent="0.35">
      <c r="A5761" t="s">
        <v>217</v>
      </c>
      <c r="B5761" t="s">
        <v>275</v>
      </c>
      <c r="C5761" t="s">
        <v>5989</v>
      </c>
    </row>
    <row r="5762" spans="1:3" x14ac:dyDescent="0.35">
      <c r="A5762" t="s">
        <v>217</v>
      </c>
      <c r="B5762" t="s">
        <v>275</v>
      </c>
      <c r="C5762" t="s">
        <v>5990</v>
      </c>
    </row>
    <row r="5763" spans="1:3" x14ac:dyDescent="0.35">
      <c r="A5763" t="s">
        <v>217</v>
      </c>
      <c r="B5763" t="s">
        <v>275</v>
      </c>
      <c r="C5763" t="s">
        <v>5991</v>
      </c>
    </row>
    <row r="5764" spans="1:3" x14ac:dyDescent="0.35">
      <c r="A5764" t="s">
        <v>217</v>
      </c>
      <c r="B5764" t="s">
        <v>275</v>
      </c>
      <c r="C5764" t="s">
        <v>5992</v>
      </c>
    </row>
    <row r="5765" spans="1:3" x14ac:dyDescent="0.35">
      <c r="A5765" t="s">
        <v>217</v>
      </c>
      <c r="B5765" t="s">
        <v>275</v>
      </c>
      <c r="C5765" t="s">
        <v>5993</v>
      </c>
    </row>
    <row r="5766" spans="1:3" x14ac:dyDescent="0.35">
      <c r="A5766" t="s">
        <v>217</v>
      </c>
      <c r="B5766" t="s">
        <v>275</v>
      </c>
      <c r="C5766" t="s">
        <v>5994</v>
      </c>
    </row>
    <row r="5767" spans="1:3" x14ac:dyDescent="0.35">
      <c r="A5767" t="s">
        <v>217</v>
      </c>
      <c r="B5767" t="s">
        <v>275</v>
      </c>
      <c r="C5767" t="s">
        <v>5995</v>
      </c>
    </row>
    <row r="5768" spans="1:3" x14ac:dyDescent="0.35">
      <c r="A5768" t="s">
        <v>217</v>
      </c>
      <c r="B5768" t="s">
        <v>275</v>
      </c>
      <c r="C5768" t="s">
        <v>5996</v>
      </c>
    </row>
    <row r="5769" spans="1:3" x14ac:dyDescent="0.35">
      <c r="A5769" t="s">
        <v>217</v>
      </c>
      <c r="B5769" t="s">
        <v>275</v>
      </c>
      <c r="C5769" t="s">
        <v>5997</v>
      </c>
    </row>
    <row r="5770" spans="1:3" x14ac:dyDescent="0.35">
      <c r="A5770" t="s">
        <v>217</v>
      </c>
      <c r="B5770" t="s">
        <v>275</v>
      </c>
      <c r="C5770" t="s">
        <v>5998</v>
      </c>
    </row>
    <row r="5771" spans="1:3" x14ac:dyDescent="0.35">
      <c r="A5771" t="s">
        <v>217</v>
      </c>
      <c r="B5771" t="s">
        <v>275</v>
      </c>
      <c r="C5771" t="s">
        <v>5999</v>
      </c>
    </row>
    <row r="5772" spans="1:3" x14ac:dyDescent="0.35">
      <c r="A5772" t="s">
        <v>217</v>
      </c>
      <c r="B5772" t="s">
        <v>275</v>
      </c>
      <c r="C5772" t="s">
        <v>6000</v>
      </c>
    </row>
    <row r="5773" spans="1:3" x14ac:dyDescent="0.35">
      <c r="A5773" t="s">
        <v>217</v>
      </c>
      <c r="B5773" t="s">
        <v>275</v>
      </c>
      <c r="C5773" t="s">
        <v>6001</v>
      </c>
    </row>
    <row r="5774" spans="1:3" x14ac:dyDescent="0.35">
      <c r="A5774" t="s">
        <v>217</v>
      </c>
      <c r="B5774" t="s">
        <v>275</v>
      </c>
      <c r="C5774" t="s">
        <v>6002</v>
      </c>
    </row>
    <row r="5775" spans="1:3" x14ac:dyDescent="0.35">
      <c r="A5775" t="s">
        <v>217</v>
      </c>
      <c r="B5775" t="s">
        <v>275</v>
      </c>
      <c r="C5775" t="s">
        <v>6003</v>
      </c>
    </row>
    <row r="5776" spans="1:3" x14ac:dyDescent="0.35">
      <c r="A5776" t="s">
        <v>217</v>
      </c>
      <c r="B5776" t="s">
        <v>275</v>
      </c>
      <c r="C5776" t="s">
        <v>6004</v>
      </c>
    </row>
    <row r="5777" spans="1:3" x14ac:dyDescent="0.35">
      <c r="A5777" t="s">
        <v>217</v>
      </c>
      <c r="B5777" t="s">
        <v>275</v>
      </c>
      <c r="C5777" t="s">
        <v>6005</v>
      </c>
    </row>
    <row r="5778" spans="1:3" x14ac:dyDescent="0.35">
      <c r="A5778" t="s">
        <v>217</v>
      </c>
      <c r="B5778" t="s">
        <v>275</v>
      </c>
      <c r="C5778" t="s">
        <v>6006</v>
      </c>
    </row>
    <row r="5779" spans="1:3" x14ac:dyDescent="0.35">
      <c r="A5779" t="s">
        <v>217</v>
      </c>
      <c r="B5779" t="s">
        <v>275</v>
      </c>
      <c r="C5779" t="s">
        <v>6007</v>
      </c>
    </row>
    <row r="5780" spans="1:3" x14ac:dyDescent="0.35">
      <c r="A5780" t="s">
        <v>217</v>
      </c>
      <c r="B5780" t="s">
        <v>275</v>
      </c>
      <c r="C5780" t="s">
        <v>6008</v>
      </c>
    </row>
    <row r="5781" spans="1:3" x14ac:dyDescent="0.35">
      <c r="A5781" t="s">
        <v>217</v>
      </c>
      <c r="B5781" t="s">
        <v>275</v>
      </c>
      <c r="C5781" t="s">
        <v>6009</v>
      </c>
    </row>
    <row r="5782" spans="1:3" x14ac:dyDescent="0.35">
      <c r="A5782" t="s">
        <v>217</v>
      </c>
      <c r="B5782" t="s">
        <v>275</v>
      </c>
      <c r="C5782" t="s">
        <v>6010</v>
      </c>
    </row>
    <row r="5783" spans="1:3" x14ac:dyDescent="0.35">
      <c r="A5783" t="s">
        <v>217</v>
      </c>
      <c r="B5783" t="s">
        <v>275</v>
      </c>
      <c r="C5783" t="s">
        <v>6011</v>
      </c>
    </row>
    <row r="5784" spans="1:3" x14ac:dyDescent="0.35">
      <c r="A5784" t="s">
        <v>217</v>
      </c>
      <c r="B5784" t="s">
        <v>275</v>
      </c>
      <c r="C5784" t="s">
        <v>6012</v>
      </c>
    </row>
    <row r="5785" spans="1:3" x14ac:dyDescent="0.35">
      <c r="A5785" t="s">
        <v>217</v>
      </c>
      <c r="B5785" t="s">
        <v>275</v>
      </c>
      <c r="C5785" t="s">
        <v>6013</v>
      </c>
    </row>
    <row r="5786" spans="1:3" x14ac:dyDescent="0.35">
      <c r="A5786" t="s">
        <v>217</v>
      </c>
      <c r="B5786" t="s">
        <v>275</v>
      </c>
      <c r="C5786" t="s">
        <v>6014</v>
      </c>
    </row>
    <row r="5787" spans="1:3" x14ac:dyDescent="0.35">
      <c r="A5787" t="s">
        <v>217</v>
      </c>
      <c r="B5787" t="s">
        <v>275</v>
      </c>
      <c r="C5787" t="s">
        <v>6015</v>
      </c>
    </row>
    <row r="5788" spans="1:3" x14ac:dyDescent="0.35">
      <c r="A5788" t="s">
        <v>217</v>
      </c>
      <c r="B5788" t="s">
        <v>275</v>
      </c>
      <c r="C5788" t="s">
        <v>6016</v>
      </c>
    </row>
    <row r="5789" spans="1:3" x14ac:dyDescent="0.35">
      <c r="A5789" t="s">
        <v>217</v>
      </c>
      <c r="B5789" t="s">
        <v>275</v>
      </c>
      <c r="C5789" t="s">
        <v>6017</v>
      </c>
    </row>
    <row r="5790" spans="1:3" x14ac:dyDescent="0.35">
      <c r="A5790" t="s">
        <v>217</v>
      </c>
      <c r="B5790" t="s">
        <v>275</v>
      </c>
      <c r="C5790" t="s">
        <v>6018</v>
      </c>
    </row>
    <row r="5791" spans="1:3" x14ac:dyDescent="0.35">
      <c r="A5791" t="s">
        <v>217</v>
      </c>
      <c r="B5791" t="s">
        <v>275</v>
      </c>
      <c r="C5791" t="s">
        <v>6019</v>
      </c>
    </row>
    <row r="5792" spans="1:3" x14ac:dyDescent="0.35">
      <c r="A5792" t="s">
        <v>217</v>
      </c>
      <c r="B5792" t="s">
        <v>275</v>
      </c>
      <c r="C5792" t="s">
        <v>6020</v>
      </c>
    </row>
    <row r="5793" spans="1:3" x14ac:dyDescent="0.35">
      <c r="A5793" t="s">
        <v>217</v>
      </c>
      <c r="B5793" t="s">
        <v>275</v>
      </c>
      <c r="C5793" t="s">
        <v>6021</v>
      </c>
    </row>
    <row r="5794" spans="1:3" x14ac:dyDescent="0.35">
      <c r="A5794" t="s">
        <v>217</v>
      </c>
      <c r="B5794" t="s">
        <v>275</v>
      </c>
      <c r="C5794" t="s">
        <v>6022</v>
      </c>
    </row>
    <row r="5795" spans="1:3" x14ac:dyDescent="0.35">
      <c r="A5795" t="s">
        <v>217</v>
      </c>
      <c r="B5795" t="s">
        <v>275</v>
      </c>
      <c r="C5795" t="s">
        <v>6023</v>
      </c>
    </row>
    <row r="5796" spans="1:3" x14ac:dyDescent="0.35">
      <c r="A5796" t="s">
        <v>217</v>
      </c>
      <c r="B5796" t="s">
        <v>275</v>
      </c>
      <c r="C5796" t="s">
        <v>6024</v>
      </c>
    </row>
    <row r="5797" spans="1:3" x14ac:dyDescent="0.35">
      <c r="A5797" t="s">
        <v>217</v>
      </c>
      <c r="B5797" t="s">
        <v>275</v>
      </c>
      <c r="C5797" t="s">
        <v>6025</v>
      </c>
    </row>
    <row r="5798" spans="1:3" x14ac:dyDescent="0.35">
      <c r="A5798" t="s">
        <v>217</v>
      </c>
      <c r="B5798" t="s">
        <v>275</v>
      </c>
      <c r="C5798" t="s">
        <v>6026</v>
      </c>
    </row>
    <row r="5799" spans="1:3" x14ac:dyDescent="0.35">
      <c r="A5799" t="s">
        <v>217</v>
      </c>
      <c r="B5799" t="s">
        <v>275</v>
      </c>
      <c r="C5799" t="s">
        <v>6027</v>
      </c>
    </row>
    <row r="5800" spans="1:3" x14ac:dyDescent="0.35">
      <c r="A5800" t="s">
        <v>217</v>
      </c>
      <c r="B5800" t="s">
        <v>275</v>
      </c>
      <c r="C5800" t="s">
        <v>6028</v>
      </c>
    </row>
    <row r="5801" spans="1:3" x14ac:dyDescent="0.35">
      <c r="A5801" t="s">
        <v>217</v>
      </c>
      <c r="B5801" t="s">
        <v>275</v>
      </c>
      <c r="C5801" t="s">
        <v>6029</v>
      </c>
    </row>
    <row r="5802" spans="1:3" x14ac:dyDescent="0.35">
      <c r="A5802" t="s">
        <v>217</v>
      </c>
      <c r="B5802" t="s">
        <v>275</v>
      </c>
      <c r="C5802" t="s">
        <v>6030</v>
      </c>
    </row>
    <row r="5803" spans="1:3" x14ac:dyDescent="0.35">
      <c r="A5803" t="s">
        <v>217</v>
      </c>
      <c r="B5803" t="s">
        <v>275</v>
      </c>
      <c r="C5803" t="s">
        <v>6031</v>
      </c>
    </row>
    <row r="5804" spans="1:3" x14ac:dyDescent="0.35">
      <c r="A5804" t="s">
        <v>217</v>
      </c>
      <c r="B5804" t="s">
        <v>275</v>
      </c>
      <c r="C5804" t="s">
        <v>6032</v>
      </c>
    </row>
    <row r="5805" spans="1:3" x14ac:dyDescent="0.35">
      <c r="A5805" t="s">
        <v>217</v>
      </c>
      <c r="B5805" t="s">
        <v>275</v>
      </c>
      <c r="C5805" t="s">
        <v>6033</v>
      </c>
    </row>
    <row r="5806" spans="1:3" x14ac:dyDescent="0.35">
      <c r="A5806" t="s">
        <v>217</v>
      </c>
      <c r="B5806" t="s">
        <v>275</v>
      </c>
      <c r="C5806" t="s">
        <v>6034</v>
      </c>
    </row>
    <row r="5807" spans="1:3" x14ac:dyDescent="0.35">
      <c r="A5807" t="s">
        <v>217</v>
      </c>
      <c r="B5807" t="s">
        <v>275</v>
      </c>
      <c r="C5807" t="s">
        <v>6035</v>
      </c>
    </row>
    <row r="5808" spans="1:3" x14ac:dyDescent="0.35">
      <c r="A5808" t="s">
        <v>217</v>
      </c>
      <c r="B5808" t="s">
        <v>275</v>
      </c>
      <c r="C5808" t="s">
        <v>6036</v>
      </c>
    </row>
    <row r="5809" spans="1:3" x14ac:dyDescent="0.35">
      <c r="A5809" t="s">
        <v>217</v>
      </c>
      <c r="B5809" t="s">
        <v>275</v>
      </c>
      <c r="C5809" t="s">
        <v>6037</v>
      </c>
    </row>
    <row r="5810" spans="1:3" x14ac:dyDescent="0.35">
      <c r="A5810" t="s">
        <v>217</v>
      </c>
      <c r="B5810" t="s">
        <v>275</v>
      </c>
      <c r="C5810" t="s">
        <v>6038</v>
      </c>
    </row>
    <row r="5811" spans="1:3" x14ac:dyDescent="0.35">
      <c r="A5811" t="s">
        <v>217</v>
      </c>
      <c r="B5811" t="s">
        <v>275</v>
      </c>
      <c r="C5811" t="s">
        <v>6039</v>
      </c>
    </row>
    <row r="5812" spans="1:3" x14ac:dyDescent="0.35">
      <c r="A5812" t="s">
        <v>217</v>
      </c>
      <c r="B5812" t="s">
        <v>275</v>
      </c>
      <c r="C5812" t="s">
        <v>6040</v>
      </c>
    </row>
    <row r="5813" spans="1:3" x14ac:dyDescent="0.35">
      <c r="A5813" t="s">
        <v>217</v>
      </c>
      <c r="B5813" t="s">
        <v>275</v>
      </c>
      <c r="C5813" t="s">
        <v>6041</v>
      </c>
    </row>
    <row r="5814" spans="1:3" x14ac:dyDescent="0.35">
      <c r="A5814" t="s">
        <v>217</v>
      </c>
      <c r="B5814" t="s">
        <v>275</v>
      </c>
      <c r="C5814" t="s">
        <v>6042</v>
      </c>
    </row>
    <row r="5815" spans="1:3" x14ac:dyDescent="0.35">
      <c r="A5815" t="s">
        <v>217</v>
      </c>
      <c r="B5815" t="s">
        <v>275</v>
      </c>
      <c r="C5815" t="s">
        <v>6043</v>
      </c>
    </row>
    <row r="5816" spans="1:3" x14ac:dyDescent="0.35">
      <c r="A5816" t="s">
        <v>217</v>
      </c>
      <c r="B5816" t="s">
        <v>275</v>
      </c>
      <c r="C5816" t="s">
        <v>6044</v>
      </c>
    </row>
    <row r="5817" spans="1:3" x14ac:dyDescent="0.35">
      <c r="A5817" t="s">
        <v>217</v>
      </c>
      <c r="B5817" t="s">
        <v>275</v>
      </c>
      <c r="C5817" t="s">
        <v>6045</v>
      </c>
    </row>
    <row r="5818" spans="1:3" x14ac:dyDescent="0.35">
      <c r="A5818" t="s">
        <v>217</v>
      </c>
      <c r="B5818" t="s">
        <v>275</v>
      </c>
      <c r="C5818" t="s">
        <v>6046</v>
      </c>
    </row>
    <row r="5819" spans="1:3" x14ac:dyDescent="0.35">
      <c r="A5819" t="s">
        <v>217</v>
      </c>
      <c r="B5819" t="s">
        <v>280</v>
      </c>
      <c r="C5819" t="s">
        <v>6047</v>
      </c>
    </row>
    <row r="5820" spans="1:3" x14ac:dyDescent="0.35">
      <c r="A5820" t="s">
        <v>217</v>
      </c>
      <c r="B5820" t="s">
        <v>280</v>
      </c>
      <c r="C5820" t="s">
        <v>6048</v>
      </c>
    </row>
    <row r="5821" spans="1:3" x14ac:dyDescent="0.35">
      <c r="A5821" t="s">
        <v>217</v>
      </c>
      <c r="B5821" t="s">
        <v>280</v>
      </c>
      <c r="C5821" t="s">
        <v>6049</v>
      </c>
    </row>
    <row r="5822" spans="1:3" x14ac:dyDescent="0.35">
      <c r="A5822" t="s">
        <v>217</v>
      </c>
      <c r="B5822" t="s">
        <v>280</v>
      </c>
      <c r="C5822" t="s">
        <v>6050</v>
      </c>
    </row>
    <row r="5823" spans="1:3" x14ac:dyDescent="0.35">
      <c r="A5823" t="s">
        <v>217</v>
      </c>
      <c r="B5823" t="s">
        <v>280</v>
      </c>
      <c r="C5823" t="s">
        <v>6051</v>
      </c>
    </row>
    <row r="5824" spans="1:3" x14ac:dyDescent="0.35">
      <c r="A5824" t="s">
        <v>217</v>
      </c>
      <c r="B5824" t="s">
        <v>280</v>
      </c>
      <c r="C5824" t="s">
        <v>6052</v>
      </c>
    </row>
    <row r="5825" spans="1:3" x14ac:dyDescent="0.35">
      <c r="A5825" t="s">
        <v>217</v>
      </c>
      <c r="B5825" t="s">
        <v>280</v>
      </c>
      <c r="C5825" t="s">
        <v>6053</v>
      </c>
    </row>
    <row r="5826" spans="1:3" x14ac:dyDescent="0.35">
      <c r="A5826" t="s">
        <v>217</v>
      </c>
      <c r="B5826" t="s">
        <v>280</v>
      </c>
      <c r="C5826" t="s">
        <v>6054</v>
      </c>
    </row>
    <row r="5827" spans="1:3" x14ac:dyDescent="0.35">
      <c r="A5827" t="s">
        <v>217</v>
      </c>
      <c r="B5827" t="s">
        <v>280</v>
      </c>
      <c r="C5827" t="s">
        <v>6055</v>
      </c>
    </row>
    <row r="5828" spans="1:3" x14ac:dyDescent="0.35">
      <c r="A5828" t="s">
        <v>217</v>
      </c>
      <c r="B5828" t="s">
        <v>280</v>
      </c>
      <c r="C5828" t="s">
        <v>6056</v>
      </c>
    </row>
    <row r="5829" spans="1:3" x14ac:dyDescent="0.35">
      <c r="A5829" t="s">
        <v>217</v>
      </c>
      <c r="B5829" t="s">
        <v>280</v>
      </c>
      <c r="C5829" t="s">
        <v>6057</v>
      </c>
    </row>
    <row r="5830" spans="1:3" x14ac:dyDescent="0.35">
      <c r="A5830" t="s">
        <v>217</v>
      </c>
      <c r="B5830" t="s">
        <v>280</v>
      </c>
      <c r="C5830" t="s">
        <v>6058</v>
      </c>
    </row>
    <row r="5831" spans="1:3" x14ac:dyDescent="0.35">
      <c r="A5831" t="s">
        <v>217</v>
      </c>
      <c r="B5831" t="s">
        <v>280</v>
      </c>
      <c r="C5831" t="s">
        <v>6059</v>
      </c>
    </row>
    <row r="5832" spans="1:3" x14ac:dyDescent="0.35">
      <c r="A5832" t="s">
        <v>217</v>
      </c>
      <c r="B5832" t="s">
        <v>280</v>
      </c>
      <c r="C5832" t="s">
        <v>6060</v>
      </c>
    </row>
    <row r="5833" spans="1:3" x14ac:dyDescent="0.35">
      <c r="A5833" t="s">
        <v>217</v>
      </c>
      <c r="B5833" t="s">
        <v>280</v>
      </c>
      <c r="C5833" t="s">
        <v>6061</v>
      </c>
    </row>
    <row r="5834" spans="1:3" x14ac:dyDescent="0.35">
      <c r="A5834" t="s">
        <v>217</v>
      </c>
      <c r="B5834" t="s">
        <v>280</v>
      </c>
      <c r="C5834" t="s">
        <v>6062</v>
      </c>
    </row>
    <row r="5835" spans="1:3" x14ac:dyDescent="0.35">
      <c r="A5835" t="s">
        <v>217</v>
      </c>
      <c r="B5835" t="s">
        <v>280</v>
      </c>
      <c r="C5835" t="s">
        <v>6063</v>
      </c>
    </row>
    <row r="5836" spans="1:3" x14ac:dyDescent="0.35">
      <c r="A5836" t="s">
        <v>217</v>
      </c>
      <c r="B5836" t="s">
        <v>280</v>
      </c>
      <c r="C5836" t="s">
        <v>6064</v>
      </c>
    </row>
    <row r="5837" spans="1:3" x14ac:dyDescent="0.35">
      <c r="A5837" t="s">
        <v>217</v>
      </c>
      <c r="B5837" t="s">
        <v>280</v>
      </c>
      <c r="C5837" t="s">
        <v>6065</v>
      </c>
    </row>
    <row r="5838" spans="1:3" x14ac:dyDescent="0.35">
      <c r="A5838" t="s">
        <v>217</v>
      </c>
      <c r="B5838" t="s">
        <v>280</v>
      </c>
      <c r="C5838" t="s">
        <v>6066</v>
      </c>
    </row>
    <row r="5839" spans="1:3" x14ac:dyDescent="0.35">
      <c r="A5839" t="s">
        <v>217</v>
      </c>
      <c r="B5839" t="s">
        <v>280</v>
      </c>
      <c r="C5839" t="s">
        <v>6067</v>
      </c>
    </row>
    <row r="5840" spans="1:3" x14ac:dyDescent="0.35">
      <c r="A5840" t="s">
        <v>217</v>
      </c>
      <c r="B5840" t="s">
        <v>280</v>
      </c>
      <c r="C5840" t="s">
        <v>6068</v>
      </c>
    </row>
    <row r="5841" spans="1:3" x14ac:dyDescent="0.35">
      <c r="A5841" t="s">
        <v>217</v>
      </c>
      <c r="B5841" t="s">
        <v>280</v>
      </c>
      <c r="C5841" t="s">
        <v>6069</v>
      </c>
    </row>
    <row r="5842" spans="1:3" x14ac:dyDescent="0.35">
      <c r="A5842" t="s">
        <v>217</v>
      </c>
      <c r="B5842" t="s">
        <v>280</v>
      </c>
      <c r="C5842" t="s">
        <v>6070</v>
      </c>
    </row>
    <row r="5843" spans="1:3" x14ac:dyDescent="0.35">
      <c r="A5843" t="s">
        <v>217</v>
      </c>
      <c r="B5843" t="s">
        <v>280</v>
      </c>
      <c r="C5843" t="s">
        <v>6071</v>
      </c>
    </row>
    <row r="5844" spans="1:3" x14ac:dyDescent="0.35">
      <c r="A5844" t="s">
        <v>217</v>
      </c>
      <c r="B5844" t="s">
        <v>280</v>
      </c>
      <c r="C5844" t="s">
        <v>6072</v>
      </c>
    </row>
    <row r="5845" spans="1:3" x14ac:dyDescent="0.35">
      <c r="A5845" t="s">
        <v>217</v>
      </c>
      <c r="B5845" t="s">
        <v>280</v>
      </c>
      <c r="C5845" t="s">
        <v>6073</v>
      </c>
    </row>
    <row r="5846" spans="1:3" x14ac:dyDescent="0.35">
      <c r="A5846" t="s">
        <v>217</v>
      </c>
      <c r="B5846" t="s">
        <v>280</v>
      </c>
      <c r="C5846" t="s">
        <v>280</v>
      </c>
    </row>
    <row r="5847" spans="1:3" x14ac:dyDescent="0.35">
      <c r="A5847" t="s">
        <v>217</v>
      </c>
      <c r="B5847" t="s">
        <v>280</v>
      </c>
      <c r="C5847" t="s">
        <v>6074</v>
      </c>
    </row>
    <row r="5848" spans="1:3" x14ac:dyDescent="0.35">
      <c r="A5848" t="s">
        <v>218</v>
      </c>
      <c r="B5848" t="s">
        <v>50</v>
      </c>
      <c r="C5848" t="s">
        <v>6075</v>
      </c>
    </row>
    <row r="5849" spans="1:3" x14ac:dyDescent="0.35">
      <c r="A5849" t="s">
        <v>218</v>
      </c>
      <c r="B5849" t="s">
        <v>50</v>
      </c>
      <c r="C5849" t="s">
        <v>50</v>
      </c>
    </row>
    <row r="5850" spans="1:3" x14ac:dyDescent="0.35">
      <c r="A5850" t="s">
        <v>218</v>
      </c>
      <c r="B5850" t="s">
        <v>50</v>
      </c>
      <c r="C5850" t="s">
        <v>6076</v>
      </c>
    </row>
    <row r="5851" spans="1:3" x14ac:dyDescent="0.35">
      <c r="A5851" t="s">
        <v>218</v>
      </c>
      <c r="B5851" t="s">
        <v>50</v>
      </c>
      <c r="C5851" t="s">
        <v>6077</v>
      </c>
    </row>
    <row r="5852" spans="1:3" x14ac:dyDescent="0.35">
      <c r="A5852" t="s">
        <v>218</v>
      </c>
      <c r="B5852" t="s">
        <v>50</v>
      </c>
      <c r="C5852" t="s">
        <v>6078</v>
      </c>
    </row>
    <row r="5853" spans="1:3" x14ac:dyDescent="0.35">
      <c r="A5853" t="s">
        <v>218</v>
      </c>
      <c r="B5853" t="s">
        <v>50</v>
      </c>
      <c r="C5853" t="s">
        <v>6079</v>
      </c>
    </row>
    <row r="5854" spans="1:3" x14ac:dyDescent="0.35">
      <c r="A5854" t="s">
        <v>218</v>
      </c>
      <c r="B5854" t="s">
        <v>50</v>
      </c>
      <c r="C5854" t="s">
        <v>6080</v>
      </c>
    </row>
    <row r="5855" spans="1:3" x14ac:dyDescent="0.35">
      <c r="A5855" t="s">
        <v>218</v>
      </c>
      <c r="B5855" t="s">
        <v>50</v>
      </c>
      <c r="C5855" t="s">
        <v>6081</v>
      </c>
    </row>
    <row r="5856" spans="1:3" x14ac:dyDescent="0.35">
      <c r="A5856" t="s">
        <v>218</v>
      </c>
      <c r="B5856" t="s">
        <v>50</v>
      </c>
      <c r="C5856" t="s">
        <v>6082</v>
      </c>
    </row>
    <row r="5857" spans="1:3" x14ac:dyDescent="0.35">
      <c r="A5857" t="s">
        <v>218</v>
      </c>
      <c r="B5857" t="s">
        <v>50</v>
      </c>
      <c r="C5857" t="s">
        <v>6083</v>
      </c>
    </row>
    <row r="5858" spans="1:3" x14ac:dyDescent="0.35">
      <c r="A5858" t="s">
        <v>218</v>
      </c>
      <c r="B5858" t="s">
        <v>50</v>
      </c>
      <c r="C5858" t="s">
        <v>6084</v>
      </c>
    </row>
    <row r="5859" spans="1:3" x14ac:dyDescent="0.35">
      <c r="A5859" t="s">
        <v>218</v>
      </c>
      <c r="B5859" t="s">
        <v>50</v>
      </c>
      <c r="C5859" t="s">
        <v>6085</v>
      </c>
    </row>
    <row r="5860" spans="1:3" x14ac:dyDescent="0.35">
      <c r="A5860" t="s">
        <v>218</v>
      </c>
      <c r="B5860" t="s">
        <v>50</v>
      </c>
      <c r="C5860" t="s">
        <v>6086</v>
      </c>
    </row>
    <row r="5861" spans="1:3" x14ac:dyDescent="0.35">
      <c r="A5861" t="s">
        <v>218</v>
      </c>
      <c r="B5861" t="s">
        <v>50</v>
      </c>
      <c r="C5861" t="s">
        <v>6087</v>
      </c>
    </row>
    <row r="5862" spans="1:3" x14ac:dyDescent="0.35">
      <c r="A5862" t="s">
        <v>218</v>
      </c>
      <c r="B5862" t="s">
        <v>50</v>
      </c>
      <c r="C5862" t="s">
        <v>6088</v>
      </c>
    </row>
    <row r="5863" spans="1:3" x14ac:dyDescent="0.35">
      <c r="A5863" t="s">
        <v>218</v>
      </c>
      <c r="B5863" t="s">
        <v>50</v>
      </c>
      <c r="C5863" t="s">
        <v>6089</v>
      </c>
    </row>
    <row r="5864" spans="1:3" x14ac:dyDescent="0.35">
      <c r="A5864" t="s">
        <v>218</v>
      </c>
      <c r="B5864" t="s">
        <v>50</v>
      </c>
      <c r="C5864" t="s">
        <v>6090</v>
      </c>
    </row>
    <row r="5865" spans="1:3" x14ac:dyDescent="0.35">
      <c r="A5865" t="s">
        <v>218</v>
      </c>
      <c r="B5865" t="s">
        <v>246</v>
      </c>
      <c r="C5865" t="s">
        <v>6091</v>
      </c>
    </row>
    <row r="5866" spans="1:3" x14ac:dyDescent="0.35">
      <c r="A5866" t="s">
        <v>218</v>
      </c>
      <c r="B5866" t="s">
        <v>246</v>
      </c>
      <c r="C5866" t="s">
        <v>6092</v>
      </c>
    </row>
    <row r="5867" spans="1:3" x14ac:dyDescent="0.35">
      <c r="A5867" t="s">
        <v>218</v>
      </c>
      <c r="B5867" t="s">
        <v>246</v>
      </c>
      <c r="C5867" t="s">
        <v>6093</v>
      </c>
    </row>
    <row r="5868" spans="1:3" x14ac:dyDescent="0.35">
      <c r="A5868" t="s">
        <v>218</v>
      </c>
      <c r="B5868" t="s">
        <v>246</v>
      </c>
      <c r="C5868" t="s">
        <v>6094</v>
      </c>
    </row>
    <row r="5869" spans="1:3" x14ac:dyDescent="0.35">
      <c r="A5869" t="s">
        <v>218</v>
      </c>
      <c r="B5869" t="s">
        <v>246</v>
      </c>
      <c r="C5869" t="s">
        <v>6095</v>
      </c>
    </row>
    <row r="5870" spans="1:3" x14ac:dyDescent="0.35">
      <c r="A5870" t="s">
        <v>218</v>
      </c>
      <c r="B5870" t="s">
        <v>246</v>
      </c>
      <c r="C5870" t="s">
        <v>6096</v>
      </c>
    </row>
    <row r="5871" spans="1:3" x14ac:dyDescent="0.35">
      <c r="A5871" t="s">
        <v>218</v>
      </c>
      <c r="B5871" t="s">
        <v>246</v>
      </c>
      <c r="C5871" t="s">
        <v>6097</v>
      </c>
    </row>
    <row r="5872" spans="1:3" x14ac:dyDescent="0.35">
      <c r="A5872" t="s">
        <v>218</v>
      </c>
      <c r="B5872" t="s">
        <v>246</v>
      </c>
      <c r="C5872" t="s">
        <v>6098</v>
      </c>
    </row>
    <row r="5873" spans="1:3" x14ac:dyDescent="0.35">
      <c r="A5873" t="s">
        <v>218</v>
      </c>
      <c r="B5873" t="s">
        <v>246</v>
      </c>
      <c r="C5873" t="s">
        <v>6099</v>
      </c>
    </row>
    <row r="5874" spans="1:3" x14ac:dyDescent="0.35">
      <c r="A5874" t="s">
        <v>218</v>
      </c>
      <c r="B5874" t="s">
        <v>246</v>
      </c>
      <c r="C5874" t="s">
        <v>6100</v>
      </c>
    </row>
    <row r="5875" spans="1:3" x14ac:dyDescent="0.35">
      <c r="A5875" t="s">
        <v>218</v>
      </c>
      <c r="B5875" t="s">
        <v>246</v>
      </c>
      <c r="C5875" t="s">
        <v>6101</v>
      </c>
    </row>
    <row r="5876" spans="1:3" x14ac:dyDescent="0.35">
      <c r="A5876" t="s">
        <v>218</v>
      </c>
      <c r="B5876" t="s">
        <v>246</v>
      </c>
      <c r="C5876" t="s">
        <v>6102</v>
      </c>
    </row>
    <row r="5877" spans="1:3" x14ac:dyDescent="0.35">
      <c r="A5877" t="s">
        <v>218</v>
      </c>
      <c r="B5877" t="s">
        <v>246</v>
      </c>
      <c r="C5877" t="s">
        <v>6103</v>
      </c>
    </row>
    <row r="5878" spans="1:3" x14ac:dyDescent="0.35">
      <c r="A5878" t="s">
        <v>218</v>
      </c>
      <c r="B5878" t="s">
        <v>246</v>
      </c>
      <c r="C5878" t="s">
        <v>6104</v>
      </c>
    </row>
    <row r="5879" spans="1:3" x14ac:dyDescent="0.35">
      <c r="A5879" t="s">
        <v>218</v>
      </c>
      <c r="B5879" t="s">
        <v>246</v>
      </c>
      <c r="C5879" t="s">
        <v>6105</v>
      </c>
    </row>
    <row r="5880" spans="1:3" x14ac:dyDescent="0.35">
      <c r="A5880" t="s">
        <v>218</v>
      </c>
      <c r="B5880" t="s">
        <v>246</v>
      </c>
      <c r="C5880" t="s">
        <v>6106</v>
      </c>
    </row>
    <row r="5881" spans="1:3" x14ac:dyDescent="0.35">
      <c r="A5881" t="s">
        <v>218</v>
      </c>
      <c r="B5881" t="s">
        <v>246</v>
      </c>
      <c r="C5881" t="s">
        <v>6107</v>
      </c>
    </row>
    <row r="5882" spans="1:3" x14ac:dyDescent="0.35">
      <c r="A5882" t="s">
        <v>218</v>
      </c>
      <c r="B5882" t="s">
        <v>246</v>
      </c>
      <c r="C5882" t="s">
        <v>6108</v>
      </c>
    </row>
    <row r="5883" spans="1:3" x14ac:dyDescent="0.35">
      <c r="A5883" t="s">
        <v>218</v>
      </c>
      <c r="B5883" t="s">
        <v>246</v>
      </c>
      <c r="C5883" t="s">
        <v>6109</v>
      </c>
    </row>
    <row r="5884" spans="1:3" x14ac:dyDescent="0.35">
      <c r="A5884" t="s">
        <v>218</v>
      </c>
      <c r="B5884" t="s">
        <v>246</v>
      </c>
      <c r="C5884" t="s">
        <v>6110</v>
      </c>
    </row>
    <row r="5885" spans="1:3" x14ac:dyDescent="0.35">
      <c r="A5885" t="s">
        <v>218</v>
      </c>
      <c r="B5885" t="s">
        <v>246</v>
      </c>
      <c r="C5885" t="s">
        <v>6111</v>
      </c>
    </row>
    <row r="5886" spans="1:3" x14ac:dyDescent="0.35">
      <c r="A5886" t="s">
        <v>218</v>
      </c>
      <c r="B5886" t="s">
        <v>246</v>
      </c>
      <c r="C5886" t="s">
        <v>6112</v>
      </c>
    </row>
    <row r="5887" spans="1:3" x14ac:dyDescent="0.35">
      <c r="A5887" t="s">
        <v>218</v>
      </c>
      <c r="B5887" t="s">
        <v>246</v>
      </c>
      <c r="C5887" t="s">
        <v>6113</v>
      </c>
    </row>
    <row r="5888" spans="1:3" x14ac:dyDescent="0.35">
      <c r="A5888" t="s">
        <v>218</v>
      </c>
      <c r="B5888" t="s">
        <v>246</v>
      </c>
      <c r="C5888" t="s">
        <v>6114</v>
      </c>
    </row>
    <row r="5889" spans="1:3" x14ac:dyDescent="0.35">
      <c r="A5889" t="s">
        <v>218</v>
      </c>
      <c r="B5889" t="s">
        <v>246</v>
      </c>
      <c r="C5889" t="s">
        <v>6115</v>
      </c>
    </row>
    <row r="5890" spans="1:3" x14ac:dyDescent="0.35">
      <c r="A5890" t="s">
        <v>218</v>
      </c>
      <c r="B5890" t="s">
        <v>246</v>
      </c>
      <c r="C5890" t="s">
        <v>6116</v>
      </c>
    </row>
    <row r="5891" spans="1:3" x14ac:dyDescent="0.35">
      <c r="A5891" t="s">
        <v>218</v>
      </c>
      <c r="B5891" t="s">
        <v>246</v>
      </c>
      <c r="C5891" t="s">
        <v>6117</v>
      </c>
    </row>
    <row r="5892" spans="1:3" x14ac:dyDescent="0.35">
      <c r="A5892" t="s">
        <v>218</v>
      </c>
      <c r="B5892" t="s">
        <v>246</v>
      </c>
      <c r="C5892" t="s">
        <v>6118</v>
      </c>
    </row>
    <row r="5893" spans="1:3" x14ac:dyDescent="0.35">
      <c r="A5893" t="s">
        <v>218</v>
      </c>
      <c r="B5893" t="s">
        <v>246</v>
      </c>
      <c r="C5893" t="s">
        <v>6119</v>
      </c>
    </row>
    <row r="5894" spans="1:3" x14ac:dyDescent="0.35">
      <c r="A5894" t="s">
        <v>218</v>
      </c>
      <c r="B5894" t="s">
        <v>246</v>
      </c>
      <c r="C5894" t="s">
        <v>6120</v>
      </c>
    </row>
    <row r="5895" spans="1:3" x14ac:dyDescent="0.35">
      <c r="A5895" t="s">
        <v>218</v>
      </c>
      <c r="B5895" t="s">
        <v>246</v>
      </c>
      <c r="C5895" t="s">
        <v>6121</v>
      </c>
    </row>
    <row r="5896" spans="1:3" x14ac:dyDescent="0.35">
      <c r="A5896" t="s">
        <v>218</v>
      </c>
      <c r="B5896" t="s">
        <v>246</v>
      </c>
      <c r="C5896" t="s">
        <v>6122</v>
      </c>
    </row>
    <row r="5897" spans="1:3" x14ac:dyDescent="0.35">
      <c r="A5897" t="s">
        <v>218</v>
      </c>
      <c r="B5897" t="s">
        <v>246</v>
      </c>
      <c r="C5897" t="s">
        <v>6123</v>
      </c>
    </row>
    <row r="5898" spans="1:3" x14ac:dyDescent="0.35">
      <c r="A5898" t="s">
        <v>218</v>
      </c>
      <c r="B5898" t="s">
        <v>246</v>
      </c>
      <c r="C5898" t="s">
        <v>6124</v>
      </c>
    </row>
    <row r="5899" spans="1:3" x14ac:dyDescent="0.35">
      <c r="A5899" t="s">
        <v>218</v>
      </c>
      <c r="B5899" t="s">
        <v>246</v>
      </c>
      <c r="C5899" t="s">
        <v>6125</v>
      </c>
    </row>
    <row r="5900" spans="1:3" x14ac:dyDescent="0.35">
      <c r="A5900" t="s">
        <v>218</v>
      </c>
      <c r="B5900" t="s">
        <v>246</v>
      </c>
      <c r="C5900" t="s">
        <v>6126</v>
      </c>
    </row>
    <row r="5901" spans="1:3" x14ac:dyDescent="0.35">
      <c r="A5901" t="s">
        <v>218</v>
      </c>
      <c r="B5901" t="s">
        <v>246</v>
      </c>
      <c r="C5901" t="s">
        <v>6127</v>
      </c>
    </row>
    <row r="5902" spans="1:3" x14ac:dyDescent="0.35">
      <c r="A5902" t="s">
        <v>218</v>
      </c>
      <c r="B5902" t="s">
        <v>246</v>
      </c>
      <c r="C5902" t="s">
        <v>6128</v>
      </c>
    </row>
    <row r="5903" spans="1:3" x14ac:dyDescent="0.35">
      <c r="A5903" t="s">
        <v>218</v>
      </c>
      <c r="B5903" t="s">
        <v>246</v>
      </c>
      <c r="C5903" t="s">
        <v>246</v>
      </c>
    </row>
    <row r="5904" spans="1:3" x14ac:dyDescent="0.35">
      <c r="A5904" t="s">
        <v>218</v>
      </c>
      <c r="B5904" t="s">
        <v>246</v>
      </c>
      <c r="C5904" t="s">
        <v>6129</v>
      </c>
    </row>
    <row r="5905" spans="1:3" x14ac:dyDescent="0.35">
      <c r="A5905" t="s">
        <v>218</v>
      </c>
      <c r="B5905" t="s">
        <v>246</v>
      </c>
      <c r="C5905" t="s">
        <v>6130</v>
      </c>
    </row>
    <row r="5906" spans="1:3" x14ac:dyDescent="0.35">
      <c r="A5906" t="s">
        <v>218</v>
      </c>
      <c r="B5906" t="s">
        <v>246</v>
      </c>
      <c r="C5906" t="s">
        <v>6131</v>
      </c>
    </row>
    <row r="5907" spans="1:3" x14ac:dyDescent="0.35">
      <c r="A5907" t="s">
        <v>218</v>
      </c>
      <c r="B5907" t="s">
        <v>246</v>
      </c>
      <c r="C5907" t="s">
        <v>6132</v>
      </c>
    </row>
    <row r="5908" spans="1:3" x14ac:dyDescent="0.35">
      <c r="A5908" t="s">
        <v>218</v>
      </c>
      <c r="B5908" t="s">
        <v>246</v>
      </c>
      <c r="C5908" t="s">
        <v>6133</v>
      </c>
    </row>
    <row r="5909" spans="1:3" x14ac:dyDescent="0.35">
      <c r="A5909" t="s">
        <v>218</v>
      </c>
      <c r="B5909" t="s">
        <v>246</v>
      </c>
      <c r="C5909" t="s">
        <v>6134</v>
      </c>
    </row>
    <row r="5910" spans="1:3" x14ac:dyDescent="0.35">
      <c r="A5910" t="s">
        <v>218</v>
      </c>
      <c r="B5910" t="s">
        <v>246</v>
      </c>
      <c r="C5910" t="s">
        <v>6135</v>
      </c>
    </row>
    <row r="5911" spans="1:3" x14ac:dyDescent="0.35">
      <c r="A5911" t="s">
        <v>218</v>
      </c>
      <c r="B5911" t="s">
        <v>246</v>
      </c>
      <c r="C5911" t="s">
        <v>6136</v>
      </c>
    </row>
    <row r="5912" spans="1:3" x14ac:dyDescent="0.35">
      <c r="A5912" t="s">
        <v>218</v>
      </c>
      <c r="B5912" t="s">
        <v>246</v>
      </c>
      <c r="C5912" t="s">
        <v>6137</v>
      </c>
    </row>
    <row r="5913" spans="1:3" x14ac:dyDescent="0.35">
      <c r="A5913" t="s">
        <v>218</v>
      </c>
      <c r="B5913" t="s">
        <v>246</v>
      </c>
      <c r="C5913" t="s">
        <v>6138</v>
      </c>
    </row>
    <row r="5914" spans="1:3" x14ac:dyDescent="0.35">
      <c r="A5914" t="s">
        <v>218</v>
      </c>
      <c r="B5914" t="s">
        <v>246</v>
      </c>
      <c r="C5914" t="s">
        <v>6139</v>
      </c>
    </row>
    <row r="5915" spans="1:3" x14ac:dyDescent="0.35">
      <c r="A5915" t="s">
        <v>218</v>
      </c>
      <c r="B5915" t="s">
        <v>246</v>
      </c>
      <c r="C5915" t="s">
        <v>6140</v>
      </c>
    </row>
    <row r="5916" spans="1:3" x14ac:dyDescent="0.35">
      <c r="A5916" t="s">
        <v>218</v>
      </c>
      <c r="B5916" t="s">
        <v>246</v>
      </c>
      <c r="C5916" t="s">
        <v>6141</v>
      </c>
    </row>
    <row r="5917" spans="1:3" x14ac:dyDescent="0.35">
      <c r="A5917" t="s">
        <v>218</v>
      </c>
      <c r="B5917" t="s">
        <v>246</v>
      </c>
      <c r="C5917" t="s">
        <v>6142</v>
      </c>
    </row>
    <row r="5918" spans="1:3" x14ac:dyDescent="0.35">
      <c r="A5918" t="s">
        <v>218</v>
      </c>
      <c r="B5918" t="s">
        <v>246</v>
      </c>
      <c r="C5918" t="s">
        <v>6143</v>
      </c>
    </row>
    <row r="5919" spans="1:3" x14ac:dyDescent="0.35">
      <c r="A5919" t="s">
        <v>218</v>
      </c>
      <c r="B5919" t="s">
        <v>246</v>
      </c>
      <c r="C5919" t="s">
        <v>6144</v>
      </c>
    </row>
    <row r="5920" spans="1:3" x14ac:dyDescent="0.35">
      <c r="A5920" t="s">
        <v>218</v>
      </c>
      <c r="B5920" t="s">
        <v>246</v>
      </c>
      <c r="C5920" t="s">
        <v>6145</v>
      </c>
    </row>
    <row r="5921" spans="1:3" x14ac:dyDescent="0.35">
      <c r="A5921" t="s">
        <v>218</v>
      </c>
      <c r="B5921" t="s">
        <v>246</v>
      </c>
      <c r="C5921" t="s">
        <v>6146</v>
      </c>
    </row>
    <row r="5922" spans="1:3" x14ac:dyDescent="0.35">
      <c r="A5922" t="s">
        <v>218</v>
      </c>
      <c r="B5922" t="s">
        <v>246</v>
      </c>
      <c r="C5922" t="s">
        <v>6147</v>
      </c>
    </row>
    <row r="5923" spans="1:3" x14ac:dyDescent="0.35">
      <c r="A5923" t="s">
        <v>218</v>
      </c>
      <c r="B5923" t="s">
        <v>246</v>
      </c>
      <c r="C5923" t="s">
        <v>6148</v>
      </c>
    </row>
    <row r="5924" spans="1:3" x14ac:dyDescent="0.35">
      <c r="A5924" t="s">
        <v>218</v>
      </c>
      <c r="B5924" t="s">
        <v>246</v>
      </c>
      <c r="C5924" t="s">
        <v>6149</v>
      </c>
    </row>
    <row r="5925" spans="1:3" x14ac:dyDescent="0.35">
      <c r="A5925" t="s">
        <v>218</v>
      </c>
      <c r="B5925" t="s">
        <v>246</v>
      </c>
      <c r="C5925" t="s">
        <v>6150</v>
      </c>
    </row>
    <row r="5926" spans="1:3" x14ac:dyDescent="0.35">
      <c r="A5926" t="s">
        <v>218</v>
      </c>
      <c r="B5926" t="s">
        <v>246</v>
      </c>
      <c r="C5926" t="s">
        <v>6151</v>
      </c>
    </row>
    <row r="5927" spans="1:3" x14ac:dyDescent="0.35">
      <c r="A5927" t="s">
        <v>218</v>
      </c>
      <c r="B5927" t="s">
        <v>246</v>
      </c>
      <c r="C5927" t="s">
        <v>6152</v>
      </c>
    </row>
    <row r="5928" spans="1:3" x14ac:dyDescent="0.35">
      <c r="A5928" t="s">
        <v>218</v>
      </c>
      <c r="B5928" t="s">
        <v>246</v>
      </c>
      <c r="C5928" t="s">
        <v>6153</v>
      </c>
    </row>
    <row r="5929" spans="1:3" x14ac:dyDescent="0.35">
      <c r="A5929" t="s">
        <v>218</v>
      </c>
      <c r="B5929" t="s">
        <v>246</v>
      </c>
      <c r="C5929" t="s">
        <v>6154</v>
      </c>
    </row>
    <row r="5930" spans="1:3" x14ac:dyDescent="0.35">
      <c r="A5930" t="s">
        <v>218</v>
      </c>
      <c r="B5930" t="s">
        <v>246</v>
      </c>
      <c r="C5930" t="s">
        <v>6155</v>
      </c>
    </row>
    <row r="5931" spans="1:3" x14ac:dyDescent="0.35">
      <c r="A5931" t="s">
        <v>218</v>
      </c>
      <c r="B5931" t="s">
        <v>246</v>
      </c>
      <c r="C5931" t="s">
        <v>6156</v>
      </c>
    </row>
    <row r="5932" spans="1:3" x14ac:dyDescent="0.35">
      <c r="A5932" t="s">
        <v>218</v>
      </c>
      <c r="B5932" t="s">
        <v>246</v>
      </c>
      <c r="C5932" t="s">
        <v>6157</v>
      </c>
    </row>
    <row r="5933" spans="1:3" x14ac:dyDescent="0.35">
      <c r="A5933" t="s">
        <v>218</v>
      </c>
      <c r="B5933" t="s">
        <v>246</v>
      </c>
      <c r="C5933" t="s">
        <v>6158</v>
      </c>
    </row>
    <row r="5934" spans="1:3" x14ac:dyDescent="0.35">
      <c r="A5934" t="s">
        <v>218</v>
      </c>
      <c r="B5934" t="s">
        <v>246</v>
      </c>
      <c r="C5934" t="s">
        <v>6159</v>
      </c>
    </row>
    <row r="5935" spans="1:3" x14ac:dyDescent="0.35">
      <c r="A5935" t="s">
        <v>218</v>
      </c>
      <c r="B5935" t="s">
        <v>246</v>
      </c>
      <c r="C5935" t="s">
        <v>6160</v>
      </c>
    </row>
    <row r="5936" spans="1:3" x14ac:dyDescent="0.35">
      <c r="A5936" t="s">
        <v>218</v>
      </c>
      <c r="B5936" t="s">
        <v>246</v>
      </c>
      <c r="C5936" t="s">
        <v>6161</v>
      </c>
    </row>
    <row r="5937" spans="1:3" x14ac:dyDescent="0.35">
      <c r="A5937" t="s">
        <v>218</v>
      </c>
      <c r="B5937" t="s">
        <v>246</v>
      </c>
      <c r="C5937" t="s">
        <v>6162</v>
      </c>
    </row>
    <row r="5938" spans="1:3" x14ac:dyDescent="0.35">
      <c r="A5938" t="s">
        <v>218</v>
      </c>
      <c r="B5938" t="s">
        <v>246</v>
      </c>
      <c r="C5938" t="s">
        <v>6163</v>
      </c>
    </row>
    <row r="5939" spans="1:3" x14ac:dyDescent="0.35">
      <c r="A5939" t="s">
        <v>218</v>
      </c>
      <c r="B5939" t="s">
        <v>260</v>
      </c>
      <c r="C5939" t="s">
        <v>6164</v>
      </c>
    </row>
    <row r="5940" spans="1:3" x14ac:dyDescent="0.35">
      <c r="A5940" t="s">
        <v>218</v>
      </c>
      <c r="B5940" t="s">
        <v>260</v>
      </c>
      <c r="C5940" t="s">
        <v>6165</v>
      </c>
    </row>
    <row r="5941" spans="1:3" x14ac:dyDescent="0.35">
      <c r="A5941" t="s">
        <v>218</v>
      </c>
      <c r="B5941" t="s">
        <v>260</v>
      </c>
      <c r="C5941" t="s">
        <v>6166</v>
      </c>
    </row>
    <row r="5942" spans="1:3" x14ac:dyDescent="0.35">
      <c r="A5942" t="s">
        <v>218</v>
      </c>
      <c r="B5942" t="s">
        <v>260</v>
      </c>
      <c r="C5942" t="s">
        <v>6167</v>
      </c>
    </row>
    <row r="5943" spans="1:3" x14ac:dyDescent="0.35">
      <c r="A5943" t="s">
        <v>218</v>
      </c>
      <c r="B5943" t="s">
        <v>260</v>
      </c>
      <c r="C5943" t="s">
        <v>6168</v>
      </c>
    </row>
    <row r="5944" spans="1:3" x14ac:dyDescent="0.35">
      <c r="A5944" t="s">
        <v>218</v>
      </c>
      <c r="B5944" t="s">
        <v>260</v>
      </c>
      <c r="C5944" t="s">
        <v>6169</v>
      </c>
    </row>
    <row r="5945" spans="1:3" x14ac:dyDescent="0.35">
      <c r="A5945" t="s">
        <v>218</v>
      </c>
      <c r="B5945" t="s">
        <v>260</v>
      </c>
      <c r="C5945" t="s">
        <v>6170</v>
      </c>
    </row>
    <row r="5946" spans="1:3" x14ac:dyDescent="0.35">
      <c r="A5946" t="s">
        <v>218</v>
      </c>
      <c r="B5946" t="s">
        <v>260</v>
      </c>
      <c r="C5946" t="s">
        <v>6171</v>
      </c>
    </row>
    <row r="5947" spans="1:3" x14ac:dyDescent="0.35">
      <c r="A5947" t="s">
        <v>218</v>
      </c>
      <c r="B5947" t="s">
        <v>260</v>
      </c>
      <c r="C5947" t="s">
        <v>6172</v>
      </c>
    </row>
    <row r="5948" spans="1:3" x14ac:dyDescent="0.35">
      <c r="A5948" t="s">
        <v>218</v>
      </c>
      <c r="B5948" t="s">
        <v>260</v>
      </c>
      <c r="C5948" t="s">
        <v>6173</v>
      </c>
    </row>
    <row r="5949" spans="1:3" x14ac:dyDescent="0.35">
      <c r="A5949" t="s">
        <v>218</v>
      </c>
      <c r="B5949" t="s">
        <v>260</v>
      </c>
      <c r="C5949" t="s">
        <v>6174</v>
      </c>
    </row>
    <row r="5950" spans="1:3" x14ac:dyDescent="0.35">
      <c r="A5950" t="s">
        <v>218</v>
      </c>
      <c r="B5950" t="s">
        <v>260</v>
      </c>
      <c r="C5950" t="s">
        <v>6175</v>
      </c>
    </row>
    <row r="5951" spans="1:3" x14ac:dyDescent="0.35">
      <c r="A5951" t="s">
        <v>218</v>
      </c>
      <c r="B5951" t="s">
        <v>260</v>
      </c>
      <c r="C5951" t="s">
        <v>6176</v>
      </c>
    </row>
    <row r="5952" spans="1:3" x14ac:dyDescent="0.35">
      <c r="A5952" t="s">
        <v>218</v>
      </c>
      <c r="B5952" t="s">
        <v>260</v>
      </c>
      <c r="C5952" t="s">
        <v>6177</v>
      </c>
    </row>
    <row r="5953" spans="1:3" x14ac:dyDescent="0.35">
      <c r="A5953" t="s">
        <v>218</v>
      </c>
      <c r="B5953" t="s">
        <v>260</v>
      </c>
      <c r="C5953" t="s">
        <v>6178</v>
      </c>
    </row>
    <row r="5954" spans="1:3" x14ac:dyDescent="0.35">
      <c r="A5954" t="s">
        <v>218</v>
      </c>
      <c r="B5954" t="s">
        <v>260</v>
      </c>
      <c r="C5954" t="s">
        <v>6179</v>
      </c>
    </row>
    <row r="5955" spans="1:3" x14ac:dyDescent="0.35">
      <c r="A5955" t="s">
        <v>218</v>
      </c>
      <c r="B5955" t="s">
        <v>260</v>
      </c>
      <c r="C5955" t="s">
        <v>6180</v>
      </c>
    </row>
    <row r="5956" spans="1:3" x14ac:dyDescent="0.35">
      <c r="A5956" t="s">
        <v>218</v>
      </c>
      <c r="B5956" t="s">
        <v>260</v>
      </c>
      <c r="C5956" t="s">
        <v>6181</v>
      </c>
    </row>
    <row r="5957" spans="1:3" x14ac:dyDescent="0.35">
      <c r="A5957" t="s">
        <v>218</v>
      </c>
      <c r="B5957" t="s">
        <v>260</v>
      </c>
      <c r="C5957" t="s">
        <v>6182</v>
      </c>
    </row>
    <row r="5958" spans="1:3" x14ac:dyDescent="0.35">
      <c r="A5958" t="s">
        <v>218</v>
      </c>
      <c r="B5958" t="s">
        <v>260</v>
      </c>
      <c r="C5958" t="s">
        <v>6183</v>
      </c>
    </row>
    <row r="5959" spans="1:3" x14ac:dyDescent="0.35">
      <c r="A5959" t="s">
        <v>218</v>
      </c>
      <c r="B5959" t="s">
        <v>260</v>
      </c>
      <c r="C5959" t="s">
        <v>6184</v>
      </c>
    </row>
    <row r="5960" spans="1:3" x14ac:dyDescent="0.35">
      <c r="A5960" t="s">
        <v>218</v>
      </c>
      <c r="B5960" t="s">
        <v>260</v>
      </c>
      <c r="C5960" t="s">
        <v>6185</v>
      </c>
    </row>
    <row r="5961" spans="1:3" x14ac:dyDescent="0.35">
      <c r="A5961" t="s">
        <v>218</v>
      </c>
      <c r="B5961" t="s">
        <v>260</v>
      </c>
      <c r="C5961" t="s">
        <v>6186</v>
      </c>
    </row>
    <row r="5962" spans="1:3" x14ac:dyDescent="0.35">
      <c r="A5962" t="s">
        <v>218</v>
      </c>
      <c r="B5962" t="s">
        <v>260</v>
      </c>
      <c r="C5962" t="s">
        <v>6187</v>
      </c>
    </row>
    <row r="5963" spans="1:3" x14ac:dyDescent="0.35">
      <c r="A5963" t="s">
        <v>218</v>
      </c>
      <c r="B5963" t="s">
        <v>260</v>
      </c>
      <c r="C5963" t="s">
        <v>6188</v>
      </c>
    </row>
    <row r="5964" spans="1:3" x14ac:dyDescent="0.35">
      <c r="A5964" t="s">
        <v>218</v>
      </c>
      <c r="B5964" t="s">
        <v>260</v>
      </c>
      <c r="C5964" t="s">
        <v>6189</v>
      </c>
    </row>
    <row r="5965" spans="1:3" x14ac:dyDescent="0.35">
      <c r="A5965" t="s">
        <v>218</v>
      </c>
      <c r="B5965" t="s">
        <v>260</v>
      </c>
      <c r="C5965" t="s">
        <v>6190</v>
      </c>
    </row>
    <row r="5966" spans="1:3" x14ac:dyDescent="0.35">
      <c r="A5966" t="s">
        <v>218</v>
      </c>
      <c r="B5966" t="s">
        <v>260</v>
      </c>
      <c r="C5966" t="s">
        <v>6191</v>
      </c>
    </row>
    <row r="5967" spans="1:3" x14ac:dyDescent="0.35">
      <c r="A5967" t="s">
        <v>218</v>
      </c>
      <c r="B5967" t="s">
        <v>260</v>
      </c>
      <c r="C5967" t="s">
        <v>6192</v>
      </c>
    </row>
    <row r="5968" spans="1:3" x14ac:dyDescent="0.35">
      <c r="A5968" t="s">
        <v>218</v>
      </c>
      <c r="B5968" t="s">
        <v>260</v>
      </c>
      <c r="C5968" t="s">
        <v>6193</v>
      </c>
    </row>
    <row r="5969" spans="1:3" x14ac:dyDescent="0.35">
      <c r="A5969" t="s">
        <v>218</v>
      </c>
      <c r="B5969" t="s">
        <v>260</v>
      </c>
      <c r="C5969" t="s">
        <v>6194</v>
      </c>
    </row>
    <row r="5970" spans="1:3" x14ac:dyDescent="0.35">
      <c r="A5970" t="s">
        <v>218</v>
      </c>
      <c r="B5970" t="s">
        <v>260</v>
      </c>
      <c r="C5970" t="s">
        <v>6195</v>
      </c>
    </row>
    <row r="5971" spans="1:3" x14ac:dyDescent="0.35">
      <c r="A5971" t="s">
        <v>218</v>
      </c>
      <c r="B5971" t="s">
        <v>260</v>
      </c>
      <c r="C5971" t="s">
        <v>6196</v>
      </c>
    </row>
    <row r="5972" spans="1:3" x14ac:dyDescent="0.35">
      <c r="A5972" t="s">
        <v>218</v>
      </c>
      <c r="B5972" t="s">
        <v>260</v>
      </c>
      <c r="C5972" t="s">
        <v>6197</v>
      </c>
    </row>
    <row r="5973" spans="1:3" x14ac:dyDescent="0.35">
      <c r="A5973" t="s">
        <v>218</v>
      </c>
      <c r="B5973" t="s">
        <v>260</v>
      </c>
      <c r="C5973" t="s">
        <v>6198</v>
      </c>
    </row>
    <row r="5974" spans="1:3" x14ac:dyDescent="0.35">
      <c r="A5974" t="s">
        <v>218</v>
      </c>
      <c r="B5974" t="s">
        <v>260</v>
      </c>
      <c r="C5974" t="s">
        <v>6199</v>
      </c>
    </row>
    <row r="5975" spans="1:3" x14ac:dyDescent="0.35">
      <c r="A5975" t="s">
        <v>218</v>
      </c>
      <c r="B5975" t="s">
        <v>260</v>
      </c>
      <c r="C5975" t="s">
        <v>6200</v>
      </c>
    </row>
    <row r="5976" spans="1:3" x14ac:dyDescent="0.35">
      <c r="A5976" t="s">
        <v>218</v>
      </c>
      <c r="B5976" t="s">
        <v>260</v>
      </c>
      <c r="C5976" t="s">
        <v>6201</v>
      </c>
    </row>
    <row r="5977" spans="1:3" x14ac:dyDescent="0.35">
      <c r="A5977" t="s">
        <v>218</v>
      </c>
      <c r="B5977" t="s">
        <v>260</v>
      </c>
      <c r="C5977" t="s">
        <v>6202</v>
      </c>
    </row>
    <row r="5978" spans="1:3" x14ac:dyDescent="0.35">
      <c r="A5978" t="s">
        <v>218</v>
      </c>
      <c r="B5978" t="s">
        <v>260</v>
      </c>
      <c r="C5978" t="s">
        <v>6203</v>
      </c>
    </row>
    <row r="5979" spans="1:3" x14ac:dyDescent="0.35">
      <c r="A5979" t="s">
        <v>218</v>
      </c>
      <c r="B5979" t="s">
        <v>260</v>
      </c>
      <c r="C5979" t="s">
        <v>6204</v>
      </c>
    </row>
    <row r="5980" spans="1:3" x14ac:dyDescent="0.35">
      <c r="A5980" t="s">
        <v>218</v>
      </c>
      <c r="B5980" t="s">
        <v>260</v>
      </c>
      <c r="C5980" t="s">
        <v>6205</v>
      </c>
    </row>
    <row r="5981" spans="1:3" x14ac:dyDescent="0.35">
      <c r="A5981" t="s">
        <v>218</v>
      </c>
      <c r="B5981" t="s">
        <v>260</v>
      </c>
      <c r="C5981" t="s">
        <v>6206</v>
      </c>
    </row>
    <row r="5982" spans="1:3" x14ac:dyDescent="0.35">
      <c r="A5982" t="s">
        <v>218</v>
      </c>
      <c r="B5982" t="s">
        <v>260</v>
      </c>
      <c r="C5982" t="s">
        <v>6207</v>
      </c>
    </row>
    <row r="5983" spans="1:3" x14ac:dyDescent="0.35">
      <c r="A5983" t="s">
        <v>218</v>
      </c>
      <c r="B5983" t="s">
        <v>260</v>
      </c>
      <c r="C5983" t="s">
        <v>260</v>
      </c>
    </row>
    <row r="5984" spans="1:3" x14ac:dyDescent="0.35">
      <c r="A5984" t="s">
        <v>218</v>
      </c>
      <c r="B5984" t="s">
        <v>260</v>
      </c>
      <c r="C5984" t="s">
        <v>6208</v>
      </c>
    </row>
    <row r="5985" spans="1:3" x14ac:dyDescent="0.35">
      <c r="A5985" t="s">
        <v>218</v>
      </c>
      <c r="B5985" t="s">
        <v>260</v>
      </c>
      <c r="C5985" t="s">
        <v>6209</v>
      </c>
    </row>
    <row r="5986" spans="1:3" x14ac:dyDescent="0.35">
      <c r="A5986" t="s">
        <v>218</v>
      </c>
      <c r="B5986" t="s">
        <v>260</v>
      </c>
      <c r="C5986" t="s">
        <v>6210</v>
      </c>
    </row>
    <row r="5987" spans="1:3" x14ac:dyDescent="0.35">
      <c r="A5987" t="s">
        <v>218</v>
      </c>
      <c r="B5987" t="s">
        <v>260</v>
      </c>
      <c r="C5987" t="s">
        <v>6211</v>
      </c>
    </row>
    <row r="5988" spans="1:3" x14ac:dyDescent="0.35">
      <c r="A5988" t="s">
        <v>218</v>
      </c>
      <c r="B5988" t="s">
        <v>260</v>
      </c>
      <c r="C5988" t="s">
        <v>6212</v>
      </c>
    </row>
    <row r="5989" spans="1:3" x14ac:dyDescent="0.35">
      <c r="A5989" t="s">
        <v>218</v>
      </c>
      <c r="B5989" t="s">
        <v>260</v>
      </c>
      <c r="C5989" t="s">
        <v>6213</v>
      </c>
    </row>
    <row r="5990" spans="1:3" x14ac:dyDescent="0.35">
      <c r="A5990" t="s">
        <v>218</v>
      </c>
      <c r="B5990" t="s">
        <v>260</v>
      </c>
      <c r="C5990" t="s">
        <v>6214</v>
      </c>
    </row>
    <row r="5991" spans="1:3" x14ac:dyDescent="0.35">
      <c r="A5991" t="s">
        <v>218</v>
      </c>
      <c r="B5991" t="s">
        <v>260</v>
      </c>
      <c r="C5991" t="s">
        <v>6215</v>
      </c>
    </row>
    <row r="5992" spans="1:3" x14ac:dyDescent="0.35">
      <c r="A5992" t="s">
        <v>218</v>
      </c>
      <c r="B5992" t="s">
        <v>260</v>
      </c>
      <c r="C5992" t="s">
        <v>6216</v>
      </c>
    </row>
    <row r="5993" spans="1:3" x14ac:dyDescent="0.35">
      <c r="A5993" t="s">
        <v>218</v>
      </c>
      <c r="B5993" t="s">
        <v>260</v>
      </c>
      <c r="C5993" t="s">
        <v>6217</v>
      </c>
    </row>
    <row r="5994" spans="1:3" x14ac:dyDescent="0.35">
      <c r="A5994" t="s">
        <v>218</v>
      </c>
      <c r="B5994" t="s">
        <v>260</v>
      </c>
      <c r="C5994" t="s">
        <v>6218</v>
      </c>
    </row>
    <row r="5995" spans="1:3" x14ac:dyDescent="0.35">
      <c r="A5995" t="s">
        <v>218</v>
      </c>
      <c r="B5995" t="s">
        <v>260</v>
      </c>
      <c r="C5995" t="s">
        <v>6219</v>
      </c>
    </row>
    <row r="5996" spans="1:3" x14ac:dyDescent="0.35">
      <c r="A5996" t="s">
        <v>218</v>
      </c>
      <c r="B5996" t="s">
        <v>260</v>
      </c>
      <c r="C5996" t="s">
        <v>6220</v>
      </c>
    </row>
    <row r="5997" spans="1:3" x14ac:dyDescent="0.35">
      <c r="A5997" t="s">
        <v>218</v>
      </c>
      <c r="B5997" t="s">
        <v>260</v>
      </c>
      <c r="C5997" t="s">
        <v>6221</v>
      </c>
    </row>
    <row r="5998" spans="1:3" x14ac:dyDescent="0.35">
      <c r="A5998" t="s">
        <v>218</v>
      </c>
      <c r="B5998" t="s">
        <v>260</v>
      </c>
      <c r="C5998" t="s">
        <v>6222</v>
      </c>
    </row>
    <row r="5999" spans="1:3" x14ac:dyDescent="0.35">
      <c r="A5999" t="s">
        <v>218</v>
      </c>
      <c r="B5999" t="s">
        <v>260</v>
      </c>
      <c r="C5999" t="s">
        <v>6223</v>
      </c>
    </row>
    <row r="6000" spans="1:3" x14ac:dyDescent="0.35">
      <c r="A6000" t="s">
        <v>218</v>
      </c>
      <c r="B6000" t="s">
        <v>260</v>
      </c>
      <c r="C6000" t="s">
        <v>6224</v>
      </c>
    </row>
    <row r="6001" spans="1:3" x14ac:dyDescent="0.35">
      <c r="A6001" t="s">
        <v>218</v>
      </c>
      <c r="B6001" t="s">
        <v>260</v>
      </c>
      <c r="C6001" t="s">
        <v>6225</v>
      </c>
    </row>
    <row r="6002" spans="1:3" x14ac:dyDescent="0.35">
      <c r="A6002" t="s">
        <v>218</v>
      </c>
      <c r="B6002" t="s">
        <v>260</v>
      </c>
      <c r="C6002" t="s">
        <v>6226</v>
      </c>
    </row>
    <row r="6003" spans="1:3" x14ac:dyDescent="0.35">
      <c r="A6003" t="s">
        <v>218</v>
      </c>
      <c r="B6003" t="s">
        <v>260</v>
      </c>
      <c r="C6003" t="s">
        <v>6227</v>
      </c>
    </row>
    <row r="6004" spans="1:3" x14ac:dyDescent="0.35">
      <c r="A6004" t="s">
        <v>218</v>
      </c>
      <c r="B6004" t="s">
        <v>260</v>
      </c>
      <c r="C6004" t="s">
        <v>6228</v>
      </c>
    </row>
    <row r="6005" spans="1:3" x14ac:dyDescent="0.35">
      <c r="A6005" t="s">
        <v>218</v>
      </c>
      <c r="B6005" t="s">
        <v>260</v>
      </c>
      <c r="C6005" t="s">
        <v>6229</v>
      </c>
    </row>
    <row r="6006" spans="1:3" x14ac:dyDescent="0.35">
      <c r="A6006" t="s">
        <v>218</v>
      </c>
      <c r="B6006" t="s">
        <v>260</v>
      </c>
      <c r="C6006" t="s">
        <v>6230</v>
      </c>
    </row>
    <row r="6007" spans="1:3" x14ac:dyDescent="0.35">
      <c r="A6007" t="s">
        <v>218</v>
      </c>
      <c r="B6007" t="s">
        <v>260</v>
      </c>
      <c r="C6007" t="s">
        <v>6231</v>
      </c>
    </row>
    <row r="6008" spans="1:3" x14ac:dyDescent="0.35">
      <c r="A6008" t="s">
        <v>218</v>
      </c>
      <c r="B6008" t="s">
        <v>260</v>
      </c>
      <c r="C6008" t="s">
        <v>6232</v>
      </c>
    </row>
    <row r="6009" spans="1:3" x14ac:dyDescent="0.35">
      <c r="A6009" t="s">
        <v>218</v>
      </c>
      <c r="B6009" t="s">
        <v>260</v>
      </c>
      <c r="C6009" t="s">
        <v>6233</v>
      </c>
    </row>
    <row r="6010" spans="1:3" x14ac:dyDescent="0.35">
      <c r="A6010" t="s">
        <v>218</v>
      </c>
      <c r="B6010" t="s">
        <v>260</v>
      </c>
      <c r="C6010" t="s">
        <v>6234</v>
      </c>
    </row>
    <row r="6011" spans="1:3" x14ac:dyDescent="0.35">
      <c r="A6011" t="s">
        <v>218</v>
      </c>
      <c r="B6011" t="s">
        <v>260</v>
      </c>
      <c r="C6011" t="s">
        <v>6235</v>
      </c>
    </row>
    <row r="6012" spans="1:3" x14ac:dyDescent="0.35">
      <c r="A6012" t="s">
        <v>218</v>
      </c>
      <c r="B6012" t="s">
        <v>260</v>
      </c>
      <c r="C6012" t="s">
        <v>6236</v>
      </c>
    </row>
    <row r="6013" spans="1:3" x14ac:dyDescent="0.35">
      <c r="A6013" t="s">
        <v>218</v>
      </c>
      <c r="B6013" t="s">
        <v>260</v>
      </c>
      <c r="C6013" t="s">
        <v>6237</v>
      </c>
    </row>
    <row r="6014" spans="1:3" x14ac:dyDescent="0.35">
      <c r="A6014" t="s">
        <v>218</v>
      </c>
      <c r="B6014" t="s">
        <v>260</v>
      </c>
      <c r="C6014" t="s">
        <v>6238</v>
      </c>
    </row>
    <row r="6015" spans="1:3" x14ac:dyDescent="0.35">
      <c r="A6015" t="s">
        <v>218</v>
      </c>
      <c r="B6015" t="s">
        <v>260</v>
      </c>
      <c r="C6015" t="s">
        <v>6239</v>
      </c>
    </row>
    <row r="6016" spans="1:3" x14ac:dyDescent="0.35">
      <c r="A6016" t="s">
        <v>218</v>
      </c>
      <c r="B6016" t="s">
        <v>260</v>
      </c>
      <c r="C6016" t="s">
        <v>6240</v>
      </c>
    </row>
    <row r="6017" spans="1:3" x14ac:dyDescent="0.35">
      <c r="A6017" t="s">
        <v>218</v>
      </c>
      <c r="B6017" t="s">
        <v>260</v>
      </c>
      <c r="C6017" t="s">
        <v>6241</v>
      </c>
    </row>
    <row r="6018" spans="1:3" x14ac:dyDescent="0.35">
      <c r="A6018" t="s">
        <v>218</v>
      </c>
      <c r="B6018" t="s">
        <v>260</v>
      </c>
      <c r="C6018" t="s">
        <v>6242</v>
      </c>
    </row>
    <row r="6019" spans="1:3" x14ac:dyDescent="0.35">
      <c r="A6019" t="s">
        <v>218</v>
      </c>
      <c r="B6019" t="s">
        <v>260</v>
      </c>
      <c r="C6019" t="s">
        <v>6243</v>
      </c>
    </row>
    <row r="6020" spans="1:3" x14ac:dyDescent="0.35">
      <c r="A6020" t="s">
        <v>218</v>
      </c>
      <c r="B6020" t="s">
        <v>260</v>
      </c>
      <c r="C6020" t="s">
        <v>6244</v>
      </c>
    </row>
    <row r="6021" spans="1:3" x14ac:dyDescent="0.35">
      <c r="A6021" t="s">
        <v>218</v>
      </c>
      <c r="B6021" t="s">
        <v>260</v>
      </c>
      <c r="C6021" t="s">
        <v>6245</v>
      </c>
    </row>
    <row r="6022" spans="1:3" x14ac:dyDescent="0.35">
      <c r="A6022" t="s">
        <v>218</v>
      </c>
      <c r="B6022" t="s">
        <v>260</v>
      </c>
      <c r="C6022" t="s">
        <v>6246</v>
      </c>
    </row>
    <row r="6023" spans="1:3" x14ac:dyDescent="0.35">
      <c r="A6023" t="s">
        <v>218</v>
      </c>
      <c r="B6023" t="s">
        <v>260</v>
      </c>
      <c r="C6023" t="s">
        <v>6247</v>
      </c>
    </row>
    <row r="6024" spans="1:3" x14ac:dyDescent="0.35">
      <c r="A6024" t="s">
        <v>218</v>
      </c>
      <c r="B6024" t="s">
        <v>260</v>
      </c>
      <c r="C6024" t="s">
        <v>6248</v>
      </c>
    </row>
    <row r="6025" spans="1:3" x14ac:dyDescent="0.35">
      <c r="A6025" t="s">
        <v>218</v>
      </c>
      <c r="B6025" t="s">
        <v>260</v>
      </c>
      <c r="C6025" t="s">
        <v>6249</v>
      </c>
    </row>
    <row r="6026" spans="1:3" x14ac:dyDescent="0.35">
      <c r="A6026" t="s">
        <v>218</v>
      </c>
      <c r="B6026" t="s">
        <v>72</v>
      </c>
      <c r="C6026" t="s">
        <v>6250</v>
      </c>
    </row>
    <row r="6027" spans="1:3" x14ac:dyDescent="0.35">
      <c r="A6027" t="s">
        <v>218</v>
      </c>
      <c r="B6027" t="s">
        <v>72</v>
      </c>
      <c r="C6027" t="s">
        <v>6251</v>
      </c>
    </row>
    <row r="6028" spans="1:3" x14ac:dyDescent="0.35">
      <c r="A6028" t="s">
        <v>218</v>
      </c>
      <c r="B6028" t="s">
        <v>72</v>
      </c>
      <c r="C6028" t="s">
        <v>6252</v>
      </c>
    </row>
    <row r="6029" spans="1:3" x14ac:dyDescent="0.35">
      <c r="A6029" t="s">
        <v>218</v>
      </c>
      <c r="B6029" t="s">
        <v>72</v>
      </c>
      <c r="C6029" t="s">
        <v>6253</v>
      </c>
    </row>
    <row r="6030" spans="1:3" x14ac:dyDescent="0.35">
      <c r="A6030" t="s">
        <v>218</v>
      </c>
      <c r="B6030" t="s">
        <v>72</v>
      </c>
      <c r="C6030" t="s">
        <v>6254</v>
      </c>
    </row>
    <row r="6031" spans="1:3" x14ac:dyDescent="0.35">
      <c r="A6031" t="s">
        <v>218</v>
      </c>
      <c r="B6031" t="s">
        <v>72</v>
      </c>
      <c r="C6031" t="s">
        <v>6255</v>
      </c>
    </row>
    <row r="6032" spans="1:3" x14ac:dyDescent="0.35">
      <c r="A6032" t="s">
        <v>218</v>
      </c>
      <c r="B6032" t="s">
        <v>72</v>
      </c>
      <c r="C6032" t="s">
        <v>6256</v>
      </c>
    </row>
    <row r="6033" spans="1:3" x14ac:dyDescent="0.35">
      <c r="A6033" t="s">
        <v>218</v>
      </c>
      <c r="B6033" t="s">
        <v>72</v>
      </c>
      <c r="C6033" t="s">
        <v>6257</v>
      </c>
    </row>
    <row r="6034" spans="1:3" x14ac:dyDescent="0.35">
      <c r="A6034" t="s">
        <v>218</v>
      </c>
      <c r="B6034" t="s">
        <v>72</v>
      </c>
      <c r="C6034" t="s">
        <v>6258</v>
      </c>
    </row>
    <row r="6035" spans="1:3" x14ac:dyDescent="0.35">
      <c r="A6035" t="s">
        <v>218</v>
      </c>
      <c r="B6035" t="s">
        <v>72</v>
      </c>
      <c r="C6035" t="s">
        <v>6259</v>
      </c>
    </row>
    <row r="6036" spans="1:3" x14ac:dyDescent="0.35">
      <c r="A6036" t="s">
        <v>218</v>
      </c>
      <c r="B6036" t="s">
        <v>72</v>
      </c>
      <c r="C6036" t="s">
        <v>6260</v>
      </c>
    </row>
    <row r="6037" spans="1:3" x14ac:dyDescent="0.35">
      <c r="A6037" t="s">
        <v>218</v>
      </c>
      <c r="B6037" t="s">
        <v>72</v>
      </c>
      <c r="C6037" t="s">
        <v>6261</v>
      </c>
    </row>
    <row r="6038" spans="1:3" x14ac:dyDescent="0.35">
      <c r="A6038" t="s">
        <v>218</v>
      </c>
      <c r="B6038" t="s">
        <v>72</v>
      </c>
      <c r="C6038" t="s">
        <v>6262</v>
      </c>
    </row>
    <row r="6039" spans="1:3" x14ac:dyDescent="0.35">
      <c r="A6039" t="s">
        <v>218</v>
      </c>
      <c r="B6039" t="s">
        <v>72</v>
      </c>
      <c r="C6039" t="s">
        <v>6263</v>
      </c>
    </row>
    <row r="6040" spans="1:3" x14ac:dyDescent="0.35">
      <c r="A6040" t="s">
        <v>218</v>
      </c>
      <c r="B6040" t="s">
        <v>72</v>
      </c>
      <c r="C6040" t="s">
        <v>6264</v>
      </c>
    </row>
    <row r="6041" spans="1:3" x14ac:dyDescent="0.35">
      <c r="A6041" t="s">
        <v>218</v>
      </c>
      <c r="B6041" t="s">
        <v>72</v>
      </c>
      <c r="C6041" t="s">
        <v>6265</v>
      </c>
    </row>
    <row r="6042" spans="1:3" x14ac:dyDescent="0.35">
      <c r="A6042" t="s">
        <v>218</v>
      </c>
      <c r="B6042" t="s">
        <v>72</v>
      </c>
      <c r="C6042" t="s">
        <v>6266</v>
      </c>
    </row>
    <row r="6043" spans="1:3" x14ac:dyDescent="0.35">
      <c r="A6043" t="s">
        <v>218</v>
      </c>
      <c r="B6043" t="s">
        <v>72</v>
      </c>
      <c r="C6043" t="s">
        <v>6267</v>
      </c>
    </row>
    <row r="6044" spans="1:3" x14ac:dyDescent="0.35">
      <c r="A6044" t="s">
        <v>218</v>
      </c>
      <c r="B6044" t="s">
        <v>72</v>
      </c>
      <c r="C6044" t="s">
        <v>6268</v>
      </c>
    </row>
    <row r="6045" spans="1:3" x14ac:dyDescent="0.35">
      <c r="A6045" t="s">
        <v>218</v>
      </c>
      <c r="B6045" t="s">
        <v>72</v>
      </c>
      <c r="C6045" t="s">
        <v>6269</v>
      </c>
    </row>
    <row r="6046" spans="1:3" x14ac:dyDescent="0.35">
      <c r="A6046" t="s">
        <v>218</v>
      </c>
      <c r="B6046" t="s">
        <v>72</v>
      </c>
      <c r="C6046" t="s">
        <v>6270</v>
      </c>
    </row>
    <row r="6047" spans="1:3" x14ac:dyDescent="0.35">
      <c r="A6047" t="s">
        <v>218</v>
      </c>
      <c r="B6047" t="s">
        <v>72</v>
      </c>
      <c r="C6047" t="s">
        <v>6271</v>
      </c>
    </row>
    <row r="6048" spans="1:3" x14ac:dyDescent="0.35">
      <c r="A6048" t="s">
        <v>218</v>
      </c>
      <c r="B6048" t="s">
        <v>72</v>
      </c>
      <c r="C6048" t="s">
        <v>6272</v>
      </c>
    </row>
    <row r="6049" spans="1:3" x14ac:dyDescent="0.35">
      <c r="A6049" t="s">
        <v>218</v>
      </c>
      <c r="B6049" t="s">
        <v>72</v>
      </c>
      <c r="C6049" t="s">
        <v>6273</v>
      </c>
    </row>
    <row r="6050" spans="1:3" x14ac:dyDescent="0.35">
      <c r="A6050" t="s">
        <v>218</v>
      </c>
      <c r="B6050" t="s">
        <v>72</v>
      </c>
      <c r="C6050" t="s">
        <v>6274</v>
      </c>
    </row>
    <row r="6051" spans="1:3" x14ac:dyDescent="0.35">
      <c r="A6051" t="s">
        <v>218</v>
      </c>
      <c r="B6051" t="s">
        <v>72</v>
      </c>
      <c r="C6051" t="s">
        <v>6275</v>
      </c>
    </row>
    <row r="6052" spans="1:3" x14ac:dyDescent="0.35">
      <c r="A6052" t="s">
        <v>218</v>
      </c>
      <c r="B6052" t="s">
        <v>72</v>
      </c>
      <c r="C6052" t="s">
        <v>6276</v>
      </c>
    </row>
    <row r="6053" spans="1:3" x14ac:dyDescent="0.35">
      <c r="A6053" t="s">
        <v>218</v>
      </c>
      <c r="B6053" t="s">
        <v>72</v>
      </c>
      <c r="C6053" t="s">
        <v>6277</v>
      </c>
    </row>
    <row r="6054" spans="1:3" x14ac:dyDescent="0.35">
      <c r="A6054" t="s">
        <v>218</v>
      </c>
      <c r="B6054" t="s">
        <v>72</v>
      </c>
      <c r="C6054" t="s">
        <v>6278</v>
      </c>
    </row>
    <row r="6055" spans="1:3" x14ac:dyDescent="0.35">
      <c r="A6055" t="s">
        <v>218</v>
      </c>
      <c r="B6055" t="s">
        <v>72</v>
      </c>
      <c r="C6055" t="s">
        <v>6279</v>
      </c>
    </row>
    <row r="6056" spans="1:3" x14ac:dyDescent="0.35">
      <c r="A6056" t="s">
        <v>218</v>
      </c>
      <c r="B6056" t="s">
        <v>72</v>
      </c>
      <c r="C6056" t="s">
        <v>6280</v>
      </c>
    </row>
    <row r="6057" spans="1:3" x14ac:dyDescent="0.35">
      <c r="A6057" t="s">
        <v>218</v>
      </c>
      <c r="B6057" t="s">
        <v>72</v>
      </c>
      <c r="C6057" t="s">
        <v>6281</v>
      </c>
    </row>
    <row r="6058" spans="1:3" x14ac:dyDescent="0.35">
      <c r="A6058" t="s">
        <v>218</v>
      </c>
      <c r="B6058" t="s">
        <v>72</v>
      </c>
      <c r="C6058" t="s">
        <v>6282</v>
      </c>
    </row>
    <row r="6059" spans="1:3" x14ac:dyDescent="0.35">
      <c r="A6059" t="s">
        <v>218</v>
      </c>
      <c r="B6059" t="s">
        <v>72</v>
      </c>
      <c r="C6059" t="s">
        <v>6283</v>
      </c>
    </row>
    <row r="6060" spans="1:3" x14ac:dyDescent="0.35">
      <c r="A6060" t="s">
        <v>218</v>
      </c>
      <c r="B6060" t="s">
        <v>72</v>
      </c>
      <c r="C6060" t="s">
        <v>6284</v>
      </c>
    </row>
    <row r="6061" spans="1:3" x14ac:dyDescent="0.35">
      <c r="A6061" t="s">
        <v>218</v>
      </c>
      <c r="B6061" t="s">
        <v>72</v>
      </c>
      <c r="C6061" t="s">
        <v>6285</v>
      </c>
    </row>
    <row r="6062" spans="1:3" x14ac:dyDescent="0.35">
      <c r="A6062" t="s">
        <v>218</v>
      </c>
      <c r="B6062" t="s">
        <v>72</v>
      </c>
      <c r="C6062" t="s">
        <v>6286</v>
      </c>
    </row>
    <row r="6063" spans="1:3" x14ac:dyDescent="0.35">
      <c r="A6063" t="s">
        <v>218</v>
      </c>
      <c r="B6063" t="s">
        <v>72</v>
      </c>
      <c r="C6063" t="s">
        <v>6287</v>
      </c>
    </row>
    <row r="6064" spans="1:3" x14ac:dyDescent="0.35">
      <c r="A6064" t="s">
        <v>218</v>
      </c>
      <c r="B6064" t="s">
        <v>72</v>
      </c>
      <c r="C6064" t="s">
        <v>6288</v>
      </c>
    </row>
    <row r="6065" spans="1:3" x14ac:dyDescent="0.35">
      <c r="A6065" t="s">
        <v>218</v>
      </c>
      <c r="B6065" t="s">
        <v>72</v>
      </c>
      <c r="C6065" t="s">
        <v>6289</v>
      </c>
    </row>
    <row r="6066" spans="1:3" x14ac:dyDescent="0.35">
      <c r="A6066" t="s">
        <v>218</v>
      </c>
      <c r="B6066" t="s">
        <v>72</v>
      </c>
      <c r="C6066" t="s">
        <v>6290</v>
      </c>
    </row>
    <row r="6067" spans="1:3" x14ac:dyDescent="0.35">
      <c r="A6067" t="s">
        <v>218</v>
      </c>
      <c r="B6067" t="s">
        <v>72</v>
      </c>
      <c r="C6067" t="s">
        <v>6291</v>
      </c>
    </row>
    <row r="6068" spans="1:3" x14ac:dyDescent="0.35">
      <c r="A6068" t="s">
        <v>218</v>
      </c>
      <c r="B6068" t="s">
        <v>72</v>
      </c>
      <c r="C6068" t="s">
        <v>6292</v>
      </c>
    </row>
    <row r="6069" spans="1:3" x14ac:dyDescent="0.35">
      <c r="A6069" t="s">
        <v>218</v>
      </c>
      <c r="B6069" t="s">
        <v>72</v>
      </c>
      <c r="C6069" t="s">
        <v>6293</v>
      </c>
    </row>
    <row r="6070" spans="1:3" x14ac:dyDescent="0.35">
      <c r="A6070" t="s">
        <v>218</v>
      </c>
      <c r="B6070" t="s">
        <v>72</v>
      </c>
      <c r="C6070" t="s">
        <v>6294</v>
      </c>
    </row>
    <row r="6071" spans="1:3" x14ac:dyDescent="0.35">
      <c r="A6071" t="s">
        <v>218</v>
      </c>
      <c r="B6071" t="s">
        <v>72</v>
      </c>
      <c r="C6071" t="s">
        <v>6295</v>
      </c>
    </row>
    <row r="6072" spans="1:3" x14ac:dyDescent="0.35">
      <c r="A6072" t="s">
        <v>218</v>
      </c>
      <c r="B6072" t="s">
        <v>72</v>
      </c>
      <c r="C6072" t="s">
        <v>6296</v>
      </c>
    </row>
    <row r="6073" spans="1:3" x14ac:dyDescent="0.35">
      <c r="A6073" t="s">
        <v>218</v>
      </c>
      <c r="B6073" t="s">
        <v>72</v>
      </c>
      <c r="C6073" t="s">
        <v>6297</v>
      </c>
    </row>
    <row r="6074" spans="1:3" x14ac:dyDescent="0.35">
      <c r="A6074" t="s">
        <v>218</v>
      </c>
      <c r="B6074" t="s">
        <v>72</v>
      </c>
      <c r="C6074" t="s">
        <v>6298</v>
      </c>
    </row>
    <row r="6075" spans="1:3" x14ac:dyDescent="0.35">
      <c r="A6075" t="s">
        <v>218</v>
      </c>
      <c r="B6075" t="s">
        <v>72</v>
      </c>
      <c r="C6075" t="s">
        <v>6299</v>
      </c>
    </row>
    <row r="6076" spans="1:3" x14ac:dyDescent="0.35">
      <c r="A6076" t="s">
        <v>218</v>
      </c>
      <c r="B6076" t="s">
        <v>72</v>
      </c>
      <c r="C6076" t="s">
        <v>6300</v>
      </c>
    </row>
    <row r="6077" spans="1:3" x14ac:dyDescent="0.35">
      <c r="A6077" t="s">
        <v>218</v>
      </c>
      <c r="B6077" t="s">
        <v>72</v>
      </c>
      <c r="C6077" t="s">
        <v>6301</v>
      </c>
    </row>
    <row r="6078" spans="1:3" x14ac:dyDescent="0.35">
      <c r="A6078" t="s">
        <v>218</v>
      </c>
      <c r="B6078" t="s">
        <v>72</v>
      </c>
      <c r="C6078" t="s">
        <v>6302</v>
      </c>
    </row>
    <row r="6079" spans="1:3" x14ac:dyDescent="0.35">
      <c r="A6079" t="s">
        <v>218</v>
      </c>
      <c r="B6079" t="s">
        <v>72</v>
      </c>
      <c r="C6079" t="s">
        <v>6303</v>
      </c>
    </row>
    <row r="6080" spans="1:3" x14ac:dyDescent="0.35">
      <c r="A6080" t="s">
        <v>218</v>
      </c>
      <c r="B6080" t="s">
        <v>72</v>
      </c>
      <c r="C6080" t="s">
        <v>6304</v>
      </c>
    </row>
    <row r="6081" spans="1:3" x14ac:dyDescent="0.35">
      <c r="A6081" t="s">
        <v>218</v>
      </c>
      <c r="B6081" t="s">
        <v>72</v>
      </c>
      <c r="C6081" t="s">
        <v>6305</v>
      </c>
    </row>
    <row r="6082" spans="1:3" x14ac:dyDescent="0.35">
      <c r="A6082" t="s">
        <v>218</v>
      </c>
      <c r="B6082" t="s">
        <v>72</v>
      </c>
      <c r="C6082" t="s">
        <v>6306</v>
      </c>
    </row>
    <row r="6083" spans="1:3" x14ac:dyDescent="0.35">
      <c r="A6083" t="s">
        <v>218</v>
      </c>
      <c r="B6083" t="s">
        <v>72</v>
      </c>
      <c r="C6083" t="s">
        <v>6307</v>
      </c>
    </row>
    <row r="6084" spans="1:3" x14ac:dyDescent="0.35">
      <c r="A6084" t="s">
        <v>218</v>
      </c>
      <c r="B6084" t="s">
        <v>72</v>
      </c>
      <c r="C6084" t="s">
        <v>6308</v>
      </c>
    </row>
    <row r="6085" spans="1:3" x14ac:dyDescent="0.35">
      <c r="A6085" t="s">
        <v>218</v>
      </c>
      <c r="B6085" t="s">
        <v>72</v>
      </c>
      <c r="C6085" t="s">
        <v>6309</v>
      </c>
    </row>
    <row r="6086" spans="1:3" x14ac:dyDescent="0.35">
      <c r="A6086" t="s">
        <v>218</v>
      </c>
      <c r="B6086" t="s">
        <v>72</v>
      </c>
      <c r="C6086" t="s">
        <v>6310</v>
      </c>
    </row>
    <row r="6087" spans="1:3" x14ac:dyDescent="0.35">
      <c r="A6087" t="s">
        <v>218</v>
      </c>
      <c r="B6087" t="s">
        <v>72</v>
      </c>
      <c r="C6087" t="s">
        <v>6311</v>
      </c>
    </row>
    <row r="6088" spans="1:3" x14ac:dyDescent="0.35">
      <c r="A6088" t="s">
        <v>218</v>
      </c>
      <c r="B6088" t="s">
        <v>72</v>
      </c>
      <c r="C6088" t="s">
        <v>6312</v>
      </c>
    </row>
    <row r="6089" spans="1:3" x14ac:dyDescent="0.35">
      <c r="A6089" t="s">
        <v>218</v>
      </c>
      <c r="B6089" t="s">
        <v>72</v>
      </c>
      <c r="C6089" t="s">
        <v>6313</v>
      </c>
    </row>
    <row r="6090" spans="1:3" x14ac:dyDescent="0.35">
      <c r="A6090" t="s">
        <v>218</v>
      </c>
      <c r="B6090" t="s">
        <v>72</v>
      </c>
      <c r="C6090" t="s">
        <v>6314</v>
      </c>
    </row>
    <row r="6091" spans="1:3" x14ac:dyDescent="0.35">
      <c r="A6091" t="s">
        <v>218</v>
      </c>
      <c r="B6091" t="s">
        <v>72</v>
      </c>
      <c r="C6091" t="s">
        <v>6315</v>
      </c>
    </row>
    <row r="6092" spans="1:3" x14ac:dyDescent="0.35">
      <c r="A6092" t="s">
        <v>218</v>
      </c>
      <c r="B6092" t="s">
        <v>72</v>
      </c>
      <c r="C6092" t="s">
        <v>6316</v>
      </c>
    </row>
    <row r="6093" spans="1:3" x14ac:dyDescent="0.35">
      <c r="A6093" t="s">
        <v>218</v>
      </c>
      <c r="B6093" t="s">
        <v>72</v>
      </c>
      <c r="C6093" t="s">
        <v>6317</v>
      </c>
    </row>
    <row r="6094" spans="1:3" x14ac:dyDescent="0.35">
      <c r="A6094" t="s">
        <v>218</v>
      </c>
      <c r="B6094" t="s">
        <v>72</v>
      </c>
      <c r="C6094" t="s">
        <v>6318</v>
      </c>
    </row>
    <row r="6095" spans="1:3" x14ac:dyDescent="0.35">
      <c r="A6095" t="s">
        <v>218</v>
      </c>
      <c r="B6095" t="s">
        <v>72</v>
      </c>
      <c r="C6095" t="s">
        <v>6319</v>
      </c>
    </row>
    <row r="6096" spans="1:3" x14ac:dyDescent="0.35">
      <c r="A6096" t="s">
        <v>218</v>
      </c>
      <c r="B6096" t="s">
        <v>72</v>
      </c>
      <c r="C6096" t="s">
        <v>6320</v>
      </c>
    </row>
    <row r="6097" spans="1:3" x14ac:dyDescent="0.35">
      <c r="A6097" t="s">
        <v>218</v>
      </c>
      <c r="B6097" t="s">
        <v>72</v>
      </c>
      <c r="C6097" t="s">
        <v>6321</v>
      </c>
    </row>
    <row r="6098" spans="1:3" x14ac:dyDescent="0.35">
      <c r="A6098" t="s">
        <v>218</v>
      </c>
      <c r="B6098" t="s">
        <v>72</v>
      </c>
      <c r="C6098" t="s">
        <v>72</v>
      </c>
    </row>
    <row r="6099" spans="1:3" x14ac:dyDescent="0.35">
      <c r="A6099" t="s">
        <v>218</v>
      </c>
      <c r="B6099" t="s">
        <v>72</v>
      </c>
      <c r="C6099" t="s">
        <v>6322</v>
      </c>
    </row>
    <row r="6100" spans="1:3" x14ac:dyDescent="0.35">
      <c r="A6100" t="s">
        <v>218</v>
      </c>
      <c r="B6100" t="s">
        <v>72</v>
      </c>
      <c r="C6100" t="s">
        <v>6323</v>
      </c>
    </row>
    <row r="6101" spans="1:3" x14ac:dyDescent="0.35">
      <c r="A6101" t="s">
        <v>218</v>
      </c>
      <c r="B6101" t="s">
        <v>72</v>
      </c>
      <c r="C6101" t="s">
        <v>6324</v>
      </c>
    </row>
    <row r="6102" spans="1:3" x14ac:dyDescent="0.35">
      <c r="A6102" t="s">
        <v>218</v>
      </c>
      <c r="B6102" t="s">
        <v>72</v>
      </c>
      <c r="C6102" t="s">
        <v>6325</v>
      </c>
    </row>
    <row r="6103" spans="1:3" x14ac:dyDescent="0.35">
      <c r="A6103" t="s">
        <v>218</v>
      </c>
      <c r="B6103" t="s">
        <v>72</v>
      </c>
      <c r="C6103" t="s">
        <v>6326</v>
      </c>
    </row>
    <row r="6104" spans="1:3" x14ac:dyDescent="0.35">
      <c r="A6104" t="s">
        <v>218</v>
      </c>
      <c r="B6104" t="s">
        <v>72</v>
      </c>
      <c r="C6104" t="s">
        <v>6327</v>
      </c>
    </row>
    <row r="6105" spans="1:3" x14ac:dyDescent="0.35">
      <c r="A6105" t="s">
        <v>218</v>
      </c>
      <c r="B6105" t="s">
        <v>72</v>
      </c>
      <c r="C6105" t="s">
        <v>6328</v>
      </c>
    </row>
    <row r="6106" spans="1:3" x14ac:dyDescent="0.35">
      <c r="A6106" t="s">
        <v>218</v>
      </c>
      <c r="B6106" t="s">
        <v>72</v>
      </c>
      <c r="C6106" t="s">
        <v>6329</v>
      </c>
    </row>
    <row r="6107" spans="1:3" x14ac:dyDescent="0.35">
      <c r="A6107" t="s">
        <v>218</v>
      </c>
      <c r="B6107" t="s">
        <v>72</v>
      </c>
      <c r="C6107" t="s">
        <v>6330</v>
      </c>
    </row>
    <row r="6108" spans="1:3" x14ac:dyDescent="0.35">
      <c r="A6108" t="s">
        <v>218</v>
      </c>
      <c r="B6108" t="s">
        <v>72</v>
      </c>
      <c r="C6108" t="s">
        <v>6331</v>
      </c>
    </row>
    <row r="6109" spans="1:3" x14ac:dyDescent="0.35">
      <c r="A6109" t="s">
        <v>218</v>
      </c>
      <c r="B6109" t="s">
        <v>72</v>
      </c>
      <c r="C6109" t="s">
        <v>6332</v>
      </c>
    </row>
    <row r="6110" spans="1:3" x14ac:dyDescent="0.35">
      <c r="A6110" t="s">
        <v>218</v>
      </c>
      <c r="B6110" t="s">
        <v>72</v>
      </c>
      <c r="C6110" t="s">
        <v>6333</v>
      </c>
    </row>
    <row r="6111" spans="1:3" x14ac:dyDescent="0.35">
      <c r="A6111" t="s">
        <v>218</v>
      </c>
      <c r="B6111" t="s">
        <v>72</v>
      </c>
      <c r="C6111" t="s">
        <v>6334</v>
      </c>
    </row>
    <row r="6112" spans="1:3" x14ac:dyDescent="0.35">
      <c r="A6112" t="s">
        <v>218</v>
      </c>
      <c r="B6112" t="s">
        <v>72</v>
      </c>
      <c r="C6112" t="s">
        <v>6335</v>
      </c>
    </row>
    <row r="6113" spans="1:3" x14ac:dyDescent="0.35">
      <c r="A6113" t="s">
        <v>218</v>
      </c>
      <c r="B6113" t="s">
        <v>72</v>
      </c>
      <c r="C6113" t="s">
        <v>6336</v>
      </c>
    </row>
    <row r="6114" spans="1:3" x14ac:dyDescent="0.35">
      <c r="A6114" t="s">
        <v>218</v>
      </c>
      <c r="B6114" t="s">
        <v>72</v>
      </c>
      <c r="C6114" t="s">
        <v>6337</v>
      </c>
    </row>
    <row r="6115" spans="1:3" x14ac:dyDescent="0.35">
      <c r="A6115" t="s">
        <v>218</v>
      </c>
      <c r="B6115" t="s">
        <v>72</v>
      </c>
      <c r="C6115" t="s">
        <v>6338</v>
      </c>
    </row>
    <row r="6116" spans="1:3" x14ac:dyDescent="0.35">
      <c r="A6116" t="s">
        <v>218</v>
      </c>
      <c r="B6116" t="s">
        <v>72</v>
      </c>
      <c r="C6116" t="s">
        <v>6339</v>
      </c>
    </row>
    <row r="6117" spans="1:3" x14ac:dyDescent="0.35">
      <c r="A6117" t="s">
        <v>218</v>
      </c>
      <c r="B6117" t="s">
        <v>72</v>
      </c>
      <c r="C6117" t="s">
        <v>6340</v>
      </c>
    </row>
    <row r="6118" spans="1:3" x14ac:dyDescent="0.35">
      <c r="A6118" t="s">
        <v>218</v>
      </c>
      <c r="B6118" t="s">
        <v>276</v>
      </c>
      <c r="C6118" t="s">
        <v>6341</v>
      </c>
    </row>
    <row r="6119" spans="1:3" x14ac:dyDescent="0.35">
      <c r="A6119" t="s">
        <v>218</v>
      </c>
      <c r="B6119" t="s">
        <v>276</v>
      </c>
      <c r="C6119" t="s">
        <v>6342</v>
      </c>
    </row>
    <row r="6120" spans="1:3" x14ac:dyDescent="0.35">
      <c r="A6120" t="s">
        <v>218</v>
      </c>
      <c r="B6120" t="s">
        <v>276</v>
      </c>
      <c r="C6120" t="s">
        <v>6343</v>
      </c>
    </row>
    <row r="6121" spans="1:3" x14ac:dyDescent="0.35">
      <c r="A6121" t="s">
        <v>218</v>
      </c>
      <c r="B6121" t="s">
        <v>276</v>
      </c>
      <c r="C6121" t="s">
        <v>6344</v>
      </c>
    </row>
    <row r="6122" spans="1:3" x14ac:dyDescent="0.35">
      <c r="A6122" t="s">
        <v>218</v>
      </c>
      <c r="B6122" t="s">
        <v>276</v>
      </c>
      <c r="C6122" t="s">
        <v>6345</v>
      </c>
    </row>
    <row r="6123" spans="1:3" x14ac:dyDescent="0.35">
      <c r="A6123" t="s">
        <v>218</v>
      </c>
      <c r="B6123" t="s">
        <v>276</v>
      </c>
      <c r="C6123" t="s">
        <v>6346</v>
      </c>
    </row>
    <row r="6124" spans="1:3" x14ac:dyDescent="0.35">
      <c r="A6124" t="s">
        <v>218</v>
      </c>
      <c r="B6124" t="s">
        <v>276</v>
      </c>
      <c r="C6124" t="s">
        <v>6347</v>
      </c>
    </row>
    <row r="6125" spans="1:3" x14ac:dyDescent="0.35">
      <c r="A6125" t="s">
        <v>218</v>
      </c>
      <c r="B6125" t="s">
        <v>276</v>
      </c>
      <c r="C6125" t="s">
        <v>6348</v>
      </c>
    </row>
    <row r="6126" spans="1:3" x14ac:dyDescent="0.35">
      <c r="A6126" t="s">
        <v>218</v>
      </c>
      <c r="B6126" t="s">
        <v>276</v>
      </c>
      <c r="C6126" t="s">
        <v>6349</v>
      </c>
    </row>
    <row r="6127" spans="1:3" x14ac:dyDescent="0.35">
      <c r="A6127" t="s">
        <v>218</v>
      </c>
      <c r="B6127" t="s">
        <v>276</v>
      </c>
      <c r="C6127" t="s">
        <v>6350</v>
      </c>
    </row>
    <row r="6128" spans="1:3" x14ac:dyDescent="0.35">
      <c r="A6128" t="s">
        <v>218</v>
      </c>
      <c r="B6128" t="s">
        <v>276</v>
      </c>
      <c r="C6128" t="s">
        <v>6351</v>
      </c>
    </row>
    <row r="6129" spans="1:3" x14ac:dyDescent="0.35">
      <c r="A6129" t="s">
        <v>218</v>
      </c>
      <c r="B6129" t="s">
        <v>276</v>
      </c>
      <c r="C6129" t="s">
        <v>6352</v>
      </c>
    </row>
    <row r="6130" spans="1:3" x14ac:dyDescent="0.35">
      <c r="A6130" t="s">
        <v>218</v>
      </c>
      <c r="B6130" t="s">
        <v>276</v>
      </c>
      <c r="C6130" t="s">
        <v>6353</v>
      </c>
    </row>
    <row r="6131" spans="1:3" x14ac:dyDescent="0.35">
      <c r="A6131" t="s">
        <v>218</v>
      </c>
      <c r="B6131" t="s">
        <v>276</v>
      </c>
      <c r="C6131" t="s">
        <v>6354</v>
      </c>
    </row>
    <row r="6132" spans="1:3" x14ac:dyDescent="0.35">
      <c r="A6132" t="s">
        <v>218</v>
      </c>
      <c r="B6132" t="s">
        <v>276</v>
      </c>
      <c r="C6132" t="s">
        <v>6355</v>
      </c>
    </row>
    <row r="6133" spans="1:3" x14ac:dyDescent="0.35">
      <c r="A6133" t="s">
        <v>218</v>
      </c>
      <c r="B6133" t="s">
        <v>276</v>
      </c>
      <c r="C6133" t="s">
        <v>6356</v>
      </c>
    </row>
    <row r="6134" spans="1:3" x14ac:dyDescent="0.35">
      <c r="A6134" t="s">
        <v>218</v>
      </c>
      <c r="B6134" t="s">
        <v>276</v>
      </c>
      <c r="C6134" t="s">
        <v>6357</v>
      </c>
    </row>
    <row r="6135" spans="1:3" x14ac:dyDescent="0.35">
      <c r="A6135" t="s">
        <v>218</v>
      </c>
      <c r="B6135" t="s">
        <v>276</v>
      </c>
      <c r="C6135" t="s">
        <v>6358</v>
      </c>
    </row>
    <row r="6136" spans="1:3" x14ac:dyDescent="0.35">
      <c r="A6136" t="s">
        <v>218</v>
      </c>
      <c r="B6136" t="s">
        <v>276</v>
      </c>
      <c r="C6136" t="s">
        <v>6359</v>
      </c>
    </row>
    <row r="6137" spans="1:3" x14ac:dyDescent="0.35">
      <c r="A6137" t="s">
        <v>218</v>
      </c>
      <c r="B6137" t="s">
        <v>276</v>
      </c>
      <c r="C6137" t="s">
        <v>6360</v>
      </c>
    </row>
    <row r="6138" spans="1:3" x14ac:dyDescent="0.35">
      <c r="A6138" t="s">
        <v>218</v>
      </c>
      <c r="B6138" t="s">
        <v>276</v>
      </c>
      <c r="C6138" t="s">
        <v>6361</v>
      </c>
    </row>
    <row r="6139" spans="1:3" x14ac:dyDescent="0.35">
      <c r="A6139" t="s">
        <v>218</v>
      </c>
      <c r="B6139" t="s">
        <v>276</v>
      </c>
      <c r="C6139" t="s">
        <v>6362</v>
      </c>
    </row>
    <row r="6140" spans="1:3" x14ac:dyDescent="0.35">
      <c r="A6140" t="s">
        <v>218</v>
      </c>
      <c r="B6140" t="s">
        <v>276</v>
      </c>
      <c r="C6140" t="s">
        <v>6363</v>
      </c>
    </row>
    <row r="6141" spans="1:3" x14ac:dyDescent="0.35">
      <c r="A6141" t="s">
        <v>218</v>
      </c>
      <c r="B6141" t="s">
        <v>276</v>
      </c>
      <c r="C6141" t="s">
        <v>6364</v>
      </c>
    </row>
    <row r="6142" spans="1:3" x14ac:dyDescent="0.35">
      <c r="A6142" t="s">
        <v>218</v>
      </c>
      <c r="B6142" t="s">
        <v>276</v>
      </c>
      <c r="C6142" t="s">
        <v>6365</v>
      </c>
    </row>
    <row r="6143" spans="1:3" x14ac:dyDescent="0.35">
      <c r="A6143" t="s">
        <v>218</v>
      </c>
      <c r="B6143" t="s">
        <v>276</v>
      </c>
      <c r="C6143" t="s">
        <v>6366</v>
      </c>
    </row>
    <row r="6144" spans="1:3" x14ac:dyDescent="0.35">
      <c r="A6144" t="s">
        <v>218</v>
      </c>
      <c r="B6144" t="s">
        <v>276</v>
      </c>
      <c r="C6144" t="s">
        <v>6367</v>
      </c>
    </row>
    <row r="6145" spans="1:3" x14ac:dyDescent="0.35">
      <c r="A6145" t="s">
        <v>218</v>
      </c>
      <c r="B6145" t="s">
        <v>276</v>
      </c>
      <c r="C6145" t="s">
        <v>6368</v>
      </c>
    </row>
    <row r="6146" spans="1:3" x14ac:dyDescent="0.35">
      <c r="A6146" t="s">
        <v>218</v>
      </c>
      <c r="B6146" t="s">
        <v>276</v>
      </c>
      <c r="C6146" t="s">
        <v>6369</v>
      </c>
    </row>
    <row r="6147" spans="1:3" x14ac:dyDescent="0.35">
      <c r="A6147" t="s">
        <v>218</v>
      </c>
      <c r="B6147" t="s">
        <v>276</v>
      </c>
      <c r="C6147" t="s">
        <v>6370</v>
      </c>
    </row>
    <row r="6148" spans="1:3" x14ac:dyDescent="0.35">
      <c r="A6148" t="s">
        <v>218</v>
      </c>
      <c r="B6148" t="s">
        <v>276</v>
      </c>
      <c r="C6148" t="s">
        <v>6371</v>
      </c>
    </row>
    <row r="6149" spans="1:3" x14ac:dyDescent="0.35">
      <c r="A6149" t="s">
        <v>218</v>
      </c>
      <c r="B6149" t="s">
        <v>276</v>
      </c>
      <c r="C6149" t="s">
        <v>6372</v>
      </c>
    </row>
    <row r="6150" spans="1:3" x14ac:dyDescent="0.35">
      <c r="A6150" t="s">
        <v>218</v>
      </c>
      <c r="B6150" t="s">
        <v>276</v>
      </c>
      <c r="C6150" t="s">
        <v>6373</v>
      </c>
    </row>
    <row r="6151" spans="1:3" x14ac:dyDescent="0.35">
      <c r="A6151" t="s">
        <v>218</v>
      </c>
      <c r="B6151" t="s">
        <v>276</v>
      </c>
      <c r="C6151" t="s">
        <v>6374</v>
      </c>
    </row>
    <row r="6152" spans="1:3" x14ac:dyDescent="0.35">
      <c r="A6152" t="s">
        <v>218</v>
      </c>
      <c r="B6152" t="s">
        <v>276</v>
      </c>
      <c r="C6152" t="s">
        <v>6375</v>
      </c>
    </row>
    <row r="6153" spans="1:3" x14ac:dyDescent="0.35">
      <c r="A6153" t="s">
        <v>218</v>
      </c>
      <c r="B6153" t="s">
        <v>276</v>
      </c>
      <c r="C6153" t="s">
        <v>6376</v>
      </c>
    </row>
    <row r="6154" spans="1:3" x14ac:dyDescent="0.35">
      <c r="A6154" t="s">
        <v>218</v>
      </c>
      <c r="B6154" t="s">
        <v>276</v>
      </c>
      <c r="C6154" t="s">
        <v>6377</v>
      </c>
    </row>
    <row r="6155" spans="1:3" x14ac:dyDescent="0.35">
      <c r="A6155" t="s">
        <v>218</v>
      </c>
      <c r="B6155" t="s">
        <v>276</v>
      </c>
      <c r="C6155" t="s">
        <v>6378</v>
      </c>
    </row>
    <row r="6156" spans="1:3" x14ac:dyDescent="0.35">
      <c r="A6156" t="s">
        <v>218</v>
      </c>
      <c r="B6156" t="s">
        <v>276</v>
      </c>
      <c r="C6156" t="s">
        <v>6379</v>
      </c>
    </row>
    <row r="6157" spans="1:3" x14ac:dyDescent="0.35">
      <c r="A6157" t="s">
        <v>218</v>
      </c>
      <c r="B6157" t="s">
        <v>276</v>
      </c>
      <c r="C6157" t="s">
        <v>6380</v>
      </c>
    </row>
    <row r="6158" spans="1:3" x14ac:dyDescent="0.35">
      <c r="A6158" t="s">
        <v>218</v>
      </c>
      <c r="B6158" t="s">
        <v>276</v>
      </c>
      <c r="C6158" t="s">
        <v>6381</v>
      </c>
    </row>
    <row r="6159" spans="1:3" x14ac:dyDescent="0.35">
      <c r="A6159" t="s">
        <v>218</v>
      </c>
      <c r="B6159" t="s">
        <v>276</v>
      </c>
      <c r="C6159" t="s">
        <v>6382</v>
      </c>
    </row>
    <row r="6160" spans="1:3" x14ac:dyDescent="0.35">
      <c r="A6160" t="s">
        <v>218</v>
      </c>
      <c r="B6160" t="s">
        <v>276</v>
      </c>
      <c r="C6160" t="s">
        <v>6383</v>
      </c>
    </row>
    <row r="6161" spans="1:3" x14ac:dyDescent="0.35">
      <c r="A6161" t="s">
        <v>218</v>
      </c>
      <c r="B6161" t="s">
        <v>276</v>
      </c>
      <c r="C6161" t="s">
        <v>6384</v>
      </c>
    </row>
    <row r="6162" spans="1:3" x14ac:dyDescent="0.35">
      <c r="A6162" t="s">
        <v>218</v>
      </c>
      <c r="B6162" t="s">
        <v>276</v>
      </c>
      <c r="C6162" t="s">
        <v>6385</v>
      </c>
    </row>
    <row r="6163" spans="1:3" x14ac:dyDescent="0.35">
      <c r="A6163" t="s">
        <v>218</v>
      </c>
      <c r="B6163" t="s">
        <v>276</v>
      </c>
      <c r="C6163" t="s">
        <v>6386</v>
      </c>
    </row>
    <row r="6164" spans="1:3" x14ac:dyDescent="0.35">
      <c r="A6164" t="s">
        <v>218</v>
      </c>
      <c r="B6164" t="s">
        <v>276</v>
      </c>
      <c r="C6164" t="s">
        <v>6387</v>
      </c>
    </row>
    <row r="6165" spans="1:3" x14ac:dyDescent="0.35">
      <c r="A6165" t="s">
        <v>218</v>
      </c>
      <c r="B6165" t="s">
        <v>276</v>
      </c>
      <c r="C6165" t="s">
        <v>6388</v>
      </c>
    </row>
    <row r="6166" spans="1:3" x14ac:dyDescent="0.35">
      <c r="A6166" t="s">
        <v>218</v>
      </c>
      <c r="B6166" t="s">
        <v>276</v>
      </c>
      <c r="C6166" t="s">
        <v>6389</v>
      </c>
    </row>
    <row r="6167" spans="1:3" x14ac:dyDescent="0.35">
      <c r="A6167" t="s">
        <v>218</v>
      </c>
      <c r="B6167" t="s">
        <v>276</v>
      </c>
      <c r="C6167" t="s">
        <v>6390</v>
      </c>
    </row>
    <row r="6168" spans="1:3" x14ac:dyDescent="0.35">
      <c r="A6168" t="s">
        <v>218</v>
      </c>
      <c r="B6168" t="s">
        <v>276</v>
      </c>
      <c r="C6168" t="s">
        <v>6391</v>
      </c>
    </row>
    <row r="6169" spans="1:3" x14ac:dyDescent="0.35">
      <c r="A6169" t="s">
        <v>218</v>
      </c>
      <c r="B6169" t="s">
        <v>276</v>
      </c>
      <c r="C6169" t="s">
        <v>6392</v>
      </c>
    </row>
    <row r="6170" spans="1:3" x14ac:dyDescent="0.35">
      <c r="A6170" t="s">
        <v>218</v>
      </c>
      <c r="B6170" t="s">
        <v>276</v>
      </c>
      <c r="C6170" t="s">
        <v>6393</v>
      </c>
    </row>
    <row r="6171" spans="1:3" x14ac:dyDescent="0.35">
      <c r="A6171" t="s">
        <v>218</v>
      </c>
      <c r="B6171" t="s">
        <v>276</v>
      </c>
      <c r="C6171" t="s">
        <v>6394</v>
      </c>
    </row>
    <row r="6172" spans="1:3" x14ac:dyDescent="0.35">
      <c r="A6172" t="s">
        <v>218</v>
      </c>
      <c r="B6172" t="s">
        <v>276</v>
      </c>
      <c r="C6172" t="s">
        <v>6395</v>
      </c>
    </row>
    <row r="6173" spans="1:3" x14ac:dyDescent="0.35">
      <c r="A6173" t="s">
        <v>218</v>
      </c>
      <c r="B6173" t="s">
        <v>276</v>
      </c>
      <c r="C6173" t="s">
        <v>6396</v>
      </c>
    </row>
    <row r="6174" spans="1:3" x14ac:dyDescent="0.35">
      <c r="A6174" t="s">
        <v>218</v>
      </c>
      <c r="B6174" t="s">
        <v>276</v>
      </c>
      <c r="C6174" t="s">
        <v>6397</v>
      </c>
    </row>
    <row r="6175" spans="1:3" x14ac:dyDescent="0.35">
      <c r="A6175" t="s">
        <v>218</v>
      </c>
      <c r="B6175" t="s">
        <v>276</v>
      </c>
      <c r="C6175" t="s">
        <v>6398</v>
      </c>
    </row>
    <row r="6176" spans="1:3" x14ac:dyDescent="0.35">
      <c r="A6176" t="s">
        <v>218</v>
      </c>
      <c r="B6176" t="s">
        <v>276</v>
      </c>
      <c r="C6176" t="s">
        <v>6399</v>
      </c>
    </row>
    <row r="6177" spans="1:3" x14ac:dyDescent="0.35">
      <c r="A6177" t="s">
        <v>218</v>
      </c>
      <c r="B6177" t="s">
        <v>276</v>
      </c>
      <c r="C6177" t="s">
        <v>6400</v>
      </c>
    </row>
    <row r="6178" spans="1:3" x14ac:dyDescent="0.35">
      <c r="A6178" t="s">
        <v>218</v>
      </c>
      <c r="B6178" t="s">
        <v>276</v>
      </c>
      <c r="C6178" t="s">
        <v>6401</v>
      </c>
    </row>
    <row r="6179" spans="1:3" x14ac:dyDescent="0.35">
      <c r="A6179" t="s">
        <v>218</v>
      </c>
      <c r="B6179" t="s">
        <v>276</v>
      </c>
      <c r="C6179" t="s">
        <v>6402</v>
      </c>
    </row>
    <row r="6180" spans="1:3" x14ac:dyDescent="0.35">
      <c r="A6180" t="s">
        <v>218</v>
      </c>
      <c r="B6180" t="s">
        <v>276</v>
      </c>
      <c r="C6180" t="s">
        <v>6403</v>
      </c>
    </row>
    <row r="6181" spans="1:3" x14ac:dyDescent="0.35">
      <c r="A6181" t="s">
        <v>218</v>
      </c>
      <c r="B6181" t="s">
        <v>276</v>
      </c>
      <c r="C6181" t="s">
        <v>6404</v>
      </c>
    </row>
    <row r="6182" spans="1:3" x14ac:dyDescent="0.35">
      <c r="A6182" t="s">
        <v>218</v>
      </c>
      <c r="B6182" t="s">
        <v>276</v>
      </c>
      <c r="C6182" t="s">
        <v>6405</v>
      </c>
    </row>
    <row r="6183" spans="1:3" x14ac:dyDescent="0.35">
      <c r="A6183" t="s">
        <v>218</v>
      </c>
      <c r="B6183" t="s">
        <v>276</v>
      </c>
      <c r="C6183" t="s">
        <v>6406</v>
      </c>
    </row>
    <row r="6184" spans="1:3" x14ac:dyDescent="0.35">
      <c r="A6184" t="s">
        <v>218</v>
      </c>
      <c r="B6184" t="s">
        <v>276</v>
      </c>
      <c r="C6184" t="s">
        <v>6407</v>
      </c>
    </row>
    <row r="6185" spans="1:3" x14ac:dyDescent="0.35">
      <c r="A6185" t="s">
        <v>218</v>
      </c>
      <c r="B6185" t="s">
        <v>276</v>
      </c>
      <c r="C6185" t="s">
        <v>6408</v>
      </c>
    </row>
    <row r="6186" spans="1:3" x14ac:dyDescent="0.35">
      <c r="A6186" t="s">
        <v>218</v>
      </c>
      <c r="B6186" t="s">
        <v>276</v>
      </c>
      <c r="C6186" t="s">
        <v>6409</v>
      </c>
    </row>
    <row r="6187" spans="1:3" x14ac:dyDescent="0.35">
      <c r="A6187" t="s">
        <v>218</v>
      </c>
      <c r="B6187" t="s">
        <v>276</v>
      </c>
      <c r="C6187" t="s">
        <v>6410</v>
      </c>
    </row>
    <row r="6188" spans="1:3" x14ac:dyDescent="0.35">
      <c r="A6188" t="s">
        <v>218</v>
      </c>
      <c r="B6188" t="s">
        <v>276</v>
      </c>
      <c r="C6188" t="s">
        <v>6411</v>
      </c>
    </row>
    <row r="6189" spans="1:3" x14ac:dyDescent="0.35">
      <c r="A6189" t="s">
        <v>218</v>
      </c>
      <c r="B6189" t="s">
        <v>276</v>
      </c>
      <c r="C6189" t="s">
        <v>6412</v>
      </c>
    </row>
    <row r="6190" spans="1:3" x14ac:dyDescent="0.35">
      <c r="A6190" t="s">
        <v>218</v>
      </c>
      <c r="B6190" t="s">
        <v>276</v>
      </c>
      <c r="C6190" t="s">
        <v>6413</v>
      </c>
    </row>
    <row r="6191" spans="1:3" x14ac:dyDescent="0.35">
      <c r="A6191" t="s">
        <v>218</v>
      </c>
      <c r="B6191" t="s">
        <v>276</v>
      </c>
      <c r="C6191" t="s">
        <v>6414</v>
      </c>
    </row>
    <row r="6192" spans="1:3" x14ac:dyDescent="0.35">
      <c r="A6192" t="s">
        <v>218</v>
      </c>
      <c r="B6192" t="s">
        <v>276</v>
      </c>
      <c r="C6192" t="s">
        <v>6415</v>
      </c>
    </row>
    <row r="6193" spans="1:3" x14ac:dyDescent="0.35">
      <c r="A6193" t="s">
        <v>218</v>
      </c>
      <c r="B6193" t="s">
        <v>276</v>
      </c>
      <c r="C6193" t="s">
        <v>6416</v>
      </c>
    </row>
    <row r="6194" spans="1:3" x14ac:dyDescent="0.35">
      <c r="A6194" t="s">
        <v>218</v>
      </c>
      <c r="B6194" t="s">
        <v>276</v>
      </c>
      <c r="C6194" t="s">
        <v>6417</v>
      </c>
    </row>
    <row r="6195" spans="1:3" x14ac:dyDescent="0.35">
      <c r="A6195" t="s">
        <v>218</v>
      </c>
      <c r="B6195" t="s">
        <v>276</v>
      </c>
      <c r="C6195" t="s">
        <v>6418</v>
      </c>
    </row>
    <row r="6196" spans="1:3" x14ac:dyDescent="0.35">
      <c r="A6196" t="s">
        <v>218</v>
      </c>
      <c r="B6196" t="s">
        <v>276</v>
      </c>
      <c r="C6196" t="s">
        <v>6419</v>
      </c>
    </row>
    <row r="6197" spans="1:3" x14ac:dyDescent="0.35">
      <c r="A6197" t="s">
        <v>218</v>
      </c>
      <c r="B6197" t="s">
        <v>276</v>
      </c>
      <c r="C6197" t="s">
        <v>6420</v>
      </c>
    </row>
    <row r="6198" spans="1:3" x14ac:dyDescent="0.35">
      <c r="A6198" t="s">
        <v>218</v>
      </c>
      <c r="B6198" t="s">
        <v>276</v>
      </c>
      <c r="C6198" t="s">
        <v>6421</v>
      </c>
    </row>
    <row r="6199" spans="1:3" x14ac:dyDescent="0.35">
      <c r="A6199" t="s">
        <v>218</v>
      </c>
      <c r="B6199" t="s">
        <v>276</v>
      </c>
      <c r="C6199" t="s">
        <v>6422</v>
      </c>
    </row>
    <row r="6200" spans="1:3" x14ac:dyDescent="0.35">
      <c r="A6200" t="s">
        <v>218</v>
      </c>
      <c r="B6200" t="s">
        <v>276</v>
      </c>
      <c r="C6200" t="s">
        <v>6423</v>
      </c>
    </row>
    <row r="6201" spans="1:3" x14ac:dyDescent="0.35">
      <c r="A6201" t="s">
        <v>218</v>
      </c>
      <c r="B6201" t="s">
        <v>276</v>
      </c>
      <c r="C6201" t="s">
        <v>6424</v>
      </c>
    </row>
    <row r="6202" spans="1:3" x14ac:dyDescent="0.35">
      <c r="A6202" t="s">
        <v>218</v>
      </c>
      <c r="B6202" t="s">
        <v>276</v>
      </c>
      <c r="C6202" t="s">
        <v>6425</v>
      </c>
    </row>
    <row r="6203" spans="1:3" x14ac:dyDescent="0.35">
      <c r="A6203" t="s">
        <v>218</v>
      </c>
      <c r="B6203" t="s">
        <v>276</v>
      </c>
      <c r="C6203" t="s">
        <v>6426</v>
      </c>
    </row>
    <row r="6204" spans="1:3" x14ac:dyDescent="0.35">
      <c r="A6204" t="s">
        <v>218</v>
      </c>
      <c r="B6204" t="s">
        <v>276</v>
      </c>
      <c r="C6204" t="s">
        <v>6427</v>
      </c>
    </row>
    <row r="6205" spans="1:3" x14ac:dyDescent="0.35">
      <c r="A6205" t="s">
        <v>218</v>
      </c>
      <c r="B6205" t="s">
        <v>276</v>
      </c>
      <c r="C6205" t="s">
        <v>6428</v>
      </c>
    </row>
    <row r="6206" spans="1:3" x14ac:dyDescent="0.35">
      <c r="A6206" t="s">
        <v>218</v>
      </c>
      <c r="B6206" t="s">
        <v>276</v>
      </c>
      <c r="C6206" t="s">
        <v>6429</v>
      </c>
    </row>
    <row r="6207" spans="1:3" x14ac:dyDescent="0.35">
      <c r="A6207" t="s">
        <v>218</v>
      </c>
      <c r="B6207" t="s">
        <v>276</v>
      </c>
      <c r="C6207" t="s">
        <v>6430</v>
      </c>
    </row>
    <row r="6208" spans="1:3" x14ac:dyDescent="0.35">
      <c r="A6208" t="s">
        <v>218</v>
      </c>
      <c r="B6208" t="s">
        <v>276</v>
      </c>
      <c r="C6208" t="s">
        <v>6431</v>
      </c>
    </row>
    <row r="6209" spans="1:3" x14ac:dyDescent="0.35">
      <c r="A6209" t="s">
        <v>218</v>
      </c>
      <c r="B6209" t="s">
        <v>276</v>
      </c>
      <c r="C6209" t="s">
        <v>6432</v>
      </c>
    </row>
    <row r="6210" spans="1:3" x14ac:dyDescent="0.35">
      <c r="A6210" t="s">
        <v>218</v>
      </c>
      <c r="B6210" t="s">
        <v>276</v>
      </c>
      <c r="C6210" t="s">
        <v>6433</v>
      </c>
    </row>
    <row r="6211" spans="1:3" x14ac:dyDescent="0.35">
      <c r="A6211" t="s">
        <v>218</v>
      </c>
      <c r="B6211" t="s">
        <v>276</v>
      </c>
      <c r="C6211" t="s">
        <v>6434</v>
      </c>
    </row>
    <row r="6212" spans="1:3" x14ac:dyDescent="0.35">
      <c r="A6212" t="s">
        <v>218</v>
      </c>
      <c r="B6212" t="s">
        <v>276</v>
      </c>
      <c r="C6212" t="s">
        <v>6435</v>
      </c>
    </row>
    <row r="6213" spans="1:3" x14ac:dyDescent="0.35">
      <c r="A6213" t="s">
        <v>218</v>
      </c>
      <c r="B6213" t="s">
        <v>276</v>
      </c>
      <c r="C6213" t="s">
        <v>6436</v>
      </c>
    </row>
    <row r="6214" spans="1:3" x14ac:dyDescent="0.35">
      <c r="A6214" t="s">
        <v>218</v>
      </c>
      <c r="B6214" t="s">
        <v>276</v>
      </c>
      <c r="C6214" t="s">
        <v>6437</v>
      </c>
    </row>
    <row r="6215" spans="1:3" x14ac:dyDescent="0.35">
      <c r="A6215" t="s">
        <v>218</v>
      </c>
      <c r="B6215" t="s">
        <v>276</v>
      </c>
      <c r="C6215" t="s">
        <v>6438</v>
      </c>
    </row>
    <row r="6216" spans="1:3" x14ac:dyDescent="0.35">
      <c r="A6216" t="s">
        <v>218</v>
      </c>
      <c r="B6216" t="s">
        <v>276</v>
      </c>
      <c r="C6216" t="s">
        <v>6439</v>
      </c>
    </row>
    <row r="6217" spans="1:3" x14ac:dyDescent="0.35">
      <c r="A6217" t="s">
        <v>218</v>
      </c>
      <c r="B6217" t="s">
        <v>276</v>
      </c>
      <c r="C6217" t="s">
        <v>6440</v>
      </c>
    </row>
    <row r="6218" spans="1:3" x14ac:dyDescent="0.35">
      <c r="A6218" t="s">
        <v>218</v>
      </c>
      <c r="B6218" t="s">
        <v>276</v>
      </c>
      <c r="C6218" t="s">
        <v>6441</v>
      </c>
    </row>
    <row r="6219" spans="1:3" x14ac:dyDescent="0.35">
      <c r="A6219" t="s">
        <v>218</v>
      </c>
      <c r="B6219" t="s">
        <v>276</v>
      </c>
      <c r="C6219" t="s">
        <v>6442</v>
      </c>
    </row>
    <row r="6220" spans="1:3" x14ac:dyDescent="0.35">
      <c r="A6220" t="s">
        <v>218</v>
      </c>
      <c r="B6220" t="s">
        <v>276</v>
      </c>
      <c r="C6220" t="s">
        <v>6443</v>
      </c>
    </row>
    <row r="6221" spans="1:3" x14ac:dyDescent="0.35">
      <c r="A6221" t="s">
        <v>218</v>
      </c>
      <c r="B6221" t="s">
        <v>276</v>
      </c>
      <c r="C6221" t="s">
        <v>6444</v>
      </c>
    </row>
    <row r="6222" spans="1:3" x14ac:dyDescent="0.35">
      <c r="A6222" t="s">
        <v>218</v>
      </c>
      <c r="B6222" t="s">
        <v>276</v>
      </c>
      <c r="C6222" t="s">
        <v>6445</v>
      </c>
    </row>
    <row r="6223" spans="1:3" x14ac:dyDescent="0.35">
      <c r="A6223" t="s">
        <v>218</v>
      </c>
      <c r="B6223" t="s">
        <v>276</v>
      </c>
      <c r="C6223" t="s">
        <v>6446</v>
      </c>
    </row>
    <row r="6224" spans="1:3" x14ac:dyDescent="0.35">
      <c r="A6224" t="s">
        <v>218</v>
      </c>
      <c r="B6224" t="s">
        <v>276</v>
      </c>
      <c r="C6224" t="s">
        <v>6447</v>
      </c>
    </row>
    <row r="6225" spans="1:3" x14ac:dyDescent="0.35">
      <c r="A6225" t="s">
        <v>117</v>
      </c>
      <c r="B6225" t="s">
        <v>146</v>
      </c>
      <c r="C6225" t="s">
        <v>146</v>
      </c>
    </row>
    <row r="6226" spans="1:3" x14ac:dyDescent="0.35">
      <c r="A6226" t="s">
        <v>117</v>
      </c>
      <c r="B6226" t="s">
        <v>146</v>
      </c>
      <c r="C6226" t="s">
        <v>6448</v>
      </c>
    </row>
    <row r="6227" spans="1:3" x14ac:dyDescent="0.35">
      <c r="A6227" t="s">
        <v>117</v>
      </c>
      <c r="B6227" t="s">
        <v>146</v>
      </c>
      <c r="C6227" t="s">
        <v>6449</v>
      </c>
    </row>
    <row r="6228" spans="1:3" x14ac:dyDescent="0.35">
      <c r="A6228" t="s">
        <v>117</v>
      </c>
      <c r="B6228" t="s">
        <v>146</v>
      </c>
      <c r="C6228" t="s">
        <v>6450</v>
      </c>
    </row>
    <row r="6229" spans="1:3" x14ac:dyDescent="0.35">
      <c r="A6229" t="s">
        <v>117</v>
      </c>
      <c r="B6229" t="s">
        <v>146</v>
      </c>
      <c r="C6229" t="s">
        <v>6451</v>
      </c>
    </row>
    <row r="6230" spans="1:3" x14ac:dyDescent="0.35">
      <c r="A6230" t="s">
        <v>117</v>
      </c>
      <c r="B6230" t="s">
        <v>146</v>
      </c>
      <c r="C6230" t="s">
        <v>6452</v>
      </c>
    </row>
    <row r="6231" spans="1:3" x14ac:dyDescent="0.35">
      <c r="A6231" t="s">
        <v>117</v>
      </c>
      <c r="B6231" t="s">
        <v>146</v>
      </c>
      <c r="C6231" t="s">
        <v>6453</v>
      </c>
    </row>
    <row r="6232" spans="1:3" x14ac:dyDescent="0.35">
      <c r="A6232" t="s">
        <v>117</v>
      </c>
      <c r="B6232" t="s">
        <v>146</v>
      </c>
      <c r="C6232" t="s">
        <v>6454</v>
      </c>
    </row>
    <row r="6233" spans="1:3" x14ac:dyDescent="0.35">
      <c r="A6233" t="s">
        <v>117</v>
      </c>
      <c r="B6233" t="s">
        <v>146</v>
      </c>
      <c r="C6233" t="s">
        <v>6455</v>
      </c>
    </row>
    <row r="6234" spans="1:3" x14ac:dyDescent="0.35">
      <c r="A6234" t="s">
        <v>117</v>
      </c>
      <c r="B6234" t="s">
        <v>146</v>
      </c>
      <c r="C6234" t="s">
        <v>6456</v>
      </c>
    </row>
    <row r="6235" spans="1:3" x14ac:dyDescent="0.35">
      <c r="A6235" t="s">
        <v>117</v>
      </c>
      <c r="B6235" t="s">
        <v>146</v>
      </c>
      <c r="C6235" t="s">
        <v>6457</v>
      </c>
    </row>
    <row r="6236" spans="1:3" x14ac:dyDescent="0.35">
      <c r="A6236" t="s">
        <v>117</v>
      </c>
      <c r="B6236" t="s">
        <v>146</v>
      </c>
      <c r="C6236" t="s">
        <v>6458</v>
      </c>
    </row>
    <row r="6237" spans="1:3" x14ac:dyDescent="0.35">
      <c r="A6237" t="s">
        <v>117</v>
      </c>
      <c r="B6237" t="s">
        <v>146</v>
      </c>
      <c r="C6237" t="s">
        <v>6459</v>
      </c>
    </row>
    <row r="6238" spans="1:3" x14ac:dyDescent="0.35">
      <c r="A6238" t="s">
        <v>117</v>
      </c>
      <c r="B6238" t="s">
        <v>146</v>
      </c>
      <c r="C6238" t="s">
        <v>6460</v>
      </c>
    </row>
    <row r="6239" spans="1:3" x14ac:dyDescent="0.35">
      <c r="A6239" t="s">
        <v>117</v>
      </c>
      <c r="B6239" t="s">
        <v>146</v>
      </c>
      <c r="C6239" t="s">
        <v>6461</v>
      </c>
    </row>
    <row r="6240" spans="1:3" x14ac:dyDescent="0.35">
      <c r="A6240" t="s">
        <v>117</v>
      </c>
      <c r="B6240" t="s">
        <v>146</v>
      </c>
      <c r="C6240" t="s">
        <v>6462</v>
      </c>
    </row>
    <row r="6241" spans="1:3" x14ac:dyDescent="0.35">
      <c r="A6241" t="s">
        <v>117</v>
      </c>
      <c r="B6241" t="s">
        <v>146</v>
      </c>
      <c r="C6241" t="s">
        <v>147</v>
      </c>
    </row>
    <row r="6242" spans="1:3" x14ac:dyDescent="0.35">
      <c r="A6242" t="s">
        <v>117</v>
      </c>
      <c r="B6242" t="s">
        <v>146</v>
      </c>
      <c r="C6242" t="s">
        <v>6463</v>
      </c>
    </row>
    <row r="6243" spans="1:3" x14ac:dyDescent="0.35">
      <c r="A6243" t="s">
        <v>117</v>
      </c>
      <c r="B6243" t="s">
        <v>146</v>
      </c>
      <c r="C6243" t="s">
        <v>6464</v>
      </c>
    </row>
    <row r="6244" spans="1:3" x14ac:dyDescent="0.35">
      <c r="A6244" t="s">
        <v>117</v>
      </c>
      <c r="B6244" t="s">
        <v>146</v>
      </c>
      <c r="C6244" t="s">
        <v>6465</v>
      </c>
    </row>
    <row r="6245" spans="1:3" x14ac:dyDescent="0.35">
      <c r="A6245" t="s">
        <v>117</v>
      </c>
      <c r="B6245" t="s">
        <v>146</v>
      </c>
      <c r="C6245" t="s">
        <v>172</v>
      </c>
    </row>
    <row r="6246" spans="1:3" x14ac:dyDescent="0.35">
      <c r="A6246" t="s">
        <v>117</v>
      </c>
      <c r="B6246" t="s">
        <v>146</v>
      </c>
      <c r="C6246" t="s">
        <v>6466</v>
      </c>
    </row>
    <row r="6247" spans="1:3" x14ac:dyDescent="0.35">
      <c r="A6247" t="s">
        <v>117</v>
      </c>
      <c r="B6247" t="s">
        <v>146</v>
      </c>
      <c r="C6247" t="s">
        <v>6467</v>
      </c>
    </row>
    <row r="6248" spans="1:3" x14ac:dyDescent="0.35">
      <c r="A6248" t="s">
        <v>117</v>
      </c>
      <c r="B6248" t="s">
        <v>146</v>
      </c>
      <c r="C6248" t="s">
        <v>6468</v>
      </c>
    </row>
    <row r="6249" spans="1:3" x14ac:dyDescent="0.35">
      <c r="A6249" t="s">
        <v>117</v>
      </c>
      <c r="B6249" t="s">
        <v>146</v>
      </c>
      <c r="C6249" t="s">
        <v>6469</v>
      </c>
    </row>
    <row r="6250" spans="1:3" x14ac:dyDescent="0.35">
      <c r="A6250" t="s">
        <v>117</v>
      </c>
      <c r="B6250" t="s">
        <v>146</v>
      </c>
      <c r="C6250" t="s">
        <v>6470</v>
      </c>
    </row>
    <row r="6251" spans="1:3" x14ac:dyDescent="0.35">
      <c r="A6251" t="s">
        <v>117</v>
      </c>
      <c r="B6251" t="s">
        <v>146</v>
      </c>
      <c r="C6251" t="s">
        <v>6471</v>
      </c>
    </row>
    <row r="6252" spans="1:3" x14ac:dyDescent="0.35">
      <c r="A6252" t="s">
        <v>117</v>
      </c>
      <c r="B6252" t="s">
        <v>146</v>
      </c>
      <c r="C6252" t="s">
        <v>6472</v>
      </c>
    </row>
    <row r="6253" spans="1:3" x14ac:dyDescent="0.35">
      <c r="A6253" t="s">
        <v>117</v>
      </c>
      <c r="B6253" t="s">
        <v>146</v>
      </c>
      <c r="C6253" t="s">
        <v>6473</v>
      </c>
    </row>
    <row r="6254" spans="1:3" x14ac:dyDescent="0.35">
      <c r="A6254" t="s">
        <v>117</v>
      </c>
      <c r="B6254" t="s">
        <v>146</v>
      </c>
      <c r="C6254" t="s">
        <v>6474</v>
      </c>
    </row>
    <row r="6255" spans="1:3" x14ac:dyDescent="0.35">
      <c r="A6255" t="s">
        <v>117</v>
      </c>
      <c r="B6255" t="s">
        <v>146</v>
      </c>
      <c r="C6255" t="s">
        <v>6475</v>
      </c>
    </row>
    <row r="6256" spans="1:3" x14ac:dyDescent="0.35">
      <c r="A6256" t="s">
        <v>117</v>
      </c>
      <c r="B6256" t="s">
        <v>146</v>
      </c>
      <c r="C6256" t="s">
        <v>6476</v>
      </c>
    </row>
    <row r="6257" spans="1:3" x14ac:dyDescent="0.35">
      <c r="A6257" t="s">
        <v>117</v>
      </c>
      <c r="B6257" t="s">
        <v>146</v>
      </c>
      <c r="C6257" t="s">
        <v>6477</v>
      </c>
    </row>
    <row r="6258" spans="1:3" x14ac:dyDescent="0.35">
      <c r="A6258" t="s">
        <v>117</v>
      </c>
      <c r="B6258" t="s">
        <v>146</v>
      </c>
      <c r="C6258" t="s">
        <v>6478</v>
      </c>
    </row>
    <row r="6259" spans="1:3" x14ac:dyDescent="0.35">
      <c r="A6259" t="s">
        <v>117</v>
      </c>
      <c r="B6259" t="s">
        <v>146</v>
      </c>
      <c r="C6259" t="s">
        <v>6479</v>
      </c>
    </row>
    <row r="6260" spans="1:3" x14ac:dyDescent="0.35">
      <c r="A6260" t="s">
        <v>117</v>
      </c>
      <c r="B6260" t="s">
        <v>146</v>
      </c>
      <c r="C6260" t="s">
        <v>6480</v>
      </c>
    </row>
    <row r="6261" spans="1:3" x14ac:dyDescent="0.35">
      <c r="A6261" t="s">
        <v>117</v>
      </c>
      <c r="B6261" t="s">
        <v>146</v>
      </c>
      <c r="C6261" t="s">
        <v>6481</v>
      </c>
    </row>
    <row r="6262" spans="1:3" x14ac:dyDescent="0.35">
      <c r="A6262" t="s">
        <v>117</v>
      </c>
      <c r="B6262" t="s">
        <v>146</v>
      </c>
      <c r="C6262" t="s">
        <v>6482</v>
      </c>
    </row>
    <row r="6263" spans="1:3" x14ac:dyDescent="0.35">
      <c r="A6263" t="s">
        <v>117</v>
      </c>
      <c r="B6263" t="s">
        <v>146</v>
      </c>
      <c r="C6263" t="s">
        <v>6483</v>
      </c>
    </row>
    <row r="6264" spans="1:3" x14ac:dyDescent="0.35">
      <c r="A6264" t="s">
        <v>117</v>
      </c>
      <c r="B6264" t="s">
        <v>146</v>
      </c>
      <c r="C6264" t="s">
        <v>6484</v>
      </c>
    </row>
    <row r="6265" spans="1:3" x14ac:dyDescent="0.35">
      <c r="A6265" t="s">
        <v>117</v>
      </c>
      <c r="B6265" t="s">
        <v>146</v>
      </c>
      <c r="C6265" t="s">
        <v>6485</v>
      </c>
    </row>
    <row r="6266" spans="1:3" x14ac:dyDescent="0.35">
      <c r="A6266" t="s">
        <v>117</v>
      </c>
      <c r="B6266" t="s">
        <v>146</v>
      </c>
      <c r="C6266" t="s">
        <v>6486</v>
      </c>
    </row>
    <row r="6267" spans="1:3" x14ac:dyDescent="0.35">
      <c r="A6267" t="s">
        <v>117</v>
      </c>
      <c r="B6267" t="s">
        <v>146</v>
      </c>
      <c r="C6267" t="s">
        <v>6487</v>
      </c>
    </row>
    <row r="6268" spans="1:3" x14ac:dyDescent="0.35">
      <c r="A6268" t="s">
        <v>117</v>
      </c>
      <c r="B6268" t="s">
        <v>247</v>
      </c>
      <c r="C6268" t="s">
        <v>6488</v>
      </c>
    </row>
    <row r="6269" spans="1:3" x14ac:dyDescent="0.35">
      <c r="A6269" t="s">
        <v>117</v>
      </c>
      <c r="B6269" t="s">
        <v>247</v>
      </c>
      <c r="C6269" t="s">
        <v>6489</v>
      </c>
    </row>
    <row r="6270" spans="1:3" x14ac:dyDescent="0.35">
      <c r="A6270" t="s">
        <v>117</v>
      </c>
      <c r="B6270" t="s">
        <v>247</v>
      </c>
      <c r="C6270" t="s">
        <v>6490</v>
      </c>
    </row>
    <row r="6271" spans="1:3" x14ac:dyDescent="0.35">
      <c r="A6271" t="s">
        <v>117</v>
      </c>
      <c r="B6271" t="s">
        <v>247</v>
      </c>
      <c r="C6271" t="s">
        <v>247</v>
      </c>
    </row>
    <row r="6272" spans="1:3" x14ac:dyDescent="0.35">
      <c r="A6272" t="s">
        <v>117</v>
      </c>
      <c r="B6272" t="s">
        <v>247</v>
      </c>
      <c r="C6272" t="s">
        <v>6491</v>
      </c>
    </row>
    <row r="6273" spans="1:3" x14ac:dyDescent="0.35">
      <c r="A6273" t="s">
        <v>117</v>
      </c>
      <c r="B6273" t="s">
        <v>247</v>
      </c>
      <c r="C6273" t="s">
        <v>6492</v>
      </c>
    </row>
    <row r="6274" spans="1:3" x14ac:dyDescent="0.35">
      <c r="A6274" t="s">
        <v>117</v>
      </c>
      <c r="B6274" t="s">
        <v>247</v>
      </c>
      <c r="C6274" t="s">
        <v>6493</v>
      </c>
    </row>
    <row r="6275" spans="1:3" x14ac:dyDescent="0.35">
      <c r="A6275" t="s">
        <v>117</v>
      </c>
      <c r="B6275" t="s">
        <v>247</v>
      </c>
      <c r="C6275" t="s">
        <v>6494</v>
      </c>
    </row>
    <row r="6276" spans="1:3" x14ac:dyDescent="0.35">
      <c r="A6276" t="s">
        <v>117</v>
      </c>
      <c r="B6276" t="s">
        <v>247</v>
      </c>
      <c r="C6276" t="s">
        <v>6495</v>
      </c>
    </row>
    <row r="6277" spans="1:3" x14ac:dyDescent="0.35">
      <c r="A6277" t="s">
        <v>117</v>
      </c>
      <c r="B6277" t="s">
        <v>247</v>
      </c>
      <c r="C6277" t="s">
        <v>6496</v>
      </c>
    </row>
    <row r="6278" spans="1:3" x14ac:dyDescent="0.35">
      <c r="A6278" t="s">
        <v>117</v>
      </c>
      <c r="B6278" t="s">
        <v>247</v>
      </c>
      <c r="C6278" t="s">
        <v>6497</v>
      </c>
    </row>
    <row r="6279" spans="1:3" x14ac:dyDescent="0.35">
      <c r="A6279" t="s">
        <v>117</v>
      </c>
      <c r="B6279" t="s">
        <v>247</v>
      </c>
      <c r="C6279" t="s">
        <v>6498</v>
      </c>
    </row>
    <row r="6280" spans="1:3" x14ac:dyDescent="0.35">
      <c r="A6280" t="s">
        <v>117</v>
      </c>
      <c r="B6280" t="s">
        <v>247</v>
      </c>
      <c r="C6280" t="s">
        <v>6499</v>
      </c>
    </row>
    <row r="6281" spans="1:3" x14ac:dyDescent="0.35">
      <c r="A6281" t="s">
        <v>117</v>
      </c>
      <c r="B6281" t="s">
        <v>247</v>
      </c>
      <c r="C6281" t="s">
        <v>6500</v>
      </c>
    </row>
    <row r="6282" spans="1:3" x14ac:dyDescent="0.35">
      <c r="A6282" t="s">
        <v>117</v>
      </c>
      <c r="B6282" t="s">
        <v>247</v>
      </c>
      <c r="C6282" t="s">
        <v>6501</v>
      </c>
    </row>
    <row r="6283" spans="1:3" x14ac:dyDescent="0.35">
      <c r="A6283" t="s">
        <v>117</v>
      </c>
      <c r="B6283" t="s">
        <v>247</v>
      </c>
      <c r="C6283" t="s">
        <v>6502</v>
      </c>
    </row>
    <row r="6284" spans="1:3" x14ac:dyDescent="0.35">
      <c r="A6284" t="s">
        <v>117</v>
      </c>
      <c r="B6284" t="s">
        <v>247</v>
      </c>
      <c r="C6284" t="s">
        <v>6503</v>
      </c>
    </row>
    <row r="6285" spans="1:3" x14ac:dyDescent="0.35">
      <c r="A6285" t="s">
        <v>117</v>
      </c>
      <c r="B6285" t="s">
        <v>247</v>
      </c>
      <c r="C6285" t="s">
        <v>6504</v>
      </c>
    </row>
    <row r="6286" spans="1:3" x14ac:dyDescent="0.35">
      <c r="A6286" t="s">
        <v>117</v>
      </c>
      <c r="B6286" t="s">
        <v>247</v>
      </c>
      <c r="C6286" t="s">
        <v>6505</v>
      </c>
    </row>
    <row r="6287" spans="1:3" x14ac:dyDescent="0.35">
      <c r="A6287" t="s">
        <v>117</v>
      </c>
      <c r="B6287" t="s">
        <v>247</v>
      </c>
      <c r="C6287" t="s">
        <v>6506</v>
      </c>
    </row>
    <row r="6288" spans="1:3" x14ac:dyDescent="0.35">
      <c r="A6288" t="s">
        <v>117</v>
      </c>
      <c r="B6288" t="s">
        <v>247</v>
      </c>
      <c r="C6288" t="s">
        <v>6507</v>
      </c>
    </row>
    <row r="6289" spans="1:3" x14ac:dyDescent="0.35">
      <c r="A6289" t="s">
        <v>117</v>
      </c>
      <c r="B6289" t="s">
        <v>247</v>
      </c>
      <c r="C6289" t="s">
        <v>6508</v>
      </c>
    </row>
    <row r="6290" spans="1:3" x14ac:dyDescent="0.35">
      <c r="A6290" t="s">
        <v>117</v>
      </c>
      <c r="B6290" t="s">
        <v>3</v>
      </c>
      <c r="C6290" t="s">
        <v>6509</v>
      </c>
    </row>
    <row r="6291" spans="1:3" x14ac:dyDescent="0.35">
      <c r="A6291" t="s">
        <v>117</v>
      </c>
      <c r="B6291" t="s">
        <v>3</v>
      </c>
      <c r="C6291" t="s">
        <v>6510</v>
      </c>
    </row>
    <row r="6292" spans="1:3" x14ac:dyDescent="0.35">
      <c r="A6292" t="s">
        <v>117</v>
      </c>
      <c r="B6292" t="s">
        <v>3</v>
      </c>
      <c r="C6292" t="s">
        <v>6511</v>
      </c>
    </row>
    <row r="6293" spans="1:3" x14ac:dyDescent="0.35">
      <c r="A6293" t="s">
        <v>117</v>
      </c>
      <c r="B6293" t="s">
        <v>3</v>
      </c>
      <c r="C6293" t="s">
        <v>6512</v>
      </c>
    </row>
    <row r="6294" spans="1:3" x14ac:dyDescent="0.35">
      <c r="A6294" t="s">
        <v>117</v>
      </c>
      <c r="B6294" t="s">
        <v>3</v>
      </c>
      <c r="C6294" t="s">
        <v>6513</v>
      </c>
    </row>
    <row r="6295" spans="1:3" x14ac:dyDescent="0.35">
      <c r="A6295" t="s">
        <v>117</v>
      </c>
      <c r="B6295" t="s">
        <v>3</v>
      </c>
      <c r="C6295" t="s">
        <v>6514</v>
      </c>
    </row>
    <row r="6296" spans="1:3" x14ac:dyDescent="0.35">
      <c r="A6296" t="s">
        <v>117</v>
      </c>
      <c r="B6296" t="s">
        <v>3</v>
      </c>
      <c r="C6296" t="s">
        <v>127</v>
      </c>
    </row>
    <row r="6297" spans="1:3" x14ac:dyDescent="0.35">
      <c r="A6297" t="s">
        <v>117</v>
      </c>
      <c r="B6297" t="s">
        <v>3</v>
      </c>
      <c r="C6297" t="s">
        <v>6515</v>
      </c>
    </row>
    <row r="6298" spans="1:3" x14ac:dyDescent="0.35">
      <c r="A6298" t="s">
        <v>117</v>
      </c>
      <c r="B6298" t="s">
        <v>3</v>
      </c>
      <c r="C6298" t="s">
        <v>6516</v>
      </c>
    </row>
    <row r="6299" spans="1:3" x14ac:dyDescent="0.35">
      <c r="A6299" t="s">
        <v>117</v>
      </c>
      <c r="B6299" t="s">
        <v>3</v>
      </c>
      <c r="C6299" t="s">
        <v>6517</v>
      </c>
    </row>
    <row r="6300" spans="1:3" x14ac:dyDescent="0.35">
      <c r="A6300" t="s">
        <v>117</v>
      </c>
      <c r="B6300" t="s">
        <v>3</v>
      </c>
      <c r="C6300" t="s">
        <v>118</v>
      </c>
    </row>
    <row r="6301" spans="1:3" x14ac:dyDescent="0.35">
      <c r="A6301" t="s">
        <v>117</v>
      </c>
      <c r="B6301" t="s">
        <v>3</v>
      </c>
      <c r="C6301" t="s">
        <v>6518</v>
      </c>
    </row>
    <row r="6302" spans="1:3" x14ac:dyDescent="0.35">
      <c r="A6302" t="s">
        <v>117</v>
      </c>
      <c r="B6302" t="s">
        <v>3</v>
      </c>
      <c r="C6302" t="s">
        <v>155</v>
      </c>
    </row>
    <row r="6303" spans="1:3" x14ac:dyDescent="0.35">
      <c r="A6303" t="s">
        <v>117</v>
      </c>
      <c r="B6303" t="s">
        <v>3</v>
      </c>
      <c r="C6303" t="s">
        <v>6519</v>
      </c>
    </row>
    <row r="6304" spans="1:3" x14ac:dyDescent="0.35">
      <c r="A6304" t="s">
        <v>117</v>
      </c>
      <c r="B6304" t="s">
        <v>3</v>
      </c>
      <c r="C6304" t="s">
        <v>3</v>
      </c>
    </row>
    <row r="6305" spans="1:3" x14ac:dyDescent="0.35">
      <c r="A6305" t="s">
        <v>117</v>
      </c>
      <c r="B6305" t="s">
        <v>3</v>
      </c>
      <c r="C6305" t="s">
        <v>6520</v>
      </c>
    </row>
    <row r="6306" spans="1:3" x14ac:dyDescent="0.35">
      <c r="A6306" t="s">
        <v>117</v>
      </c>
      <c r="B6306" t="s">
        <v>3</v>
      </c>
      <c r="C6306" t="s">
        <v>6521</v>
      </c>
    </row>
    <row r="6307" spans="1:3" x14ac:dyDescent="0.35">
      <c r="A6307" t="s">
        <v>117</v>
      </c>
      <c r="B6307" t="s">
        <v>3</v>
      </c>
      <c r="C6307" t="s">
        <v>6522</v>
      </c>
    </row>
    <row r="6308" spans="1:3" x14ac:dyDescent="0.35">
      <c r="A6308" t="s">
        <v>117</v>
      </c>
      <c r="B6308" t="s">
        <v>3</v>
      </c>
      <c r="C6308" t="s">
        <v>6523</v>
      </c>
    </row>
    <row r="6309" spans="1:3" x14ac:dyDescent="0.35">
      <c r="A6309" t="s">
        <v>117</v>
      </c>
      <c r="B6309" t="s">
        <v>3</v>
      </c>
      <c r="C6309" t="s">
        <v>6524</v>
      </c>
    </row>
    <row r="6310" spans="1:3" x14ac:dyDescent="0.35">
      <c r="A6310" t="s">
        <v>117</v>
      </c>
      <c r="B6310" t="s">
        <v>3</v>
      </c>
      <c r="C6310" t="s">
        <v>6525</v>
      </c>
    </row>
    <row r="6311" spans="1:3" x14ac:dyDescent="0.35">
      <c r="A6311" t="s">
        <v>117</v>
      </c>
      <c r="B6311" t="s">
        <v>3</v>
      </c>
      <c r="C6311" t="s">
        <v>6526</v>
      </c>
    </row>
    <row r="6312" spans="1:3" x14ac:dyDescent="0.35">
      <c r="A6312" t="s">
        <v>117</v>
      </c>
      <c r="B6312" t="s">
        <v>3</v>
      </c>
      <c r="C6312" t="s">
        <v>6527</v>
      </c>
    </row>
    <row r="6313" spans="1:3" x14ac:dyDescent="0.35">
      <c r="A6313" t="s">
        <v>117</v>
      </c>
      <c r="B6313" t="s">
        <v>3</v>
      </c>
      <c r="C6313" t="s">
        <v>6528</v>
      </c>
    </row>
    <row r="6314" spans="1:3" x14ac:dyDescent="0.35">
      <c r="A6314" t="s">
        <v>117</v>
      </c>
      <c r="B6314" t="s">
        <v>3</v>
      </c>
      <c r="C6314" t="s">
        <v>6529</v>
      </c>
    </row>
    <row r="6315" spans="1:3" x14ac:dyDescent="0.35">
      <c r="A6315" t="s">
        <v>117</v>
      </c>
      <c r="B6315" t="s">
        <v>3</v>
      </c>
      <c r="C6315" t="s">
        <v>6530</v>
      </c>
    </row>
    <row r="6316" spans="1:3" x14ac:dyDescent="0.35">
      <c r="A6316" t="s">
        <v>117</v>
      </c>
      <c r="B6316" t="s">
        <v>3</v>
      </c>
      <c r="C6316" t="s">
        <v>6531</v>
      </c>
    </row>
    <row r="6317" spans="1:3" x14ac:dyDescent="0.35">
      <c r="A6317" t="s">
        <v>117</v>
      </c>
      <c r="B6317" t="s">
        <v>3</v>
      </c>
      <c r="C6317" t="s">
        <v>6532</v>
      </c>
    </row>
    <row r="6318" spans="1:3" x14ac:dyDescent="0.35">
      <c r="A6318" t="s">
        <v>117</v>
      </c>
      <c r="B6318" t="s">
        <v>3</v>
      </c>
      <c r="C6318" t="s">
        <v>158</v>
      </c>
    </row>
    <row r="6319" spans="1:3" x14ac:dyDescent="0.35">
      <c r="A6319" t="s">
        <v>117</v>
      </c>
      <c r="B6319" t="s">
        <v>3</v>
      </c>
      <c r="C6319" t="s">
        <v>6533</v>
      </c>
    </row>
    <row r="6320" spans="1:3" x14ac:dyDescent="0.35">
      <c r="A6320" t="s">
        <v>117</v>
      </c>
      <c r="B6320" t="s">
        <v>3</v>
      </c>
      <c r="C6320" t="s">
        <v>6534</v>
      </c>
    </row>
    <row r="6321" spans="1:3" x14ac:dyDescent="0.35">
      <c r="A6321" t="s">
        <v>117</v>
      </c>
      <c r="B6321" t="s">
        <v>3</v>
      </c>
      <c r="C6321" t="s">
        <v>6535</v>
      </c>
    </row>
    <row r="6322" spans="1:3" x14ac:dyDescent="0.35">
      <c r="A6322" t="s">
        <v>117</v>
      </c>
      <c r="B6322" t="s">
        <v>3</v>
      </c>
      <c r="C6322" t="s">
        <v>6536</v>
      </c>
    </row>
    <row r="6323" spans="1:3" x14ac:dyDescent="0.35">
      <c r="A6323" t="s">
        <v>117</v>
      </c>
      <c r="B6323" t="s">
        <v>3</v>
      </c>
      <c r="C6323" t="s">
        <v>6537</v>
      </c>
    </row>
    <row r="6324" spans="1:3" x14ac:dyDescent="0.35">
      <c r="A6324" t="s">
        <v>117</v>
      </c>
      <c r="B6324" t="s">
        <v>3</v>
      </c>
      <c r="C6324" t="s">
        <v>6538</v>
      </c>
    </row>
    <row r="6325" spans="1:3" x14ac:dyDescent="0.35">
      <c r="A6325" t="s">
        <v>117</v>
      </c>
      <c r="B6325" t="s">
        <v>3</v>
      </c>
      <c r="C6325" t="s">
        <v>6539</v>
      </c>
    </row>
    <row r="6326" spans="1:3" x14ac:dyDescent="0.35">
      <c r="A6326" t="s">
        <v>117</v>
      </c>
      <c r="B6326" t="s">
        <v>3</v>
      </c>
      <c r="C6326" t="s">
        <v>6540</v>
      </c>
    </row>
    <row r="6327" spans="1:3" x14ac:dyDescent="0.35">
      <c r="A6327" t="s">
        <v>117</v>
      </c>
      <c r="B6327" t="s">
        <v>3</v>
      </c>
      <c r="C6327" t="s">
        <v>169</v>
      </c>
    </row>
    <row r="6328" spans="1:3" x14ac:dyDescent="0.35">
      <c r="A6328" t="s">
        <v>117</v>
      </c>
      <c r="B6328" t="s">
        <v>3</v>
      </c>
      <c r="C6328" t="s">
        <v>6541</v>
      </c>
    </row>
    <row r="6329" spans="1:3" x14ac:dyDescent="0.35">
      <c r="A6329" t="s">
        <v>117</v>
      </c>
      <c r="B6329" t="s">
        <v>3</v>
      </c>
      <c r="C6329" t="s">
        <v>6542</v>
      </c>
    </row>
    <row r="6330" spans="1:3" x14ac:dyDescent="0.35">
      <c r="A6330" t="s">
        <v>117</v>
      </c>
      <c r="B6330" t="s">
        <v>3</v>
      </c>
      <c r="C6330" t="s">
        <v>6543</v>
      </c>
    </row>
    <row r="6331" spans="1:3" x14ac:dyDescent="0.35">
      <c r="A6331" t="s">
        <v>117</v>
      </c>
      <c r="B6331" t="s">
        <v>3</v>
      </c>
      <c r="C6331" t="s">
        <v>6544</v>
      </c>
    </row>
    <row r="6332" spans="1:3" x14ac:dyDescent="0.35">
      <c r="A6332" t="s">
        <v>117</v>
      </c>
      <c r="B6332" t="s">
        <v>3</v>
      </c>
      <c r="C6332" t="s">
        <v>6545</v>
      </c>
    </row>
    <row r="6333" spans="1:3" x14ac:dyDescent="0.35">
      <c r="A6333" t="s">
        <v>117</v>
      </c>
      <c r="B6333" t="s">
        <v>3</v>
      </c>
      <c r="C6333" t="s">
        <v>6546</v>
      </c>
    </row>
    <row r="6334" spans="1:3" x14ac:dyDescent="0.35">
      <c r="A6334" t="s">
        <v>117</v>
      </c>
      <c r="B6334" t="s">
        <v>3</v>
      </c>
      <c r="C6334" t="s">
        <v>6547</v>
      </c>
    </row>
    <row r="6335" spans="1:3" x14ac:dyDescent="0.35">
      <c r="A6335" t="s">
        <v>117</v>
      </c>
      <c r="B6335" t="s">
        <v>3</v>
      </c>
      <c r="C6335" t="s">
        <v>6548</v>
      </c>
    </row>
    <row r="6336" spans="1:3" x14ac:dyDescent="0.35">
      <c r="A6336" t="s">
        <v>117</v>
      </c>
      <c r="B6336" t="s">
        <v>3</v>
      </c>
      <c r="C6336" t="s">
        <v>6549</v>
      </c>
    </row>
    <row r="6337" spans="1:3" x14ac:dyDescent="0.35">
      <c r="A6337" t="s">
        <v>117</v>
      </c>
      <c r="B6337" t="s">
        <v>3</v>
      </c>
      <c r="C6337" t="s">
        <v>6550</v>
      </c>
    </row>
    <row r="6338" spans="1:3" x14ac:dyDescent="0.35">
      <c r="A6338" t="s">
        <v>117</v>
      </c>
      <c r="B6338" t="s">
        <v>3</v>
      </c>
      <c r="C6338" t="s">
        <v>6551</v>
      </c>
    </row>
    <row r="6339" spans="1:3" x14ac:dyDescent="0.35">
      <c r="A6339" t="s">
        <v>117</v>
      </c>
      <c r="B6339" t="s">
        <v>3</v>
      </c>
      <c r="C6339" t="s">
        <v>6552</v>
      </c>
    </row>
    <row r="6340" spans="1:3" x14ac:dyDescent="0.35">
      <c r="A6340" t="s">
        <v>117</v>
      </c>
      <c r="B6340" t="s">
        <v>3</v>
      </c>
      <c r="C6340" t="s">
        <v>6553</v>
      </c>
    </row>
    <row r="6341" spans="1:3" x14ac:dyDescent="0.35">
      <c r="A6341" t="s">
        <v>117</v>
      </c>
      <c r="B6341" t="s">
        <v>3</v>
      </c>
      <c r="C6341" t="s">
        <v>6554</v>
      </c>
    </row>
    <row r="6342" spans="1:3" x14ac:dyDescent="0.35">
      <c r="A6342" t="s">
        <v>117</v>
      </c>
      <c r="B6342" t="s">
        <v>3</v>
      </c>
      <c r="C6342" t="s">
        <v>6555</v>
      </c>
    </row>
    <row r="6343" spans="1:3" x14ac:dyDescent="0.35">
      <c r="A6343" t="s">
        <v>117</v>
      </c>
      <c r="B6343" t="s">
        <v>3</v>
      </c>
      <c r="C6343" t="s">
        <v>6556</v>
      </c>
    </row>
    <row r="6344" spans="1:3" x14ac:dyDescent="0.35">
      <c r="A6344" t="s">
        <v>117</v>
      </c>
      <c r="B6344" t="s">
        <v>3</v>
      </c>
      <c r="C6344" t="s">
        <v>6557</v>
      </c>
    </row>
    <row r="6345" spans="1:3" x14ac:dyDescent="0.35">
      <c r="A6345" t="s">
        <v>117</v>
      </c>
      <c r="B6345" t="s">
        <v>3</v>
      </c>
      <c r="C6345" t="s">
        <v>6558</v>
      </c>
    </row>
    <row r="6346" spans="1:3" x14ac:dyDescent="0.35">
      <c r="A6346" t="s">
        <v>117</v>
      </c>
      <c r="B6346" t="s">
        <v>3</v>
      </c>
      <c r="C6346" t="s">
        <v>6559</v>
      </c>
    </row>
    <row r="6347" spans="1:3" x14ac:dyDescent="0.35">
      <c r="A6347" t="s">
        <v>117</v>
      </c>
      <c r="B6347" t="s">
        <v>3</v>
      </c>
      <c r="C6347" t="s">
        <v>6560</v>
      </c>
    </row>
    <row r="6348" spans="1:3" x14ac:dyDescent="0.35">
      <c r="A6348" t="s">
        <v>117</v>
      </c>
      <c r="B6348" t="s">
        <v>159</v>
      </c>
      <c r="C6348" t="s">
        <v>6561</v>
      </c>
    </row>
    <row r="6349" spans="1:3" x14ac:dyDescent="0.35">
      <c r="A6349" t="s">
        <v>117</v>
      </c>
      <c r="B6349" t="s">
        <v>159</v>
      </c>
      <c r="C6349" t="s">
        <v>160</v>
      </c>
    </row>
    <row r="6350" spans="1:3" x14ac:dyDescent="0.35">
      <c r="A6350" t="s">
        <v>117</v>
      </c>
      <c r="B6350" t="s">
        <v>159</v>
      </c>
      <c r="C6350" t="s">
        <v>6562</v>
      </c>
    </row>
    <row r="6351" spans="1:3" x14ac:dyDescent="0.35">
      <c r="A6351" t="s">
        <v>117</v>
      </c>
      <c r="B6351" t="s">
        <v>159</v>
      </c>
      <c r="C6351" t="s">
        <v>6563</v>
      </c>
    </row>
    <row r="6352" spans="1:3" x14ac:dyDescent="0.35">
      <c r="A6352" t="s">
        <v>117</v>
      </c>
      <c r="B6352" t="s">
        <v>159</v>
      </c>
      <c r="C6352" t="s">
        <v>6564</v>
      </c>
    </row>
    <row r="6353" spans="1:3" x14ac:dyDescent="0.35">
      <c r="A6353" t="s">
        <v>117</v>
      </c>
      <c r="B6353" t="s">
        <v>159</v>
      </c>
      <c r="C6353" t="s">
        <v>6565</v>
      </c>
    </row>
    <row r="6354" spans="1:3" x14ac:dyDescent="0.35">
      <c r="A6354" t="s">
        <v>117</v>
      </c>
      <c r="B6354" t="s">
        <v>159</v>
      </c>
      <c r="C6354" t="s">
        <v>6566</v>
      </c>
    </row>
    <row r="6355" spans="1:3" x14ac:dyDescent="0.35">
      <c r="A6355" t="s">
        <v>117</v>
      </c>
      <c r="B6355" t="s">
        <v>159</v>
      </c>
      <c r="C6355" t="s">
        <v>6567</v>
      </c>
    </row>
    <row r="6356" spans="1:3" x14ac:dyDescent="0.35">
      <c r="A6356" t="s">
        <v>117</v>
      </c>
      <c r="B6356" t="s">
        <v>159</v>
      </c>
      <c r="C6356" t="s">
        <v>159</v>
      </c>
    </row>
    <row r="6357" spans="1:3" x14ac:dyDescent="0.35">
      <c r="A6357" t="s">
        <v>117</v>
      </c>
      <c r="B6357" t="s">
        <v>159</v>
      </c>
      <c r="C6357" t="s">
        <v>6568</v>
      </c>
    </row>
    <row r="6358" spans="1:3" x14ac:dyDescent="0.35">
      <c r="A6358" t="s">
        <v>117</v>
      </c>
      <c r="B6358" t="s">
        <v>159</v>
      </c>
      <c r="C6358" t="s">
        <v>6569</v>
      </c>
    </row>
    <row r="6359" spans="1:3" x14ac:dyDescent="0.35">
      <c r="A6359" t="s">
        <v>117</v>
      </c>
      <c r="B6359" t="s">
        <v>159</v>
      </c>
      <c r="C6359" t="s">
        <v>6570</v>
      </c>
    </row>
    <row r="6360" spans="1:3" x14ac:dyDescent="0.35">
      <c r="A6360" t="s">
        <v>117</v>
      </c>
      <c r="B6360" t="s">
        <v>159</v>
      </c>
      <c r="C6360" t="s">
        <v>6571</v>
      </c>
    </row>
    <row r="6361" spans="1:3" x14ac:dyDescent="0.35">
      <c r="A6361" t="s">
        <v>117</v>
      </c>
      <c r="B6361" t="s">
        <v>159</v>
      </c>
      <c r="C6361" t="s">
        <v>6572</v>
      </c>
    </row>
    <row r="6362" spans="1:3" x14ac:dyDescent="0.35">
      <c r="A6362" t="s">
        <v>117</v>
      </c>
      <c r="B6362" t="s">
        <v>159</v>
      </c>
      <c r="C6362" t="s">
        <v>6573</v>
      </c>
    </row>
    <row r="6363" spans="1:3" x14ac:dyDescent="0.35">
      <c r="A6363" t="s">
        <v>117</v>
      </c>
      <c r="B6363" t="s">
        <v>159</v>
      </c>
      <c r="C6363" t="s">
        <v>6574</v>
      </c>
    </row>
    <row r="6364" spans="1:3" x14ac:dyDescent="0.35">
      <c r="A6364" t="s">
        <v>117</v>
      </c>
      <c r="B6364" t="s">
        <v>159</v>
      </c>
      <c r="C6364" t="s">
        <v>6575</v>
      </c>
    </row>
    <row r="6365" spans="1:3" x14ac:dyDescent="0.35">
      <c r="A6365" t="s">
        <v>117</v>
      </c>
      <c r="B6365" t="s">
        <v>159</v>
      </c>
      <c r="C6365" t="s">
        <v>6576</v>
      </c>
    </row>
    <row r="6366" spans="1:3" x14ac:dyDescent="0.35">
      <c r="A6366" t="s">
        <v>117</v>
      </c>
      <c r="B6366" t="s">
        <v>159</v>
      </c>
      <c r="C6366" t="s">
        <v>6577</v>
      </c>
    </row>
    <row r="6367" spans="1:3" x14ac:dyDescent="0.35">
      <c r="A6367" t="s">
        <v>117</v>
      </c>
      <c r="B6367" t="s">
        <v>159</v>
      </c>
      <c r="C6367" t="s">
        <v>6578</v>
      </c>
    </row>
    <row r="6368" spans="1:3" x14ac:dyDescent="0.35">
      <c r="A6368" t="s">
        <v>117</v>
      </c>
      <c r="B6368" t="s">
        <v>277</v>
      </c>
      <c r="C6368" t="s">
        <v>6579</v>
      </c>
    </row>
    <row r="6369" spans="1:3" x14ac:dyDescent="0.35">
      <c r="A6369" t="s">
        <v>117</v>
      </c>
      <c r="B6369" t="s">
        <v>277</v>
      </c>
      <c r="C6369" t="s">
        <v>6580</v>
      </c>
    </row>
    <row r="6370" spans="1:3" x14ac:dyDescent="0.35">
      <c r="A6370" t="s">
        <v>117</v>
      </c>
      <c r="B6370" t="s">
        <v>277</v>
      </c>
      <c r="C6370" t="s">
        <v>6581</v>
      </c>
    </row>
    <row r="6371" spans="1:3" x14ac:dyDescent="0.35">
      <c r="A6371" t="s">
        <v>117</v>
      </c>
      <c r="B6371" t="s">
        <v>277</v>
      </c>
      <c r="C6371" t="s">
        <v>6582</v>
      </c>
    </row>
    <row r="6372" spans="1:3" x14ac:dyDescent="0.35">
      <c r="A6372" t="s">
        <v>117</v>
      </c>
      <c r="B6372" t="s">
        <v>277</v>
      </c>
      <c r="C6372" t="s">
        <v>6583</v>
      </c>
    </row>
    <row r="6373" spans="1:3" x14ac:dyDescent="0.35">
      <c r="A6373" t="s">
        <v>117</v>
      </c>
      <c r="B6373" t="s">
        <v>277</v>
      </c>
      <c r="C6373" t="s">
        <v>6584</v>
      </c>
    </row>
    <row r="6374" spans="1:3" x14ac:dyDescent="0.35">
      <c r="A6374" t="s">
        <v>117</v>
      </c>
      <c r="B6374" t="s">
        <v>277</v>
      </c>
      <c r="C6374" t="s">
        <v>6585</v>
      </c>
    </row>
    <row r="6375" spans="1:3" x14ac:dyDescent="0.35">
      <c r="A6375" t="s">
        <v>117</v>
      </c>
      <c r="B6375" t="s">
        <v>277</v>
      </c>
      <c r="C6375" t="s">
        <v>6586</v>
      </c>
    </row>
    <row r="6376" spans="1:3" x14ac:dyDescent="0.35">
      <c r="A6376" t="s">
        <v>117</v>
      </c>
      <c r="B6376" t="s">
        <v>277</v>
      </c>
      <c r="C6376" t="s">
        <v>6587</v>
      </c>
    </row>
    <row r="6377" spans="1:3" x14ac:dyDescent="0.35">
      <c r="A6377" t="s">
        <v>117</v>
      </c>
      <c r="B6377" t="s">
        <v>277</v>
      </c>
      <c r="C6377" t="s">
        <v>6588</v>
      </c>
    </row>
    <row r="6378" spans="1:3" x14ac:dyDescent="0.35">
      <c r="A6378" t="s">
        <v>117</v>
      </c>
      <c r="B6378" t="s">
        <v>277</v>
      </c>
      <c r="C6378" t="s">
        <v>6589</v>
      </c>
    </row>
    <row r="6379" spans="1:3" x14ac:dyDescent="0.35">
      <c r="A6379" t="s">
        <v>117</v>
      </c>
      <c r="B6379" t="s">
        <v>277</v>
      </c>
      <c r="C6379" t="s">
        <v>6590</v>
      </c>
    </row>
    <row r="6380" spans="1:3" x14ac:dyDescent="0.35">
      <c r="A6380" t="s">
        <v>117</v>
      </c>
      <c r="B6380" t="s">
        <v>277</v>
      </c>
      <c r="C6380" t="s">
        <v>6591</v>
      </c>
    </row>
    <row r="6381" spans="1:3" x14ac:dyDescent="0.35">
      <c r="A6381" t="s">
        <v>117</v>
      </c>
      <c r="B6381" t="s">
        <v>277</v>
      </c>
      <c r="C6381" t="s">
        <v>6592</v>
      </c>
    </row>
    <row r="6382" spans="1:3" x14ac:dyDescent="0.35">
      <c r="A6382" t="s">
        <v>117</v>
      </c>
      <c r="B6382" t="s">
        <v>277</v>
      </c>
      <c r="C6382" t="s">
        <v>6593</v>
      </c>
    </row>
    <row r="6383" spans="1:3" x14ac:dyDescent="0.35">
      <c r="A6383" t="s">
        <v>117</v>
      </c>
      <c r="B6383" t="s">
        <v>277</v>
      </c>
      <c r="C6383" t="s">
        <v>6594</v>
      </c>
    </row>
    <row r="6384" spans="1:3" x14ac:dyDescent="0.35">
      <c r="A6384" t="s">
        <v>117</v>
      </c>
      <c r="B6384" t="s">
        <v>277</v>
      </c>
      <c r="C6384" t="s">
        <v>6595</v>
      </c>
    </row>
    <row r="6385" spans="1:3" x14ac:dyDescent="0.35">
      <c r="A6385" t="s">
        <v>117</v>
      </c>
      <c r="B6385" t="s">
        <v>277</v>
      </c>
      <c r="C6385" t="s">
        <v>6596</v>
      </c>
    </row>
    <row r="6386" spans="1:3" x14ac:dyDescent="0.35">
      <c r="A6386" t="s">
        <v>117</v>
      </c>
      <c r="B6386" t="s">
        <v>277</v>
      </c>
      <c r="C6386" t="s">
        <v>6597</v>
      </c>
    </row>
    <row r="6387" spans="1:3" x14ac:dyDescent="0.35">
      <c r="A6387" t="s">
        <v>117</v>
      </c>
      <c r="B6387" t="s">
        <v>277</v>
      </c>
      <c r="C6387" t="s">
        <v>6598</v>
      </c>
    </row>
    <row r="6388" spans="1:3" x14ac:dyDescent="0.35">
      <c r="A6388" t="s">
        <v>117</v>
      </c>
      <c r="B6388" t="s">
        <v>277</v>
      </c>
      <c r="C6388" t="s">
        <v>6599</v>
      </c>
    </row>
    <row r="6389" spans="1:3" x14ac:dyDescent="0.35">
      <c r="A6389" t="s">
        <v>117</v>
      </c>
      <c r="B6389" t="s">
        <v>277</v>
      </c>
      <c r="C6389" t="s">
        <v>6600</v>
      </c>
    </row>
    <row r="6390" spans="1:3" x14ac:dyDescent="0.35">
      <c r="A6390" t="s">
        <v>117</v>
      </c>
      <c r="B6390" t="s">
        <v>277</v>
      </c>
      <c r="C6390" t="s">
        <v>6601</v>
      </c>
    </row>
    <row r="6391" spans="1:3" x14ac:dyDescent="0.35">
      <c r="A6391" t="s">
        <v>117</v>
      </c>
      <c r="B6391" t="s">
        <v>277</v>
      </c>
      <c r="C6391" t="s">
        <v>6602</v>
      </c>
    </row>
    <row r="6392" spans="1:3" x14ac:dyDescent="0.35">
      <c r="A6392" t="s">
        <v>117</v>
      </c>
      <c r="B6392" t="s">
        <v>277</v>
      </c>
      <c r="C6392" t="s">
        <v>6603</v>
      </c>
    </row>
    <row r="6393" spans="1:3" x14ac:dyDescent="0.35">
      <c r="A6393" t="s">
        <v>117</v>
      </c>
      <c r="B6393" t="s">
        <v>277</v>
      </c>
      <c r="C6393" t="s">
        <v>6604</v>
      </c>
    </row>
    <row r="6394" spans="1:3" x14ac:dyDescent="0.35">
      <c r="A6394" t="s">
        <v>117</v>
      </c>
      <c r="B6394" t="s">
        <v>277</v>
      </c>
      <c r="C6394" t="s">
        <v>6605</v>
      </c>
    </row>
    <row r="6395" spans="1:3" x14ac:dyDescent="0.35">
      <c r="A6395" t="s">
        <v>117</v>
      </c>
      <c r="B6395" t="s">
        <v>277</v>
      </c>
      <c r="C6395" t="s">
        <v>6606</v>
      </c>
    </row>
    <row r="6396" spans="1:3" x14ac:dyDescent="0.35">
      <c r="A6396" t="s">
        <v>117</v>
      </c>
      <c r="B6396" t="s">
        <v>277</v>
      </c>
      <c r="C6396" t="s">
        <v>6607</v>
      </c>
    </row>
    <row r="6397" spans="1:3" x14ac:dyDescent="0.35">
      <c r="A6397" t="s">
        <v>117</v>
      </c>
      <c r="B6397" t="s">
        <v>277</v>
      </c>
      <c r="C6397" t="s">
        <v>6608</v>
      </c>
    </row>
    <row r="6398" spans="1:3" x14ac:dyDescent="0.35">
      <c r="A6398" t="s">
        <v>117</v>
      </c>
      <c r="B6398" t="s">
        <v>277</v>
      </c>
      <c r="C6398" t="s">
        <v>6609</v>
      </c>
    </row>
    <row r="6399" spans="1:3" x14ac:dyDescent="0.35">
      <c r="A6399" t="s">
        <v>117</v>
      </c>
      <c r="B6399" t="s">
        <v>277</v>
      </c>
      <c r="C6399" t="s">
        <v>6610</v>
      </c>
    </row>
    <row r="6400" spans="1:3" x14ac:dyDescent="0.35">
      <c r="A6400" t="s">
        <v>117</v>
      </c>
      <c r="B6400" t="s">
        <v>277</v>
      </c>
      <c r="C6400" t="s">
        <v>6611</v>
      </c>
    </row>
    <row r="6401" spans="1:3" x14ac:dyDescent="0.35">
      <c r="A6401" t="s">
        <v>117</v>
      </c>
      <c r="B6401" t="s">
        <v>277</v>
      </c>
      <c r="C6401" t="s">
        <v>6612</v>
      </c>
    </row>
    <row r="6402" spans="1:3" x14ac:dyDescent="0.35">
      <c r="A6402" t="s">
        <v>117</v>
      </c>
      <c r="B6402" t="s">
        <v>277</v>
      </c>
      <c r="C6402" t="s">
        <v>6613</v>
      </c>
    </row>
    <row r="6403" spans="1:3" x14ac:dyDescent="0.35">
      <c r="A6403" t="s">
        <v>117</v>
      </c>
      <c r="B6403" t="s">
        <v>277</v>
      </c>
      <c r="C6403" t="s">
        <v>6614</v>
      </c>
    </row>
    <row r="6404" spans="1:3" x14ac:dyDescent="0.35">
      <c r="A6404" t="s">
        <v>117</v>
      </c>
      <c r="B6404" t="s">
        <v>277</v>
      </c>
      <c r="C6404" t="s">
        <v>6615</v>
      </c>
    </row>
    <row r="6405" spans="1:3" x14ac:dyDescent="0.35">
      <c r="A6405" t="s">
        <v>117</v>
      </c>
      <c r="B6405" t="s">
        <v>277</v>
      </c>
      <c r="C6405" t="s">
        <v>6616</v>
      </c>
    </row>
    <row r="6406" spans="1:3" x14ac:dyDescent="0.35">
      <c r="A6406" t="s">
        <v>117</v>
      </c>
      <c r="B6406" t="s">
        <v>277</v>
      </c>
      <c r="C6406" t="s">
        <v>6617</v>
      </c>
    </row>
    <row r="6407" spans="1:3" x14ac:dyDescent="0.35">
      <c r="A6407" t="s">
        <v>117</v>
      </c>
      <c r="B6407" t="s">
        <v>277</v>
      </c>
      <c r="C6407" t="s">
        <v>6618</v>
      </c>
    </row>
    <row r="6408" spans="1:3" x14ac:dyDescent="0.35">
      <c r="A6408" t="s">
        <v>117</v>
      </c>
      <c r="B6408" t="s">
        <v>277</v>
      </c>
      <c r="C6408" t="s">
        <v>6619</v>
      </c>
    </row>
    <row r="6409" spans="1:3" x14ac:dyDescent="0.35">
      <c r="A6409" t="s">
        <v>117</v>
      </c>
      <c r="B6409" t="s">
        <v>277</v>
      </c>
      <c r="C6409" t="s">
        <v>6620</v>
      </c>
    </row>
    <row r="6410" spans="1:3" x14ac:dyDescent="0.35">
      <c r="A6410" t="s">
        <v>117</v>
      </c>
      <c r="B6410" t="s">
        <v>277</v>
      </c>
      <c r="C6410" t="s">
        <v>6621</v>
      </c>
    </row>
    <row r="6411" spans="1:3" x14ac:dyDescent="0.35">
      <c r="A6411" t="s">
        <v>117</v>
      </c>
      <c r="B6411" t="s">
        <v>277</v>
      </c>
      <c r="C6411" t="s">
        <v>6622</v>
      </c>
    </row>
    <row r="6412" spans="1:3" x14ac:dyDescent="0.35">
      <c r="A6412" t="s">
        <v>117</v>
      </c>
      <c r="B6412" t="s">
        <v>277</v>
      </c>
      <c r="C6412" t="s">
        <v>6623</v>
      </c>
    </row>
    <row r="6413" spans="1:3" x14ac:dyDescent="0.35">
      <c r="A6413" t="s">
        <v>117</v>
      </c>
      <c r="B6413" t="s">
        <v>277</v>
      </c>
      <c r="C6413" t="s">
        <v>6624</v>
      </c>
    </row>
    <row r="6414" spans="1:3" x14ac:dyDescent="0.35">
      <c r="A6414" t="s">
        <v>117</v>
      </c>
      <c r="B6414" t="s">
        <v>277</v>
      </c>
      <c r="C6414" t="s">
        <v>6625</v>
      </c>
    </row>
    <row r="6415" spans="1:3" x14ac:dyDescent="0.35">
      <c r="A6415" t="s">
        <v>117</v>
      </c>
      <c r="B6415" t="s">
        <v>277</v>
      </c>
      <c r="C6415" t="s">
        <v>6626</v>
      </c>
    </row>
    <row r="6416" spans="1:3" x14ac:dyDescent="0.35">
      <c r="A6416" t="s">
        <v>117</v>
      </c>
      <c r="B6416" t="s">
        <v>277</v>
      </c>
      <c r="C6416" t="s">
        <v>277</v>
      </c>
    </row>
    <row r="6417" spans="1:3" x14ac:dyDescent="0.35">
      <c r="A6417" t="s">
        <v>117</v>
      </c>
      <c r="B6417" t="s">
        <v>277</v>
      </c>
      <c r="C6417" t="s">
        <v>6627</v>
      </c>
    </row>
    <row r="6418" spans="1:3" x14ac:dyDescent="0.35">
      <c r="A6418" t="s">
        <v>117</v>
      </c>
      <c r="B6418" t="s">
        <v>277</v>
      </c>
      <c r="C6418" t="s">
        <v>6628</v>
      </c>
    </row>
    <row r="6419" spans="1:3" x14ac:dyDescent="0.35">
      <c r="A6419" t="s">
        <v>117</v>
      </c>
      <c r="B6419" t="s">
        <v>277</v>
      </c>
      <c r="C6419" t="s">
        <v>6629</v>
      </c>
    </row>
    <row r="6420" spans="1:3" x14ac:dyDescent="0.35">
      <c r="A6420" t="s">
        <v>117</v>
      </c>
      <c r="B6420" t="s">
        <v>277</v>
      </c>
      <c r="C6420" t="s">
        <v>6630</v>
      </c>
    </row>
    <row r="6421" spans="1:3" x14ac:dyDescent="0.35">
      <c r="A6421" t="s">
        <v>117</v>
      </c>
      <c r="B6421" t="s">
        <v>277</v>
      </c>
      <c r="C6421" t="s">
        <v>6631</v>
      </c>
    </row>
    <row r="6422" spans="1:3" x14ac:dyDescent="0.35">
      <c r="A6422" t="s">
        <v>117</v>
      </c>
      <c r="B6422" t="s">
        <v>277</v>
      </c>
      <c r="C6422" t="s">
        <v>6632</v>
      </c>
    </row>
    <row r="6423" spans="1:3" x14ac:dyDescent="0.35">
      <c r="A6423" t="s">
        <v>117</v>
      </c>
      <c r="B6423" t="s">
        <v>277</v>
      </c>
      <c r="C6423" t="s">
        <v>6633</v>
      </c>
    </row>
    <row r="6424" spans="1:3" x14ac:dyDescent="0.35">
      <c r="A6424" t="s">
        <v>117</v>
      </c>
      <c r="B6424" t="s">
        <v>277</v>
      </c>
      <c r="C6424" t="s">
        <v>6634</v>
      </c>
    </row>
    <row r="6425" spans="1:3" x14ac:dyDescent="0.35">
      <c r="A6425" t="s">
        <v>117</v>
      </c>
      <c r="B6425" t="s">
        <v>277</v>
      </c>
      <c r="C6425" t="s">
        <v>6635</v>
      </c>
    </row>
    <row r="6426" spans="1:3" x14ac:dyDescent="0.35">
      <c r="A6426" t="s">
        <v>117</v>
      </c>
      <c r="B6426" t="s">
        <v>277</v>
      </c>
      <c r="C6426" t="s">
        <v>6636</v>
      </c>
    </row>
    <row r="6427" spans="1:3" x14ac:dyDescent="0.35">
      <c r="A6427" t="s">
        <v>117</v>
      </c>
      <c r="B6427" t="s">
        <v>277</v>
      </c>
      <c r="C6427" t="s">
        <v>6637</v>
      </c>
    </row>
    <row r="6428" spans="1:3" x14ac:dyDescent="0.35">
      <c r="A6428" t="s">
        <v>117</v>
      </c>
      <c r="B6428" t="s">
        <v>277</v>
      </c>
      <c r="C6428" t="s">
        <v>6638</v>
      </c>
    </row>
    <row r="6429" spans="1:3" x14ac:dyDescent="0.35">
      <c r="A6429" t="s">
        <v>117</v>
      </c>
      <c r="B6429" t="s">
        <v>277</v>
      </c>
      <c r="C6429" t="s">
        <v>6639</v>
      </c>
    </row>
    <row r="6430" spans="1:3" x14ac:dyDescent="0.35">
      <c r="A6430" t="s">
        <v>117</v>
      </c>
      <c r="B6430" t="s">
        <v>277</v>
      </c>
      <c r="C6430" t="s">
        <v>6640</v>
      </c>
    </row>
    <row r="6431" spans="1:3" x14ac:dyDescent="0.35">
      <c r="A6431" t="s">
        <v>117</v>
      </c>
      <c r="B6431" t="s">
        <v>277</v>
      </c>
      <c r="C6431" t="s">
        <v>6641</v>
      </c>
    </row>
    <row r="6432" spans="1:3" x14ac:dyDescent="0.35">
      <c r="A6432" t="s">
        <v>117</v>
      </c>
      <c r="B6432" t="s">
        <v>277</v>
      </c>
      <c r="C6432" t="s">
        <v>6642</v>
      </c>
    </row>
    <row r="6433" spans="1:3" x14ac:dyDescent="0.35">
      <c r="A6433" t="s">
        <v>117</v>
      </c>
      <c r="B6433" t="s">
        <v>277</v>
      </c>
      <c r="C6433" t="s">
        <v>6643</v>
      </c>
    </row>
    <row r="6434" spans="1:3" x14ac:dyDescent="0.35">
      <c r="A6434" t="s">
        <v>117</v>
      </c>
      <c r="B6434" t="s">
        <v>277</v>
      </c>
      <c r="C6434" t="s">
        <v>6644</v>
      </c>
    </row>
    <row r="6435" spans="1:3" x14ac:dyDescent="0.35">
      <c r="A6435" t="s">
        <v>117</v>
      </c>
      <c r="B6435" t="s">
        <v>277</v>
      </c>
      <c r="C6435" t="s">
        <v>6645</v>
      </c>
    </row>
    <row r="6436" spans="1:3" x14ac:dyDescent="0.35">
      <c r="A6436" t="s">
        <v>117</v>
      </c>
      <c r="B6436" t="s">
        <v>277</v>
      </c>
      <c r="C6436" t="s">
        <v>6646</v>
      </c>
    </row>
    <row r="6437" spans="1:3" x14ac:dyDescent="0.35">
      <c r="A6437" t="s">
        <v>117</v>
      </c>
      <c r="B6437" t="s">
        <v>277</v>
      </c>
      <c r="C6437" t="s">
        <v>6647</v>
      </c>
    </row>
    <row r="6438" spans="1:3" x14ac:dyDescent="0.35">
      <c r="A6438" t="s">
        <v>117</v>
      </c>
      <c r="B6438" t="s">
        <v>277</v>
      </c>
      <c r="C6438" t="s">
        <v>6648</v>
      </c>
    </row>
    <row r="6439" spans="1:3" x14ac:dyDescent="0.35">
      <c r="A6439" t="s">
        <v>117</v>
      </c>
      <c r="B6439" t="s">
        <v>277</v>
      </c>
      <c r="C6439" t="s">
        <v>6649</v>
      </c>
    </row>
    <row r="6440" spans="1:3" x14ac:dyDescent="0.35">
      <c r="A6440" t="s">
        <v>117</v>
      </c>
      <c r="B6440" t="s">
        <v>277</v>
      </c>
      <c r="C6440" t="s">
        <v>6650</v>
      </c>
    </row>
    <row r="6441" spans="1:3" x14ac:dyDescent="0.35">
      <c r="A6441" t="s">
        <v>117</v>
      </c>
      <c r="B6441" t="s">
        <v>277</v>
      </c>
      <c r="C6441" t="s">
        <v>6651</v>
      </c>
    </row>
    <row r="6442" spans="1:3" x14ac:dyDescent="0.35">
      <c r="A6442" t="s">
        <v>117</v>
      </c>
      <c r="B6442" t="s">
        <v>277</v>
      </c>
      <c r="C6442" t="s">
        <v>6652</v>
      </c>
    </row>
    <row r="6443" spans="1:3" x14ac:dyDescent="0.35">
      <c r="A6443" t="s">
        <v>117</v>
      </c>
      <c r="B6443" t="s">
        <v>277</v>
      </c>
      <c r="C6443" t="s">
        <v>6653</v>
      </c>
    </row>
    <row r="6444" spans="1:3" x14ac:dyDescent="0.35">
      <c r="A6444" t="s">
        <v>117</v>
      </c>
      <c r="B6444" t="s">
        <v>277</v>
      </c>
      <c r="C6444" t="s">
        <v>6654</v>
      </c>
    </row>
    <row r="6445" spans="1:3" x14ac:dyDescent="0.35">
      <c r="A6445" t="s">
        <v>117</v>
      </c>
      <c r="B6445" t="s">
        <v>277</v>
      </c>
      <c r="C6445" t="s">
        <v>6655</v>
      </c>
    </row>
    <row r="6446" spans="1:3" x14ac:dyDescent="0.35">
      <c r="A6446" t="s">
        <v>117</v>
      </c>
      <c r="B6446" t="s">
        <v>277</v>
      </c>
      <c r="C6446" t="s">
        <v>6656</v>
      </c>
    </row>
    <row r="6447" spans="1:3" x14ac:dyDescent="0.35">
      <c r="A6447" t="s">
        <v>117</v>
      </c>
      <c r="B6447" t="s">
        <v>277</v>
      </c>
      <c r="C6447" t="s">
        <v>6657</v>
      </c>
    </row>
    <row r="6448" spans="1:3" x14ac:dyDescent="0.35">
      <c r="A6448" t="s">
        <v>117</v>
      </c>
      <c r="B6448" t="s">
        <v>277</v>
      </c>
      <c r="C6448" t="s">
        <v>6658</v>
      </c>
    </row>
    <row r="6449" spans="1:3" x14ac:dyDescent="0.35">
      <c r="A6449" t="s">
        <v>117</v>
      </c>
      <c r="B6449" t="s">
        <v>277</v>
      </c>
      <c r="C6449" t="s">
        <v>6659</v>
      </c>
    </row>
    <row r="6450" spans="1:3" x14ac:dyDescent="0.35">
      <c r="A6450" t="s">
        <v>117</v>
      </c>
      <c r="B6450" t="s">
        <v>277</v>
      </c>
      <c r="C6450" t="s">
        <v>6660</v>
      </c>
    </row>
    <row r="6451" spans="1:3" x14ac:dyDescent="0.35">
      <c r="A6451" t="s">
        <v>117</v>
      </c>
      <c r="B6451" t="s">
        <v>277</v>
      </c>
      <c r="C6451" t="s">
        <v>6318</v>
      </c>
    </row>
    <row r="6452" spans="1:3" x14ac:dyDescent="0.35">
      <c r="A6452" t="s">
        <v>117</v>
      </c>
      <c r="B6452" t="s">
        <v>277</v>
      </c>
      <c r="C6452" t="s">
        <v>6661</v>
      </c>
    </row>
    <row r="6453" spans="1:3" x14ac:dyDescent="0.35">
      <c r="A6453" t="s">
        <v>117</v>
      </c>
      <c r="B6453" t="s">
        <v>277</v>
      </c>
      <c r="C6453" t="s">
        <v>6662</v>
      </c>
    </row>
    <row r="6454" spans="1:3" x14ac:dyDescent="0.35">
      <c r="A6454" t="s">
        <v>117</v>
      </c>
      <c r="B6454" t="s">
        <v>277</v>
      </c>
      <c r="C6454" t="s">
        <v>6663</v>
      </c>
    </row>
    <row r="6455" spans="1:3" x14ac:dyDescent="0.35">
      <c r="A6455" t="s">
        <v>117</v>
      </c>
      <c r="B6455" t="s">
        <v>277</v>
      </c>
      <c r="C6455" t="s">
        <v>6664</v>
      </c>
    </row>
    <row r="6456" spans="1:3" x14ac:dyDescent="0.35">
      <c r="A6456" t="s">
        <v>117</v>
      </c>
      <c r="B6456" t="s">
        <v>277</v>
      </c>
      <c r="C6456" t="s">
        <v>6665</v>
      </c>
    </row>
    <row r="6457" spans="1:3" x14ac:dyDescent="0.35">
      <c r="A6457" t="s">
        <v>117</v>
      </c>
      <c r="B6457" t="s">
        <v>277</v>
      </c>
      <c r="C6457" t="s">
        <v>6666</v>
      </c>
    </row>
    <row r="6458" spans="1:3" x14ac:dyDescent="0.35">
      <c r="A6458" t="s">
        <v>117</v>
      </c>
      <c r="B6458" t="s">
        <v>277</v>
      </c>
      <c r="C6458" t="s">
        <v>6667</v>
      </c>
    </row>
    <row r="6459" spans="1:3" x14ac:dyDescent="0.35">
      <c r="A6459" t="s">
        <v>117</v>
      </c>
      <c r="B6459" t="s">
        <v>277</v>
      </c>
      <c r="C6459" t="s">
        <v>6668</v>
      </c>
    </row>
    <row r="6460" spans="1:3" x14ac:dyDescent="0.35">
      <c r="A6460" t="s">
        <v>117</v>
      </c>
      <c r="B6460" t="s">
        <v>277</v>
      </c>
      <c r="C6460" t="s">
        <v>6669</v>
      </c>
    </row>
    <row r="6461" spans="1:3" x14ac:dyDescent="0.35">
      <c r="A6461" t="s">
        <v>117</v>
      </c>
      <c r="B6461" t="s">
        <v>277</v>
      </c>
      <c r="C6461" t="s">
        <v>6670</v>
      </c>
    </row>
    <row r="6462" spans="1:3" x14ac:dyDescent="0.35">
      <c r="A6462" t="s">
        <v>117</v>
      </c>
      <c r="B6462" t="s">
        <v>277</v>
      </c>
      <c r="C6462" t="s">
        <v>6671</v>
      </c>
    </row>
    <row r="6463" spans="1:3" x14ac:dyDescent="0.35">
      <c r="A6463" t="s">
        <v>117</v>
      </c>
      <c r="B6463" t="s">
        <v>277</v>
      </c>
      <c r="C6463" t="s">
        <v>6672</v>
      </c>
    </row>
    <row r="6464" spans="1:3" x14ac:dyDescent="0.35">
      <c r="A6464" t="s">
        <v>117</v>
      </c>
      <c r="B6464" t="s">
        <v>277</v>
      </c>
      <c r="C6464" t="s">
        <v>6673</v>
      </c>
    </row>
    <row r="6465" spans="1:3" x14ac:dyDescent="0.35">
      <c r="A6465" t="s">
        <v>117</v>
      </c>
      <c r="B6465" t="s">
        <v>277</v>
      </c>
      <c r="C6465" t="s">
        <v>6674</v>
      </c>
    </row>
    <row r="6466" spans="1:3" x14ac:dyDescent="0.35">
      <c r="A6466" t="s">
        <v>117</v>
      </c>
      <c r="B6466" t="s">
        <v>277</v>
      </c>
      <c r="C6466" t="s">
        <v>6675</v>
      </c>
    </row>
    <row r="6467" spans="1:3" x14ac:dyDescent="0.35">
      <c r="A6467" t="s">
        <v>117</v>
      </c>
      <c r="B6467" t="s">
        <v>277</v>
      </c>
      <c r="C6467" t="s">
        <v>6676</v>
      </c>
    </row>
    <row r="6468" spans="1:3" x14ac:dyDescent="0.35">
      <c r="A6468" t="s">
        <v>117</v>
      </c>
      <c r="B6468" t="s">
        <v>277</v>
      </c>
      <c r="C6468" t="s">
        <v>6677</v>
      </c>
    </row>
    <row r="6469" spans="1:3" x14ac:dyDescent="0.35">
      <c r="A6469" t="s">
        <v>117</v>
      </c>
      <c r="B6469" t="s">
        <v>277</v>
      </c>
      <c r="C6469" t="s">
        <v>6678</v>
      </c>
    </row>
    <row r="6470" spans="1:3" x14ac:dyDescent="0.35">
      <c r="A6470" t="s">
        <v>117</v>
      </c>
      <c r="B6470" t="s">
        <v>277</v>
      </c>
      <c r="C6470" t="s">
        <v>6679</v>
      </c>
    </row>
    <row r="6471" spans="1:3" x14ac:dyDescent="0.35">
      <c r="A6471" t="s">
        <v>117</v>
      </c>
      <c r="B6471" t="s">
        <v>277</v>
      </c>
      <c r="C6471" t="s">
        <v>6680</v>
      </c>
    </row>
    <row r="6472" spans="1:3" x14ac:dyDescent="0.35">
      <c r="A6472" t="s">
        <v>117</v>
      </c>
      <c r="B6472" t="s">
        <v>277</v>
      </c>
      <c r="C6472" t="s">
        <v>6681</v>
      </c>
    </row>
    <row r="6473" spans="1:3" x14ac:dyDescent="0.35">
      <c r="A6473" t="s">
        <v>117</v>
      </c>
      <c r="B6473" t="s">
        <v>277</v>
      </c>
      <c r="C6473" t="s">
        <v>6682</v>
      </c>
    </row>
    <row r="6474" spans="1:3" x14ac:dyDescent="0.35">
      <c r="A6474" t="s">
        <v>117</v>
      </c>
      <c r="B6474" t="s">
        <v>277</v>
      </c>
      <c r="C6474" t="s">
        <v>6683</v>
      </c>
    </row>
    <row r="6475" spans="1:3" x14ac:dyDescent="0.35">
      <c r="A6475" t="s">
        <v>117</v>
      </c>
      <c r="B6475" t="s">
        <v>277</v>
      </c>
      <c r="C6475" t="s">
        <v>6684</v>
      </c>
    </row>
    <row r="6476" spans="1:3" x14ac:dyDescent="0.35">
      <c r="A6476" t="s">
        <v>117</v>
      </c>
      <c r="B6476" t="s">
        <v>141</v>
      </c>
      <c r="C6476" t="s">
        <v>6685</v>
      </c>
    </row>
    <row r="6477" spans="1:3" x14ac:dyDescent="0.35">
      <c r="A6477" t="s">
        <v>117</v>
      </c>
      <c r="B6477" t="s">
        <v>141</v>
      </c>
      <c r="C6477" t="s">
        <v>6686</v>
      </c>
    </row>
    <row r="6478" spans="1:3" x14ac:dyDescent="0.35">
      <c r="A6478" t="s">
        <v>117</v>
      </c>
      <c r="B6478" t="s">
        <v>141</v>
      </c>
      <c r="C6478" t="s">
        <v>6687</v>
      </c>
    </row>
    <row r="6479" spans="1:3" x14ac:dyDescent="0.35">
      <c r="A6479" t="s">
        <v>117</v>
      </c>
      <c r="B6479" t="s">
        <v>141</v>
      </c>
      <c r="C6479" t="s">
        <v>6688</v>
      </c>
    </row>
    <row r="6480" spans="1:3" x14ac:dyDescent="0.35">
      <c r="A6480" t="s">
        <v>117</v>
      </c>
      <c r="B6480" t="s">
        <v>141</v>
      </c>
      <c r="C6480" t="s">
        <v>6689</v>
      </c>
    </row>
    <row r="6481" spans="1:3" x14ac:dyDescent="0.35">
      <c r="A6481" t="s">
        <v>117</v>
      </c>
      <c r="B6481" t="s">
        <v>141</v>
      </c>
      <c r="C6481" t="s">
        <v>6690</v>
      </c>
    </row>
    <row r="6482" spans="1:3" x14ac:dyDescent="0.35">
      <c r="A6482" t="s">
        <v>117</v>
      </c>
      <c r="B6482" t="s">
        <v>141</v>
      </c>
      <c r="C6482" t="s">
        <v>6691</v>
      </c>
    </row>
    <row r="6483" spans="1:3" x14ac:dyDescent="0.35">
      <c r="A6483" t="s">
        <v>117</v>
      </c>
      <c r="B6483" t="s">
        <v>141</v>
      </c>
      <c r="C6483" t="s">
        <v>6692</v>
      </c>
    </row>
    <row r="6484" spans="1:3" x14ac:dyDescent="0.35">
      <c r="A6484" t="s">
        <v>117</v>
      </c>
      <c r="B6484" t="s">
        <v>141</v>
      </c>
      <c r="C6484" t="s">
        <v>6693</v>
      </c>
    </row>
    <row r="6485" spans="1:3" x14ac:dyDescent="0.35">
      <c r="A6485" t="s">
        <v>117</v>
      </c>
      <c r="B6485" t="s">
        <v>141</v>
      </c>
      <c r="C6485" t="s">
        <v>6694</v>
      </c>
    </row>
    <row r="6486" spans="1:3" x14ac:dyDescent="0.35">
      <c r="A6486" t="s">
        <v>117</v>
      </c>
      <c r="B6486" t="s">
        <v>141</v>
      </c>
      <c r="C6486" t="s">
        <v>6695</v>
      </c>
    </row>
    <row r="6487" spans="1:3" x14ac:dyDescent="0.35">
      <c r="A6487" t="s">
        <v>117</v>
      </c>
      <c r="B6487" t="s">
        <v>141</v>
      </c>
      <c r="C6487" t="s">
        <v>6696</v>
      </c>
    </row>
    <row r="6488" spans="1:3" x14ac:dyDescent="0.35">
      <c r="A6488" t="s">
        <v>117</v>
      </c>
      <c r="B6488" t="s">
        <v>141</v>
      </c>
      <c r="C6488" t="s">
        <v>6697</v>
      </c>
    </row>
    <row r="6489" spans="1:3" x14ac:dyDescent="0.35">
      <c r="A6489" t="s">
        <v>117</v>
      </c>
      <c r="B6489" t="s">
        <v>141</v>
      </c>
      <c r="C6489" t="s">
        <v>6698</v>
      </c>
    </row>
    <row r="6490" spans="1:3" x14ac:dyDescent="0.35">
      <c r="A6490" t="s">
        <v>117</v>
      </c>
      <c r="B6490" t="s">
        <v>141</v>
      </c>
      <c r="C6490" t="s">
        <v>6699</v>
      </c>
    </row>
    <row r="6491" spans="1:3" x14ac:dyDescent="0.35">
      <c r="A6491" t="s">
        <v>117</v>
      </c>
      <c r="B6491" t="s">
        <v>141</v>
      </c>
      <c r="C6491" t="s">
        <v>6700</v>
      </c>
    </row>
    <row r="6492" spans="1:3" x14ac:dyDescent="0.35">
      <c r="A6492" t="s">
        <v>117</v>
      </c>
      <c r="B6492" t="s">
        <v>141</v>
      </c>
      <c r="C6492" t="s">
        <v>6701</v>
      </c>
    </row>
    <row r="6493" spans="1:3" x14ac:dyDescent="0.35">
      <c r="A6493" t="s">
        <v>117</v>
      </c>
      <c r="B6493" t="s">
        <v>141</v>
      </c>
      <c r="C6493" t="s">
        <v>6702</v>
      </c>
    </row>
    <row r="6494" spans="1:3" x14ac:dyDescent="0.35">
      <c r="A6494" t="s">
        <v>117</v>
      </c>
      <c r="B6494" t="s">
        <v>141</v>
      </c>
      <c r="C6494" t="s">
        <v>6703</v>
      </c>
    </row>
    <row r="6495" spans="1:3" x14ac:dyDescent="0.35">
      <c r="A6495" t="s">
        <v>117</v>
      </c>
      <c r="B6495" t="s">
        <v>141</v>
      </c>
      <c r="C6495" t="s">
        <v>6704</v>
      </c>
    </row>
    <row r="6496" spans="1:3" x14ac:dyDescent="0.35">
      <c r="A6496" t="s">
        <v>117</v>
      </c>
      <c r="B6496" t="s">
        <v>141</v>
      </c>
      <c r="C6496" t="s">
        <v>6705</v>
      </c>
    </row>
    <row r="6497" spans="1:3" x14ac:dyDescent="0.35">
      <c r="A6497" t="s">
        <v>117</v>
      </c>
      <c r="B6497" t="s">
        <v>141</v>
      </c>
      <c r="C6497" t="s">
        <v>6706</v>
      </c>
    </row>
    <row r="6498" spans="1:3" x14ac:dyDescent="0.35">
      <c r="A6498" t="s">
        <v>117</v>
      </c>
      <c r="B6498" t="s">
        <v>141</v>
      </c>
      <c r="C6498" t="s">
        <v>6707</v>
      </c>
    </row>
    <row r="6499" spans="1:3" x14ac:dyDescent="0.35">
      <c r="A6499" t="s">
        <v>117</v>
      </c>
      <c r="B6499" t="s">
        <v>141</v>
      </c>
      <c r="C6499" t="s">
        <v>6708</v>
      </c>
    </row>
    <row r="6500" spans="1:3" x14ac:dyDescent="0.35">
      <c r="A6500" t="s">
        <v>117</v>
      </c>
      <c r="B6500" t="s">
        <v>141</v>
      </c>
      <c r="C6500" t="s">
        <v>6709</v>
      </c>
    </row>
    <row r="6501" spans="1:3" x14ac:dyDescent="0.35">
      <c r="A6501" t="s">
        <v>117</v>
      </c>
      <c r="B6501" t="s">
        <v>141</v>
      </c>
      <c r="C6501" t="s">
        <v>151</v>
      </c>
    </row>
    <row r="6502" spans="1:3" x14ac:dyDescent="0.35">
      <c r="A6502" t="s">
        <v>117</v>
      </c>
      <c r="B6502" t="s">
        <v>141</v>
      </c>
      <c r="C6502" t="s">
        <v>6710</v>
      </c>
    </row>
    <row r="6503" spans="1:3" x14ac:dyDescent="0.35">
      <c r="A6503" t="s">
        <v>117</v>
      </c>
      <c r="B6503" t="s">
        <v>141</v>
      </c>
      <c r="C6503" t="s">
        <v>6711</v>
      </c>
    </row>
    <row r="6504" spans="1:3" x14ac:dyDescent="0.35">
      <c r="A6504" t="s">
        <v>117</v>
      </c>
      <c r="B6504" t="s">
        <v>141</v>
      </c>
      <c r="C6504" t="s">
        <v>6712</v>
      </c>
    </row>
    <row r="6505" spans="1:3" x14ac:dyDescent="0.35">
      <c r="A6505" t="s">
        <v>117</v>
      </c>
      <c r="B6505" t="s">
        <v>141</v>
      </c>
      <c r="C6505" t="s">
        <v>6713</v>
      </c>
    </row>
    <row r="6506" spans="1:3" x14ac:dyDescent="0.35">
      <c r="A6506" t="s">
        <v>117</v>
      </c>
      <c r="B6506" t="s">
        <v>141</v>
      </c>
      <c r="C6506" t="s">
        <v>6714</v>
      </c>
    </row>
    <row r="6507" spans="1:3" x14ac:dyDescent="0.35">
      <c r="A6507" t="s">
        <v>117</v>
      </c>
      <c r="B6507" t="s">
        <v>141</v>
      </c>
      <c r="C6507" t="s">
        <v>6715</v>
      </c>
    </row>
    <row r="6508" spans="1:3" x14ac:dyDescent="0.35">
      <c r="A6508" t="s">
        <v>117</v>
      </c>
      <c r="B6508" t="s">
        <v>141</v>
      </c>
      <c r="C6508" t="s">
        <v>6716</v>
      </c>
    </row>
    <row r="6509" spans="1:3" x14ac:dyDescent="0.35">
      <c r="A6509" t="s">
        <v>117</v>
      </c>
      <c r="B6509" t="s">
        <v>141</v>
      </c>
      <c r="C6509" t="s">
        <v>6717</v>
      </c>
    </row>
    <row r="6510" spans="1:3" x14ac:dyDescent="0.35">
      <c r="A6510" t="s">
        <v>117</v>
      </c>
      <c r="B6510" t="s">
        <v>141</v>
      </c>
      <c r="C6510" t="s">
        <v>6718</v>
      </c>
    </row>
    <row r="6511" spans="1:3" x14ac:dyDescent="0.35">
      <c r="A6511" t="s">
        <v>117</v>
      </c>
      <c r="B6511" t="s">
        <v>141</v>
      </c>
      <c r="C6511" t="s">
        <v>6719</v>
      </c>
    </row>
    <row r="6512" spans="1:3" x14ac:dyDescent="0.35">
      <c r="A6512" t="s">
        <v>117</v>
      </c>
      <c r="B6512" t="s">
        <v>141</v>
      </c>
      <c r="C6512" t="s">
        <v>6720</v>
      </c>
    </row>
    <row r="6513" spans="1:3" x14ac:dyDescent="0.35">
      <c r="A6513" t="s">
        <v>117</v>
      </c>
      <c r="B6513" t="s">
        <v>141</v>
      </c>
      <c r="C6513" t="s">
        <v>6721</v>
      </c>
    </row>
    <row r="6514" spans="1:3" x14ac:dyDescent="0.35">
      <c r="A6514" t="s">
        <v>117</v>
      </c>
      <c r="B6514" t="s">
        <v>141</v>
      </c>
      <c r="C6514" t="s">
        <v>6722</v>
      </c>
    </row>
    <row r="6515" spans="1:3" x14ac:dyDescent="0.35">
      <c r="A6515" t="s">
        <v>117</v>
      </c>
      <c r="B6515" t="s">
        <v>141</v>
      </c>
      <c r="C6515" t="s">
        <v>6723</v>
      </c>
    </row>
    <row r="6516" spans="1:3" x14ac:dyDescent="0.35">
      <c r="A6516" t="s">
        <v>117</v>
      </c>
      <c r="B6516" t="s">
        <v>141</v>
      </c>
      <c r="C6516" t="s">
        <v>6724</v>
      </c>
    </row>
    <row r="6517" spans="1:3" x14ac:dyDescent="0.35">
      <c r="A6517" t="s">
        <v>117</v>
      </c>
      <c r="B6517" t="s">
        <v>141</v>
      </c>
      <c r="C6517" t="s">
        <v>6725</v>
      </c>
    </row>
    <row r="6518" spans="1:3" x14ac:dyDescent="0.35">
      <c r="A6518" t="s">
        <v>117</v>
      </c>
      <c r="B6518" t="s">
        <v>141</v>
      </c>
      <c r="C6518" t="s">
        <v>6726</v>
      </c>
    </row>
    <row r="6519" spans="1:3" x14ac:dyDescent="0.35">
      <c r="A6519" t="s">
        <v>117</v>
      </c>
      <c r="B6519" t="s">
        <v>141</v>
      </c>
      <c r="C6519" t="s">
        <v>6727</v>
      </c>
    </row>
    <row r="6520" spans="1:3" x14ac:dyDescent="0.35">
      <c r="A6520" t="s">
        <v>117</v>
      </c>
      <c r="B6520" t="s">
        <v>141</v>
      </c>
      <c r="C6520" t="s">
        <v>6728</v>
      </c>
    </row>
    <row r="6521" spans="1:3" x14ac:dyDescent="0.35">
      <c r="A6521" t="s">
        <v>117</v>
      </c>
      <c r="B6521" t="s">
        <v>141</v>
      </c>
      <c r="C6521" t="s">
        <v>6729</v>
      </c>
    </row>
    <row r="6522" spans="1:3" x14ac:dyDescent="0.35">
      <c r="A6522" t="s">
        <v>117</v>
      </c>
      <c r="B6522" t="s">
        <v>141</v>
      </c>
      <c r="C6522" t="s">
        <v>6730</v>
      </c>
    </row>
    <row r="6523" spans="1:3" x14ac:dyDescent="0.35">
      <c r="A6523" t="s">
        <v>117</v>
      </c>
      <c r="B6523" t="s">
        <v>141</v>
      </c>
      <c r="C6523" t="s">
        <v>6731</v>
      </c>
    </row>
    <row r="6524" spans="1:3" x14ac:dyDescent="0.35">
      <c r="A6524" t="s">
        <v>117</v>
      </c>
      <c r="B6524" t="s">
        <v>141</v>
      </c>
      <c r="C6524" t="s">
        <v>6732</v>
      </c>
    </row>
    <row r="6525" spans="1:3" x14ac:dyDescent="0.35">
      <c r="A6525" t="s">
        <v>117</v>
      </c>
      <c r="B6525" t="s">
        <v>141</v>
      </c>
      <c r="C6525" t="s">
        <v>176</v>
      </c>
    </row>
    <row r="6526" spans="1:3" x14ac:dyDescent="0.35">
      <c r="A6526" t="s">
        <v>117</v>
      </c>
      <c r="B6526" t="s">
        <v>141</v>
      </c>
      <c r="C6526" t="s">
        <v>6733</v>
      </c>
    </row>
    <row r="6527" spans="1:3" x14ac:dyDescent="0.35">
      <c r="A6527" t="s">
        <v>117</v>
      </c>
      <c r="B6527" t="s">
        <v>141</v>
      </c>
      <c r="C6527" t="s">
        <v>6734</v>
      </c>
    </row>
    <row r="6528" spans="1:3" x14ac:dyDescent="0.35">
      <c r="A6528" t="s">
        <v>117</v>
      </c>
      <c r="B6528" t="s">
        <v>141</v>
      </c>
      <c r="C6528" t="s">
        <v>6735</v>
      </c>
    </row>
    <row r="6529" spans="1:3" x14ac:dyDescent="0.35">
      <c r="A6529" t="s">
        <v>117</v>
      </c>
      <c r="B6529" t="s">
        <v>141</v>
      </c>
      <c r="C6529" t="s">
        <v>141</v>
      </c>
    </row>
    <row r="6530" spans="1:3" x14ac:dyDescent="0.35">
      <c r="A6530" t="s">
        <v>117</v>
      </c>
      <c r="B6530" t="s">
        <v>141</v>
      </c>
      <c r="C6530" t="s">
        <v>6736</v>
      </c>
    </row>
    <row r="6531" spans="1:3" x14ac:dyDescent="0.35">
      <c r="A6531" t="s">
        <v>117</v>
      </c>
      <c r="B6531" t="s">
        <v>141</v>
      </c>
      <c r="C6531" t="s">
        <v>6737</v>
      </c>
    </row>
    <row r="6532" spans="1:3" x14ac:dyDescent="0.35">
      <c r="A6532" t="s">
        <v>117</v>
      </c>
      <c r="B6532" t="s">
        <v>141</v>
      </c>
      <c r="C6532" t="s">
        <v>6738</v>
      </c>
    </row>
    <row r="6533" spans="1:3" x14ac:dyDescent="0.35">
      <c r="A6533" t="s">
        <v>117</v>
      </c>
      <c r="B6533" t="s">
        <v>141</v>
      </c>
      <c r="C6533" t="s">
        <v>142</v>
      </c>
    </row>
    <row r="6534" spans="1:3" x14ac:dyDescent="0.35">
      <c r="A6534" t="s">
        <v>117</v>
      </c>
      <c r="B6534" t="s">
        <v>141</v>
      </c>
      <c r="C6534" t="s">
        <v>6739</v>
      </c>
    </row>
    <row r="6535" spans="1:3" x14ac:dyDescent="0.35">
      <c r="A6535" t="s">
        <v>117</v>
      </c>
      <c r="B6535" t="s">
        <v>141</v>
      </c>
      <c r="C6535" t="s">
        <v>6740</v>
      </c>
    </row>
    <row r="6536" spans="1:3" x14ac:dyDescent="0.35">
      <c r="A6536" t="s">
        <v>117</v>
      </c>
      <c r="B6536" t="s">
        <v>141</v>
      </c>
      <c r="C6536" t="s">
        <v>6741</v>
      </c>
    </row>
    <row r="6537" spans="1:3" x14ac:dyDescent="0.35">
      <c r="A6537" t="s">
        <v>117</v>
      </c>
      <c r="B6537" t="s">
        <v>141</v>
      </c>
      <c r="C6537" t="s">
        <v>6742</v>
      </c>
    </row>
    <row r="6538" spans="1:3" x14ac:dyDescent="0.35">
      <c r="A6538" t="s">
        <v>117</v>
      </c>
      <c r="B6538" t="s">
        <v>141</v>
      </c>
      <c r="C6538" t="s">
        <v>6743</v>
      </c>
    </row>
    <row r="6539" spans="1:3" x14ac:dyDescent="0.35">
      <c r="A6539" t="s">
        <v>117</v>
      </c>
      <c r="B6539" t="s">
        <v>141</v>
      </c>
      <c r="C6539" t="s">
        <v>6744</v>
      </c>
    </row>
    <row r="6540" spans="1:3" x14ac:dyDescent="0.35">
      <c r="A6540" t="s">
        <v>117</v>
      </c>
      <c r="B6540" t="s">
        <v>141</v>
      </c>
      <c r="C6540" t="s">
        <v>6745</v>
      </c>
    </row>
    <row r="6541" spans="1:3" x14ac:dyDescent="0.35">
      <c r="A6541" t="s">
        <v>117</v>
      </c>
      <c r="B6541" t="s">
        <v>141</v>
      </c>
      <c r="C6541" t="s">
        <v>6746</v>
      </c>
    </row>
    <row r="6542" spans="1:3" x14ac:dyDescent="0.35">
      <c r="A6542" t="s">
        <v>117</v>
      </c>
      <c r="B6542" t="s">
        <v>141</v>
      </c>
      <c r="C6542" t="s">
        <v>6747</v>
      </c>
    </row>
    <row r="6543" spans="1:3" x14ac:dyDescent="0.35">
      <c r="A6543" t="s">
        <v>117</v>
      </c>
      <c r="B6543" t="s">
        <v>141</v>
      </c>
      <c r="C6543" t="s">
        <v>6748</v>
      </c>
    </row>
    <row r="6544" spans="1:3" x14ac:dyDescent="0.35">
      <c r="A6544" t="s">
        <v>117</v>
      </c>
      <c r="B6544" t="s">
        <v>141</v>
      </c>
      <c r="C6544" t="s">
        <v>6749</v>
      </c>
    </row>
    <row r="6545" spans="1:3" x14ac:dyDescent="0.35">
      <c r="A6545" t="s">
        <v>117</v>
      </c>
      <c r="B6545" t="s">
        <v>141</v>
      </c>
      <c r="C6545" t="s">
        <v>6750</v>
      </c>
    </row>
    <row r="6546" spans="1:3" x14ac:dyDescent="0.35">
      <c r="A6546" t="s">
        <v>117</v>
      </c>
      <c r="B6546" t="s">
        <v>141</v>
      </c>
      <c r="C6546" t="s">
        <v>6751</v>
      </c>
    </row>
    <row r="6547" spans="1:3" x14ac:dyDescent="0.35">
      <c r="A6547" t="s">
        <v>117</v>
      </c>
      <c r="B6547" t="s">
        <v>141</v>
      </c>
      <c r="C6547" t="s">
        <v>6752</v>
      </c>
    </row>
    <row r="6548" spans="1:3" x14ac:dyDescent="0.35">
      <c r="A6548" t="s">
        <v>117</v>
      </c>
      <c r="B6548" t="s">
        <v>141</v>
      </c>
      <c r="C6548" t="s">
        <v>6753</v>
      </c>
    </row>
    <row r="6549" spans="1:3" x14ac:dyDescent="0.35">
      <c r="A6549" t="s">
        <v>117</v>
      </c>
      <c r="B6549" t="s">
        <v>141</v>
      </c>
      <c r="C6549" t="s">
        <v>6754</v>
      </c>
    </row>
    <row r="6550" spans="1:3" x14ac:dyDescent="0.35">
      <c r="A6550" t="s">
        <v>117</v>
      </c>
      <c r="B6550" t="s">
        <v>141</v>
      </c>
      <c r="C6550" t="s">
        <v>6755</v>
      </c>
    </row>
    <row r="6551" spans="1:3" x14ac:dyDescent="0.35">
      <c r="A6551" t="s">
        <v>117</v>
      </c>
      <c r="B6551" t="s">
        <v>141</v>
      </c>
      <c r="C6551" t="s">
        <v>6756</v>
      </c>
    </row>
    <row r="6552" spans="1:3" x14ac:dyDescent="0.35">
      <c r="A6552" t="s">
        <v>117</v>
      </c>
      <c r="B6552" t="s">
        <v>141</v>
      </c>
      <c r="C6552" t="s">
        <v>6757</v>
      </c>
    </row>
    <row r="6553" spans="1:3" x14ac:dyDescent="0.35">
      <c r="A6553" t="s">
        <v>117</v>
      </c>
      <c r="B6553" t="s">
        <v>141</v>
      </c>
      <c r="C6553" t="s">
        <v>6758</v>
      </c>
    </row>
    <row r="6554" spans="1:3" x14ac:dyDescent="0.35">
      <c r="A6554" t="s">
        <v>117</v>
      </c>
      <c r="B6554" t="s">
        <v>141</v>
      </c>
      <c r="C6554" t="s">
        <v>6759</v>
      </c>
    </row>
    <row r="6555" spans="1:3" x14ac:dyDescent="0.35">
      <c r="A6555" t="s">
        <v>117</v>
      </c>
      <c r="B6555" t="s">
        <v>141</v>
      </c>
      <c r="C6555" t="s">
        <v>6760</v>
      </c>
    </row>
    <row r="6556" spans="1:3" x14ac:dyDescent="0.35">
      <c r="A6556" t="s">
        <v>117</v>
      </c>
      <c r="B6556" t="s">
        <v>141</v>
      </c>
      <c r="C6556" t="s">
        <v>6761</v>
      </c>
    </row>
    <row r="6557" spans="1:3" x14ac:dyDescent="0.35">
      <c r="A6557" t="s">
        <v>117</v>
      </c>
      <c r="B6557" t="s">
        <v>141</v>
      </c>
      <c r="C6557" t="s">
        <v>6762</v>
      </c>
    </row>
    <row r="6558" spans="1:3" x14ac:dyDescent="0.35">
      <c r="A6558" t="s">
        <v>117</v>
      </c>
      <c r="B6558" t="s">
        <v>180</v>
      </c>
      <c r="C6558" t="s">
        <v>6763</v>
      </c>
    </row>
    <row r="6559" spans="1:3" x14ac:dyDescent="0.35">
      <c r="A6559" t="s">
        <v>117</v>
      </c>
      <c r="B6559" t="s">
        <v>180</v>
      </c>
      <c r="C6559" t="s">
        <v>6764</v>
      </c>
    </row>
    <row r="6560" spans="1:3" x14ac:dyDescent="0.35">
      <c r="A6560" t="s">
        <v>117</v>
      </c>
      <c r="B6560" t="s">
        <v>180</v>
      </c>
      <c r="C6560" t="s">
        <v>6765</v>
      </c>
    </row>
    <row r="6561" spans="1:3" x14ac:dyDescent="0.35">
      <c r="A6561" t="s">
        <v>117</v>
      </c>
      <c r="B6561" t="s">
        <v>180</v>
      </c>
      <c r="C6561" t="s">
        <v>6766</v>
      </c>
    </row>
    <row r="6562" spans="1:3" x14ac:dyDescent="0.35">
      <c r="A6562" t="s">
        <v>117</v>
      </c>
      <c r="B6562" t="s">
        <v>180</v>
      </c>
      <c r="C6562" t="s">
        <v>6767</v>
      </c>
    </row>
    <row r="6563" spans="1:3" x14ac:dyDescent="0.35">
      <c r="A6563" t="s">
        <v>117</v>
      </c>
      <c r="B6563" t="s">
        <v>180</v>
      </c>
      <c r="C6563" t="s">
        <v>6768</v>
      </c>
    </row>
    <row r="6564" spans="1:3" x14ac:dyDescent="0.35">
      <c r="A6564" t="s">
        <v>117</v>
      </c>
      <c r="B6564" t="s">
        <v>180</v>
      </c>
      <c r="C6564" t="s">
        <v>6769</v>
      </c>
    </row>
    <row r="6565" spans="1:3" x14ac:dyDescent="0.35">
      <c r="A6565" t="s">
        <v>117</v>
      </c>
      <c r="B6565" t="s">
        <v>180</v>
      </c>
      <c r="C6565" t="s">
        <v>6770</v>
      </c>
    </row>
    <row r="6566" spans="1:3" x14ac:dyDescent="0.35">
      <c r="A6566" t="s">
        <v>117</v>
      </c>
      <c r="B6566" t="s">
        <v>180</v>
      </c>
      <c r="C6566" t="s">
        <v>180</v>
      </c>
    </row>
    <row r="6567" spans="1:3" x14ac:dyDescent="0.35">
      <c r="A6567" t="s">
        <v>117</v>
      </c>
      <c r="B6567" t="s">
        <v>180</v>
      </c>
      <c r="C6567" t="s">
        <v>6771</v>
      </c>
    </row>
    <row r="6568" spans="1:3" x14ac:dyDescent="0.35">
      <c r="A6568" t="s">
        <v>117</v>
      </c>
      <c r="B6568" t="s">
        <v>180</v>
      </c>
      <c r="C6568" t="s">
        <v>6772</v>
      </c>
    </row>
    <row r="6569" spans="1:3" x14ac:dyDescent="0.35">
      <c r="A6569" t="s">
        <v>117</v>
      </c>
      <c r="B6569" t="s">
        <v>180</v>
      </c>
      <c r="C6569" t="s">
        <v>6773</v>
      </c>
    </row>
    <row r="6570" spans="1:3" x14ac:dyDescent="0.35">
      <c r="A6570" t="s">
        <v>117</v>
      </c>
      <c r="B6570" t="s">
        <v>122</v>
      </c>
      <c r="C6570" t="s">
        <v>6774</v>
      </c>
    </row>
    <row r="6571" spans="1:3" x14ac:dyDescent="0.35">
      <c r="A6571" t="s">
        <v>117</v>
      </c>
      <c r="B6571" t="s">
        <v>122</v>
      </c>
      <c r="C6571" t="s">
        <v>6775</v>
      </c>
    </row>
    <row r="6572" spans="1:3" x14ac:dyDescent="0.35">
      <c r="A6572" t="s">
        <v>117</v>
      </c>
      <c r="B6572" t="s">
        <v>122</v>
      </c>
      <c r="C6572" t="s">
        <v>6776</v>
      </c>
    </row>
    <row r="6573" spans="1:3" x14ac:dyDescent="0.35">
      <c r="A6573" t="s">
        <v>117</v>
      </c>
      <c r="B6573" t="s">
        <v>122</v>
      </c>
      <c r="C6573" t="s">
        <v>6777</v>
      </c>
    </row>
    <row r="6574" spans="1:3" x14ac:dyDescent="0.35">
      <c r="A6574" t="s">
        <v>117</v>
      </c>
      <c r="B6574" t="s">
        <v>122</v>
      </c>
      <c r="C6574" t="s">
        <v>6778</v>
      </c>
    </row>
    <row r="6575" spans="1:3" x14ac:dyDescent="0.35">
      <c r="A6575" t="s">
        <v>117</v>
      </c>
      <c r="B6575" t="s">
        <v>122</v>
      </c>
      <c r="C6575" t="s">
        <v>6779</v>
      </c>
    </row>
    <row r="6576" spans="1:3" x14ac:dyDescent="0.35">
      <c r="A6576" t="s">
        <v>117</v>
      </c>
      <c r="B6576" t="s">
        <v>122</v>
      </c>
      <c r="C6576" t="s">
        <v>6780</v>
      </c>
    </row>
    <row r="6577" spans="1:3" x14ac:dyDescent="0.35">
      <c r="A6577" t="s">
        <v>117</v>
      </c>
      <c r="B6577" t="s">
        <v>122</v>
      </c>
      <c r="C6577" t="s">
        <v>6781</v>
      </c>
    </row>
    <row r="6578" spans="1:3" x14ac:dyDescent="0.35">
      <c r="A6578" t="s">
        <v>117</v>
      </c>
      <c r="B6578" t="s">
        <v>122</v>
      </c>
      <c r="C6578" t="s">
        <v>6782</v>
      </c>
    </row>
    <row r="6579" spans="1:3" x14ac:dyDescent="0.35">
      <c r="A6579" t="s">
        <v>117</v>
      </c>
      <c r="B6579" t="s">
        <v>122</v>
      </c>
      <c r="C6579" t="s">
        <v>6783</v>
      </c>
    </row>
    <row r="6580" spans="1:3" x14ac:dyDescent="0.35">
      <c r="A6580" t="s">
        <v>117</v>
      </c>
      <c r="B6580" t="s">
        <v>122</v>
      </c>
      <c r="C6580" t="s">
        <v>123</v>
      </c>
    </row>
    <row r="6581" spans="1:3" x14ac:dyDescent="0.35">
      <c r="A6581" t="s">
        <v>117</v>
      </c>
      <c r="B6581" t="s">
        <v>122</v>
      </c>
      <c r="C6581" t="s">
        <v>6784</v>
      </c>
    </row>
    <row r="6582" spans="1:3" x14ac:dyDescent="0.35">
      <c r="A6582" t="s">
        <v>117</v>
      </c>
      <c r="B6582" t="s">
        <v>122</v>
      </c>
      <c r="C6582" t="s">
        <v>6785</v>
      </c>
    </row>
    <row r="6583" spans="1:3" x14ac:dyDescent="0.35">
      <c r="A6583" t="s">
        <v>117</v>
      </c>
      <c r="B6583" t="s">
        <v>122</v>
      </c>
      <c r="C6583" t="s">
        <v>6786</v>
      </c>
    </row>
    <row r="6584" spans="1:3" x14ac:dyDescent="0.35">
      <c r="A6584" t="s">
        <v>117</v>
      </c>
      <c r="B6584" t="s">
        <v>122</v>
      </c>
      <c r="C6584" t="s">
        <v>6787</v>
      </c>
    </row>
    <row r="6585" spans="1:3" x14ac:dyDescent="0.35">
      <c r="A6585" t="s">
        <v>117</v>
      </c>
      <c r="B6585" t="s">
        <v>122</v>
      </c>
      <c r="C6585" t="s">
        <v>6788</v>
      </c>
    </row>
    <row r="6586" spans="1:3" x14ac:dyDescent="0.35">
      <c r="A6586" t="s">
        <v>117</v>
      </c>
      <c r="B6586" t="s">
        <v>122</v>
      </c>
      <c r="C6586" t="s">
        <v>6789</v>
      </c>
    </row>
    <row r="6587" spans="1:3" x14ac:dyDescent="0.35">
      <c r="A6587" t="s">
        <v>117</v>
      </c>
      <c r="B6587" t="s">
        <v>122</v>
      </c>
      <c r="C6587" t="s">
        <v>6790</v>
      </c>
    </row>
    <row r="6588" spans="1:3" x14ac:dyDescent="0.35">
      <c r="A6588" t="s">
        <v>117</v>
      </c>
      <c r="B6588" t="s">
        <v>122</v>
      </c>
      <c r="C6588" t="s">
        <v>122</v>
      </c>
    </row>
    <row r="6589" spans="1:3" x14ac:dyDescent="0.35">
      <c r="A6589" t="s">
        <v>117</v>
      </c>
      <c r="B6589" t="s">
        <v>122</v>
      </c>
      <c r="C6589" t="s">
        <v>6791</v>
      </c>
    </row>
    <row r="6590" spans="1:3" x14ac:dyDescent="0.35">
      <c r="A6590" t="s">
        <v>117</v>
      </c>
      <c r="B6590" t="s">
        <v>122</v>
      </c>
      <c r="C6590" t="s">
        <v>6792</v>
      </c>
    </row>
    <row r="6591" spans="1:3" x14ac:dyDescent="0.35">
      <c r="A6591" t="s">
        <v>117</v>
      </c>
      <c r="B6591" t="s">
        <v>130</v>
      </c>
      <c r="C6591" t="s">
        <v>6793</v>
      </c>
    </row>
    <row r="6592" spans="1:3" x14ac:dyDescent="0.35">
      <c r="A6592" t="s">
        <v>117</v>
      </c>
      <c r="B6592" t="s">
        <v>130</v>
      </c>
      <c r="C6592" t="s">
        <v>131</v>
      </c>
    </row>
    <row r="6593" spans="1:3" x14ac:dyDescent="0.35">
      <c r="A6593" t="s">
        <v>117</v>
      </c>
      <c r="B6593" t="s">
        <v>130</v>
      </c>
      <c r="C6593" t="s">
        <v>6794</v>
      </c>
    </row>
    <row r="6594" spans="1:3" x14ac:dyDescent="0.35">
      <c r="A6594" t="s">
        <v>117</v>
      </c>
      <c r="B6594" t="s">
        <v>130</v>
      </c>
      <c r="C6594" t="s">
        <v>6795</v>
      </c>
    </row>
    <row r="6595" spans="1:3" x14ac:dyDescent="0.35">
      <c r="A6595" t="s">
        <v>117</v>
      </c>
      <c r="B6595" t="s">
        <v>130</v>
      </c>
      <c r="C6595" t="s">
        <v>6796</v>
      </c>
    </row>
    <row r="6596" spans="1:3" x14ac:dyDescent="0.35">
      <c r="A6596" t="s">
        <v>117</v>
      </c>
      <c r="B6596" t="s">
        <v>130</v>
      </c>
      <c r="C6596" t="s">
        <v>6797</v>
      </c>
    </row>
    <row r="6597" spans="1:3" x14ac:dyDescent="0.35">
      <c r="A6597" t="s">
        <v>117</v>
      </c>
      <c r="B6597" t="s">
        <v>130</v>
      </c>
      <c r="C6597" t="s">
        <v>6798</v>
      </c>
    </row>
    <row r="6598" spans="1:3" x14ac:dyDescent="0.35">
      <c r="A6598" t="s">
        <v>117</v>
      </c>
      <c r="B6598" t="s">
        <v>130</v>
      </c>
      <c r="C6598" t="s">
        <v>6799</v>
      </c>
    </row>
    <row r="6599" spans="1:3" x14ac:dyDescent="0.35">
      <c r="A6599" t="s">
        <v>117</v>
      </c>
      <c r="B6599" t="s">
        <v>130</v>
      </c>
      <c r="C6599" t="s">
        <v>6800</v>
      </c>
    </row>
    <row r="6600" spans="1:3" x14ac:dyDescent="0.35">
      <c r="A6600" t="s">
        <v>117</v>
      </c>
      <c r="B6600" t="s">
        <v>130</v>
      </c>
      <c r="C6600" t="s">
        <v>6801</v>
      </c>
    </row>
    <row r="6601" spans="1:3" x14ac:dyDescent="0.35">
      <c r="A6601" t="s">
        <v>117</v>
      </c>
      <c r="B6601" t="s">
        <v>130</v>
      </c>
      <c r="C6601" t="s">
        <v>6802</v>
      </c>
    </row>
    <row r="6602" spans="1:3" x14ac:dyDescent="0.35">
      <c r="A6602" t="s">
        <v>117</v>
      </c>
      <c r="B6602" t="s">
        <v>130</v>
      </c>
      <c r="C6602" t="s">
        <v>135</v>
      </c>
    </row>
    <row r="6603" spans="1:3" x14ac:dyDescent="0.35">
      <c r="A6603" t="s">
        <v>117</v>
      </c>
      <c r="B6603" t="s">
        <v>130</v>
      </c>
      <c r="C6603" t="s">
        <v>6803</v>
      </c>
    </row>
    <row r="6604" spans="1:3" x14ac:dyDescent="0.35">
      <c r="A6604" t="s">
        <v>117</v>
      </c>
      <c r="B6604" t="s">
        <v>130</v>
      </c>
      <c r="C6604" t="s">
        <v>6804</v>
      </c>
    </row>
    <row r="6605" spans="1:3" x14ac:dyDescent="0.35">
      <c r="A6605" t="s">
        <v>117</v>
      </c>
      <c r="B6605" t="s">
        <v>130</v>
      </c>
      <c r="C6605" t="s">
        <v>6805</v>
      </c>
    </row>
    <row r="6606" spans="1:3" x14ac:dyDescent="0.35">
      <c r="A6606" t="s">
        <v>117</v>
      </c>
      <c r="B6606" t="s">
        <v>130</v>
      </c>
      <c r="C6606" t="s">
        <v>6806</v>
      </c>
    </row>
    <row r="6607" spans="1:3" x14ac:dyDescent="0.35">
      <c r="A6607" t="s">
        <v>117</v>
      </c>
      <c r="B6607" t="s">
        <v>130</v>
      </c>
      <c r="C6607" t="s">
        <v>6807</v>
      </c>
    </row>
    <row r="6608" spans="1:3" x14ac:dyDescent="0.35">
      <c r="A6608" t="s">
        <v>117</v>
      </c>
      <c r="B6608" t="s">
        <v>130</v>
      </c>
      <c r="C6608" t="s">
        <v>6808</v>
      </c>
    </row>
    <row r="6609" spans="1:3" x14ac:dyDescent="0.35">
      <c r="A6609" t="s">
        <v>117</v>
      </c>
      <c r="B6609" t="s">
        <v>130</v>
      </c>
      <c r="C6609" t="s">
        <v>6809</v>
      </c>
    </row>
    <row r="6610" spans="1:3" x14ac:dyDescent="0.35">
      <c r="A6610" t="s">
        <v>117</v>
      </c>
      <c r="B6610" t="s">
        <v>130</v>
      </c>
      <c r="C6610" t="s">
        <v>6810</v>
      </c>
    </row>
    <row r="6611" spans="1:3" x14ac:dyDescent="0.35">
      <c r="A6611" t="s">
        <v>117</v>
      </c>
      <c r="B6611" t="s">
        <v>130</v>
      </c>
      <c r="C6611" t="s">
        <v>6811</v>
      </c>
    </row>
    <row r="6612" spans="1:3" x14ac:dyDescent="0.35">
      <c r="A6612" t="s">
        <v>117</v>
      </c>
      <c r="B6612" t="s">
        <v>130</v>
      </c>
      <c r="C6612" t="s">
        <v>6812</v>
      </c>
    </row>
    <row r="6613" spans="1:3" x14ac:dyDescent="0.35">
      <c r="A6613" t="s">
        <v>117</v>
      </c>
      <c r="B6613" t="s">
        <v>130</v>
      </c>
      <c r="C6613" t="s">
        <v>130</v>
      </c>
    </row>
    <row r="6614" spans="1:3" x14ac:dyDescent="0.35">
      <c r="A6614" t="s">
        <v>117</v>
      </c>
      <c r="B6614" t="s">
        <v>130</v>
      </c>
      <c r="C6614" t="s">
        <v>6813</v>
      </c>
    </row>
    <row r="6615" spans="1:3" x14ac:dyDescent="0.35">
      <c r="A6615" t="s">
        <v>117</v>
      </c>
      <c r="B6615" t="s">
        <v>130</v>
      </c>
      <c r="C6615" t="s">
        <v>6814</v>
      </c>
    </row>
    <row r="6616" spans="1:3" x14ac:dyDescent="0.35">
      <c r="A6616" t="s">
        <v>219</v>
      </c>
      <c r="B6616" t="s">
        <v>232</v>
      </c>
      <c r="C6616" t="s">
        <v>6815</v>
      </c>
    </row>
    <row r="6617" spans="1:3" x14ac:dyDescent="0.35">
      <c r="A6617" t="s">
        <v>219</v>
      </c>
      <c r="B6617" t="s">
        <v>232</v>
      </c>
      <c r="C6617" t="s">
        <v>232</v>
      </c>
    </row>
    <row r="6618" spans="1:3" x14ac:dyDescent="0.35">
      <c r="A6618" t="s">
        <v>219</v>
      </c>
      <c r="B6618" t="s">
        <v>232</v>
      </c>
      <c r="C6618" t="s">
        <v>6816</v>
      </c>
    </row>
    <row r="6619" spans="1:3" x14ac:dyDescent="0.35">
      <c r="A6619" t="s">
        <v>219</v>
      </c>
      <c r="B6619" t="s">
        <v>232</v>
      </c>
      <c r="C6619" t="s">
        <v>6817</v>
      </c>
    </row>
    <row r="6620" spans="1:3" x14ac:dyDescent="0.35">
      <c r="A6620" t="s">
        <v>219</v>
      </c>
      <c r="B6620" t="s">
        <v>232</v>
      </c>
      <c r="C6620" t="s">
        <v>6818</v>
      </c>
    </row>
    <row r="6621" spans="1:3" x14ac:dyDescent="0.35">
      <c r="A6621" t="s">
        <v>219</v>
      </c>
      <c r="B6621" t="s">
        <v>232</v>
      </c>
      <c r="C6621" t="s">
        <v>6819</v>
      </c>
    </row>
    <row r="6622" spans="1:3" x14ac:dyDescent="0.35">
      <c r="A6622" t="s">
        <v>219</v>
      </c>
      <c r="B6622" t="s">
        <v>232</v>
      </c>
      <c r="C6622" t="s">
        <v>6820</v>
      </c>
    </row>
    <row r="6623" spans="1:3" x14ac:dyDescent="0.35">
      <c r="A6623" t="s">
        <v>219</v>
      </c>
      <c r="B6623" t="s">
        <v>232</v>
      </c>
      <c r="C6623" t="s">
        <v>6821</v>
      </c>
    </row>
    <row r="6624" spans="1:3" x14ac:dyDescent="0.35">
      <c r="A6624" t="s">
        <v>219</v>
      </c>
      <c r="B6624" t="s">
        <v>232</v>
      </c>
      <c r="C6624" t="s">
        <v>6822</v>
      </c>
    </row>
    <row r="6625" spans="1:3" x14ac:dyDescent="0.35">
      <c r="A6625" t="s">
        <v>219</v>
      </c>
      <c r="B6625" t="s">
        <v>232</v>
      </c>
      <c r="C6625" t="s">
        <v>6823</v>
      </c>
    </row>
    <row r="6626" spans="1:3" x14ac:dyDescent="0.35">
      <c r="A6626" t="s">
        <v>219</v>
      </c>
      <c r="B6626" t="s">
        <v>232</v>
      </c>
      <c r="C6626" t="s">
        <v>6824</v>
      </c>
    </row>
    <row r="6627" spans="1:3" x14ac:dyDescent="0.35">
      <c r="A6627" t="s">
        <v>219</v>
      </c>
      <c r="B6627" t="s">
        <v>232</v>
      </c>
      <c r="C6627" t="s">
        <v>6825</v>
      </c>
    </row>
    <row r="6628" spans="1:3" x14ac:dyDescent="0.35">
      <c r="A6628" t="s">
        <v>219</v>
      </c>
      <c r="B6628" t="s">
        <v>232</v>
      </c>
      <c r="C6628" t="s">
        <v>6826</v>
      </c>
    </row>
    <row r="6629" spans="1:3" x14ac:dyDescent="0.35">
      <c r="A6629" t="s">
        <v>219</v>
      </c>
      <c r="B6629" t="s">
        <v>232</v>
      </c>
      <c r="C6629" t="s">
        <v>6827</v>
      </c>
    </row>
    <row r="6630" spans="1:3" x14ac:dyDescent="0.35">
      <c r="A6630" t="s">
        <v>219</v>
      </c>
      <c r="B6630" t="s">
        <v>232</v>
      </c>
      <c r="C6630" t="s">
        <v>6828</v>
      </c>
    </row>
    <row r="6631" spans="1:3" x14ac:dyDescent="0.35">
      <c r="A6631" t="s">
        <v>219</v>
      </c>
      <c r="B6631" t="s">
        <v>232</v>
      </c>
      <c r="C6631" t="s">
        <v>6829</v>
      </c>
    </row>
    <row r="6632" spans="1:3" x14ac:dyDescent="0.35">
      <c r="A6632" t="s">
        <v>219</v>
      </c>
      <c r="B6632" t="s">
        <v>232</v>
      </c>
      <c r="C6632" t="s">
        <v>6830</v>
      </c>
    </row>
    <row r="6633" spans="1:3" x14ac:dyDescent="0.35">
      <c r="A6633" t="s">
        <v>219</v>
      </c>
      <c r="B6633" t="s">
        <v>232</v>
      </c>
      <c r="C6633" t="s">
        <v>6831</v>
      </c>
    </row>
    <row r="6634" spans="1:3" x14ac:dyDescent="0.35">
      <c r="A6634" t="s">
        <v>219</v>
      </c>
      <c r="B6634" t="s">
        <v>232</v>
      </c>
      <c r="C6634" t="s">
        <v>6832</v>
      </c>
    </row>
    <row r="6635" spans="1:3" x14ac:dyDescent="0.35">
      <c r="A6635" t="s">
        <v>219</v>
      </c>
      <c r="B6635" t="s">
        <v>232</v>
      </c>
      <c r="C6635" t="s">
        <v>6833</v>
      </c>
    </row>
    <row r="6636" spans="1:3" x14ac:dyDescent="0.35">
      <c r="A6636" t="s">
        <v>219</v>
      </c>
      <c r="B6636" t="s">
        <v>232</v>
      </c>
      <c r="C6636" t="s">
        <v>6834</v>
      </c>
    </row>
    <row r="6637" spans="1:3" x14ac:dyDescent="0.35">
      <c r="A6637" t="s">
        <v>219</v>
      </c>
      <c r="B6637" t="s">
        <v>232</v>
      </c>
      <c r="C6637" t="s">
        <v>6835</v>
      </c>
    </row>
    <row r="6638" spans="1:3" x14ac:dyDescent="0.35">
      <c r="A6638" t="s">
        <v>219</v>
      </c>
      <c r="B6638" t="s">
        <v>232</v>
      </c>
      <c r="C6638" t="s">
        <v>6836</v>
      </c>
    </row>
    <row r="6639" spans="1:3" x14ac:dyDescent="0.35">
      <c r="A6639" t="s">
        <v>219</v>
      </c>
      <c r="B6639" t="s">
        <v>232</v>
      </c>
      <c r="C6639" t="s">
        <v>6837</v>
      </c>
    </row>
    <row r="6640" spans="1:3" x14ac:dyDescent="0.35">
      <c r="A6640" t="s">
        <v>219</v>
      </c>
      <c r="B6640" t="s">
        <v>232</v>
      </c>
      <c r="C6640" t="s">
        <v>6838</v>
      </c>
    </row>
    <row r="6641" spans="1:3" x14ac:dyDescent="0.35">
      <c r="A6641" t="s">
        <v>219</v>
      </c>
      <c r="B6641" t="s">
        <v>232</v>
      </c>
      <c r="C6641" t="s">
        <v>6839</v>
      </c>
    </row>
    <row r="6642" spans="1:3" x14ac:dyDescent="0.35">
      <c r="A6642" t="s">
        <v>219</v>
      </c>
      <c r="B6642" t="s">
        <v>232</v>
      </c>
      <c r="C6642" t="s">
        <v>6840</v>
      </c>
    </row>
    <row r="6643" spans="1:3" x14ac:dyDescent="0.35">
      <c r="A6643" t="s">
        <v>219</v>
      </c>
      <c r="B6643" t="s">
        <v>232</v>
      </c>
      <c r="C6643" t="s">
        <v>6841</v>
      </c>
    </row>
    <row r="6644" spans="1:3" x14ac:dyDescent="0.35">
      <c r="A6644" t="s">
        <v>219</v>
      </c>
      <c r="B6644" t="s">
        <v>232</v>
      </c>
      <c r="C6644" t="s">
        <v>6842</v>
      </c>
    </row>
    <row r="6645" spans="1:3" x14ac:dyDescent="0.35">
      <c r="A6645" t="s">
        <v>219</v>
      </c>
      <c r="B6645" t="s">
        <v>232</v>
      </c>
      <c r="C6645" t="s">
        <v>6843</v>
      </c>
    </row>
    <row r="6646" spans="1:3" x14ac:dyDescent="0.35">
      <c r="A6646" t="s">
        <v>219</v>
      </c>
      <c r="B6646" t="s">
        <v>232</v>
      </c>
      <c r="C6646" t="s">
        <v>6844</v>
      </c>
    </row>
    <row r="6647" spans="1:3" x14ac:dyDescent="0.35">
      <c r="A6647" t="s">
        <v>219</v>
      </c>
      <c r="B6647" t="s">
        <v>232</v>
      </c>
      <c r="C6647" t="s">
        <v>6845</v>
      </c>
    </row>
    <row r="6648" spans="1:3" x14ac:dyDescent="0.35">
      <c r="A6648" t="s">
        <v>219</v>
      </c>
      <c r="B6648" t="s">
        <v>232</v>
      </c>
      <c r="C6648" t="s">
        <v>6846</v>
      </c>
    </row>
    <row r="6649" spans="1:3" x14ac:dyDescent="0.35">
      <c r="A6649" t="s">
        <v>219</v>
      </c>
      <c r="B6649" t="s">
        <v>232</v>
      </c>
      <c r="C6649" t="s">
        <v>6847</v>
      </c>
    </row>
    <row r="6650" spans="1:3" x14ac:dyDescent="0.35">
      <c r="A6650" t="s">
        <v>219</v>
      </c>
      <c r="B6650" t="s">
        <v>232</v>
      </c>
      <c r="C6650" t="s">
        <v>6848</v>
      </c>
    </row>
    <row r="6651" spans="1:3" x14ac:dyDescent="0.35">
      <c r="A6651" t="s">
        <v>219</v>
      </c>
      <c r="B6651" t="s">
        <v>232</v>
      </c>
      <c r="C6651" t="s">
        <v>6849</v>
      </c>
    </row>
    <row r="6652" spans="1:3" x14ac:dyDescent="0.35">
      <c r="A6652" t="s">
        <v>219</v>
      </c>
      <c r="B6652" t="s">
        <v>54</v>
      </c>
      <c r="C6652" t="s">
        <v>6850</v>
      </c>
    </row>
    <row r="6653" spans="1:3" x14ac:dyDescent="0.35">
      <c r="A6653" t="s">
        <v>219</v>
      </c>
      <c r="B6653" t="s">
        <v>54</v>
      </c>
      <c r="C6653" t="s">
        <v>6851</v>
      </c>
    </row>
    <row r="6654" spans="1:3" x14ac:dyDescent="0.35">
      <c r="A6654" t="s">
        <v>219</v>
      </c>
      <c r="B6654" t="s">
        <v>54</v>
      </c>
      <c r="C6654" t="s">
        <v>6852</v>
      </c>
    </row>
    <row r="6655" spans="1:3" x14ac:dyDescent="0.35">
      <c r="A6655" t="s">
        <v>219</v>
      </c>
      <c r="B6655" t="s">
        <v>54</v>
      </c>
      <c r="C6655" t="s">
        <v>6853</v>
      </c>
    </row>
    <row r="6656" spans="1:3" x14ac:dyDescent="0.35">
      <c r="A6656" t="s">
        <v>219</v>
      </c>
      <c r="B6656" t="s">
        <v>54</v>
      </c>
      <c r="C6656" t="s">
        <v>6854</v>
      </c>
    </row>
    <row r="6657" spans="1:3" x14ac:dyDescent="0.35">
      <c r="A6657" t="s">
        <v>219</v>
      </c>
      <c r="B6657" t="s">
        <v>54</v>
      </c>
      <c r="C6657" t="s">
        <v>6855</v>
      </c>
    </row>
    <row r="6658" spans="1:3" x14ac:dyDescent="0.35">
      <c r="A6658" t="s">
        <v>219</v>
      </c>
      <c r="B6658" t="s">
        <v>54</v>
      </c>
      <c r="C6658" t="s">
        <v>6856</v>
      </c>
    </row>
    <row r="6659" spans="1:3" x14ac:dyDescent="0.35">
      <c r="A6659" t="s">
        <v>219</v>
      </c>
      <c r="B6659" t="s">
        <v>54</v>
      </c>
      <c r="C6659" t="s">
        <v>6857</v>
      </c>
    </row>
    <row r="6660" spans="1:3" x14ac:dyDescent="0.35">
      <c r="A6660" t="s">
        <v>219</v>
      </c>
      <c r="B6660" t="s">
        <v>54</v>
      </c>
      <c r="C6660" t="s">
        <v>6858</v>
      </c>
    </row>
    <row r="6661" spans="1:3" x14ac:dyDescent="0.35">
      <c r="A6661" t="s">
        <v>219</v>
      </c>
      <c r="B6661" t="s">
        <v>54</v>
      </c>
      <c r="C6661" t="s">
        <v>6859</v>
      </c>
    </row>
    <row r="6662" spans="1:3" x14ac:dyDescent="0.35">
      <c r="A6662" t="s">
        <v>219</v>
      </c>
      <c r="B6662" t="s">
        <v>54</v>
      </c>
      <c r="C6662" t="s">
        <v>6860</v>
      </c>
    </row>
    <row r="6663" spans="1:3" x14ac:dyDescent="0.35">
      <c r="A6663" t="s">
        <v>219</v>
      </c>
      <c r="B6663" t="s">
        <v>54</v>
      </c>
      <c r="C6663" t="s">
        <v>6861</v>
      </c>
    </row>
    <row r="6664" spans="1:3" x14ac:dyDescent="0.35">
      <c r="A6664" t="s">
        <v>219</v>
      </c>
      <c r="B6664" t="s">
        <v>54</v>
      </c>
      <c r="C6664" t="s">
        <v>6862</v>
      </c>
    </row>
    <row r="6665" spans="1:3" x14ac:dyDescent="0.35">
      <c r="A6665" t="s">
        <v>219</v>
      </c>
      <c r="B6665" t="s">
        <v>54</v>
      </c>
      <c r="C6665" t="s">
        <v>6863</v>
      </c>
    </row>
    <row r="6666" spans="1:3" x14ac:dyDescent="0.35">
      <c r="A6666" t="s">
        <v>219</v>
      </c>
      <c r="B6666" t="s">
        <v>54</v>
      </c>
      <c r="C6666" t="s">
        <v>54</v>
      </c>
    </row>
    <row r="6667" spans="1:3" x14ac:dyDescent="0.35">
      <c r="A6667" t="s">
        <v>219</v>
      </c>
      <c r="B6667" t="s">
        <v>54</v>
      </c>
      <c r="C6667" t="s">
        <v>6864</v>
      </c>
    </row>
    <row r="6668" spans="1:3" x14ac:dyDescent="0.35">
      <c r="A6668" t="s">
        <v>219</v>
      </c>
      <c r="B6668" t="s">
        <v>54</v>
      </c>
      <c r="C6668" t="s">
        <v>6865</v>
      </c>
    </row>
    <row r="6669" spans="1:3" x14ac:dyDescent="0.35">
      <c r="A6669" t="s">
        <v>219</v>
      </c>
      <c r="B6669" t="s">
        <v>54</v>
      </c>
      <c r="C6669" t="s">
        <v>6866</v>
      </c>
    </row>
    <row r="6670" spans="1:3" x14ac:dyDescent="0.35">
      <c r="A6670" t="s">
        <v>219</v>
      </c>
      <c r="B6670" t="s">
        <v>54</v>
      </c>
      <c r="C6670" t="s">
        <v>6867</v>
      </c>
    </row>
    <row r="6671" spans="1:3" x14ac:dyDescent="0.35">
      <c r="A6671" t="s">
        <v>219</v>
      </c>
      <c r="B6671" t="s">
        <v>54</v>
      </c>
      <c r="C6671" t="s">
        <v>6868</v>
      </c>
    </row>
    <row r="6672" spans="1:3" x14ac:dyDescent="0.35">
      <c r="A6672" t="s">
        <v>219</v>
      </c>
      <c r="B6672" t="s">
        <v>54</v>
      </c>
      <c r="C6672" t="s">
        <v>6869</v>
      </c>
    </row>
    <row r="6673" spans="1:3" x14ac:dyDescent="0.35">
      <c r="A6673" t="s">
        <v>219</v>
      </c>
      <c r="B6673" t="s">
        <v>54</v>
      </c>
      <c r="C6673" t="s">
        <v>6870</v>
      </c>
    </row>
    <row r="6674" spans="1:3" x14ac:dyDescent="0.35">
      <c r="A6674" t="s">
        <v>219</v>
      </c>
      <c r="B6674" t="s">
        <v>54</v>
      </c>
      <c r="C6674" t="s">
        <v>6871</v>
      </c>
    </row>
    <row r="6675" spans="1:3" x14ac:dyDescent="0.35">
      <c r="A6675" t="s">
        <v>219</v>
      </c>
      <c r="B6675" t="s">
        <v>54</v>
      </c>
      <c r="C6675" t="s">
        <v>6872</v>
      </c>
    </row>
    <row r="6676" spans="1:3" x14ac:dyDescent="0.35">
      <c r="A6676" t="s">
        <v>219</v>
      </c>
      <c r="B6676" t="s">
        <v>54</v>
      </c>
      <c r="C6676" t="s">
        <v>6873</v>
      </c>
    </row>
    <row r="6677" spans="1:3" x14ac:dyDescent="0.35">
      <c r="A6677" t="s">
        <v>219</v>
      </c>
      <c r="B6677" t="s">
        <v>54</v>
      </c>
      <c r="C6677" t="s">
        <v>6874</v>
      </c>
    </row>
    <row r="6678" spans="1:3" x14ac:dyDescent="0.35">
      <c r="A6678" t="s">
        <v>219</v>
      </c>
      <c r="B6678" t="s">
        <v>54</v>
      </c>
      <c r="C6678" t="s">
        <v>6875</v>
      </c>
    </row>
    <row r="6679" spans="1:3" x14ac:dyDescent="0.35">
      <c r="A6679" t="s">
        <v>219</v>
      </c>
      <c r="B6679" t="s">
        <v>54</v>
      </c>
      <c r="C6679" t="s">
        <v>6876</v>
      </c>
    </row>
    <row r="6680" spans="1:3" x14ac:dyDescent="0.35">
      <c r="A6680" t="s">
        <v>219</v>
      </c>
      <c r="B6680" t="s">
        <v>54</v>
      </c>
      <c r="C6680" t="s">
        <v>6877</v>
      </c>
    </row>
    <row r="6681" spans="1:3" x14ac:dyDescent="0.35">
      <c r="A6681" t="s">
        <v>219</v>
      </c>
      <c r="B6681" t="s">
        <v>54</v>
      </c>
      <c r="C6681" t="s">
        <v>6878</v>
      </c>
    </row>
    <row r="6682" spans="1:3" x14ac:dyDescent="0.35">
      <c r="A6682" t="s">
        <v>219</v>
      </c>
      <c r="B6682" t="s">
        <v>54</v>
      </c>
      <c r="C6682" t="s">
        <v>6879</v>
      </c>
    </row>
    <row r="6683" spans="1:3" x14ac:dyDescent="0.35">
      <c r="A6683" t="s">
        <v>219</v>
      </c>
      <c r="B6683" t="s">
        <v>54</v>
      </c>
      <c r="C6683" t="s">
        <v>6880</v>
      </c>
    </row>
    <row r="6684" spans="1:3" x14ac:dyDescent="0.35">
      <c r="A6684" t="s">
        <v>219</v>
      </c>
      <c r="B6684" t="s">
        <v>54</v>
      </c>
      <c r="C6684" t="s">
        <v>6881</v>
      </c>
    </row>
    <row r="6685" spans="1:3" x14ac:dyDescent="0.35">
      <c r="A6685" t="s">
        <v>219</v>
      </c>
      <c r="B6685" t="s">
        <v>54</v>
      </c>
      <c r="C6685" t="s">
        <v>6882</v>
      </c>
    </row>
    <row r="6686" spans="1:3" x14ac:dyDescent="0.35">
      <c r="A6686" t="s">
        <v>219</v>
      </c>
      <c r="B6686" t="s">
        <v>54</v>
      </c>
      <c r="C6686" t="s">
        <v>6883</v>
      </c>
    </row>
    <row r="6687" spans="1:3" x14ac:dyDescent="0.35">
      <c r="A6687" t="s">
        <v>219</v>
      </c>
      <c r="B6687" t="s">
        <v>54</v>
      </c>
      <c r="C6687" t="s">
        <v>6884</v>
      </c>
    </row>
    <row r="6688" spans="1:3" x14ac:dyDescent="0.35">
      <c r="A6688" t="s">
        <v>219</v>
      </c>
      <c r="B6688" t="s">
        <v>54</v>
      </c>
      <c r="C6688" t="s">
        <v>6885</v>
      </c>
    </row>
    <row r="6689" spans="1:3" x14ac:dyDescent="0.35">
      <c r="A6689" t="s">
        <v>219</v>
      </c>
      <c r="B6689" t="s">
        <v>54</v>
      </c>
      <c r="C6689" t="s">
        <v>6886</v>
      </c>
    </row>
    <row r="6690" spans="1:3" x14ac:dyDescent="0.35">
      <c r="A6690" t="s">
        <v>219</v>
      </c>
      <c r="B6690" t="s">
        <v>54</v>
      </c>
      <c r="C6690" t="s">
        <v>6887</v>
      </c>
    </row>
    <row r="6691" spans="1:3" x14ac:dyDescent="0.35">
      <c r="A6691" t="s">
        <v>219</v>
      </c>
      <c r="B6691" t="s">
        <v>54</v>
      </c>
      <c r="C6691" t="s">
        <v>6888</v>
      </c>
    </row>
    <row r="6692" spans="1:3" x14ac:dyDescent="0.35">
      <c r="A6692" t="s">
        <v>219</v>
      </c>
      <c r="B6692" t="s">
        <v>54</v>
      </c>
      <c r="C6692" t="s">
        <v>6889</v>
      </c>
    </row>
    <row r="6693" spans="1:3" x14ac:dyDescent="0.35">
      <c r="A6693" t="s">
        <v>219</v>
      </c>
      <c r="B6693" t="s">
        <v>261</v>
      </c>
      <c r="C6693" t="s">
        <v>6890</v>
      </c>
    </row>
    <row r="6694" spans="1:3" x14ac:dyDescent="0.35">
      <c r="A6694" t="s">
        <v>219</v>
      </c>
      <c r="B6694" t="s">
        <v>261</v>
      </c>
      <c r="C6694" t="s">
        <v>6891</v>
      </c>
    </row>
    <row r="6695" spans="1:3" x14ac:dyDescent="0.35">
      <c r="A6695" t="s">
        <v>219</v>
      </c>
      <c r="B6695" t="s">
        <v>261</v>
      </c>
      <c r="C6695" t="s">
        <v>6892</v>
      </c>
    </row>
    <row r="6696" spans="1:3" x14ac:dyDescent="0.35">
      <c r="A6696" t="s">
        <v>219</v>
      </c>
      <c r="B6696" t="s">
        <v>261</v>
      </c>
      <c r="C6696" t="s">
        <v>6893</v>
      </c>
    </row>
    <row r="6697" spans="1:3" x14ac:dyDescent="0.35">
      <c r="A6697" t="s">
        <v>219</v>
      </c>
      <c r="B6697" t="s">
        <v>261</v>
      </c>
      <c r="C6697" t="s">
        <v>6894</v>
      </c>
    </row>
    <row r="6698" spans="1:3" x14ac:dyDescent="0.35">
      <c r="A6698" t="s">
        <v>219</v>
      </c>
      <c r="B6698" t="s">
        <v>261</v>
      </c>
      <c r="C6698" t="s">
        <v>6895</v>
      </c>
    </row>
    <row r="6699" spans="1:3" x14ac:dyDescent="0.35">
      <c r="A6699" t="s">
        <v>219</v>
      </c>
      <c r="B6699" t="s">
        <v>261</v>
      </c>
      <c r="C6699" t="s">
        <v>6896</v>
      </c>
    </row>
    <row r="6700" spans="1:3" x14ac:dyDescent="0.35">
      <c r="A6700" t="s">
        <v>219</v>
      </c>
      <c r="B6700" t="s">
        <v>261</v>
      </c>
      <c r="C6700" t="s">
        <v>6897</v>
      </c>
    </row>
    <row r="6701" spans="1:3" x14ac:dyDescent="0.35">
      <c r="A6701" t="s">
        <v>219</v>
      </c>
      <c r="B6701" t="s">
        <v>261</v>
      </c>
      <c r="C6701" t="s">
        <v>6898</v>
      </c>
    </row>
    <row r="6702" spans="1:3" x14ac:dyDescent="0.35">
      <c r="A6702" t="s">
        <v>219</v>
      </c>
      <c r="B6702" t="s">
        <v>261</v>
      </c>
      <c r="C6702" t="s">
        <v>6899</v>
      </c>
    </row>
    <row r="6703" spans="1:3" x14ac:dyDescent="0.35">
      <c r="A6703" t="s">
        <v>219</v>
      </c>
      <c r="B6703" t="s">
        <v>261</v>
      </c>
      <c r="C6703" t="s">
        <v>261</v>
      </c>
    </row>
    <row r="6704" spans="1:3" x14ac:dyDescent="0.35">
      <c r="A6704" t="s">
        <v>219</v>
      </c>
      <c r="B6704" t="s">
        <v>261</v>
      </c>
      <c r="C6704" t="s">
        <v>6900</v>
      </c>
    </row>
    <row r="6705" spans="1:3" x14ac:dyDescent="0.35">
      <c r="A6705" t="s">
        <v>219</v>
      </c>
      <c r="B6705" t="s">
        <v>261</v>
      </c>
      <c r="C6705" t="s">
        <v>6901</v>
      </c>
    </row>
    <row r="6706" spans="1:3" x14ac:dyDescent="0.35">
      <c r="A6706" t="s">
        <v>219</v>
      </c>
      <c r="B6706" t="s">
        <v>261</v>
      </c>
      <c r="C6706" t="s">
        <v>6902</v>
      </c>
    </row>
    <row r="6707" spans="1:3" x14ac:dyDescent="0.35">
      <c r="A6707" t="s">
        <v>219</v>
      </c>
      <c r="B6707" t="s">
        <v>261</v>
      </c>
      <c r="C6707" t="s">
        <v>6903</v>
      </c>
    </row>
    <row r="6708" spans="1:3" x14ac:dyDescent="0.35">
      <c r="A6708" t="s">
        <v>219</v>
      </c>
      <c r="B6708" t="s">
        <v>261</v>
      </c>
      <c r="C6708" t="s">
        <v>6904</v>
      </c>
    </row>
    <row r="6709" spans="1:3" x14ac:dyDescent="0.35">
      <c r="A6709" t="s">
        <v>219</v>
      </c>
      <c r="B6709" t="s">
        <v>261</v>
      </c>
      <c r="C6709" t="s">
        <v>6905</v>
      </c>
    </row>
    <row r="6710" spans="1:3" x14ac:dyDescent="0.35">
      <c r="A6710" t="s">
        <v>219</v>
      </c>
      <c r="B6710" t="s">
        <v>261</v>
      </c>
      <c r="C6710" t="s">
        <v>6906</v>
      </c>
    </row>
    <row r="6711" spans="1:3" x14ac:dyDescent="0.35">
      <c r="A6711" t="s">
        <v>219</v>
      </c>
      <c r="B6711" t="s">
        <v>261</v>
      </c>
      <c r="C6711" t="s">
        <v>6907</v>
      </c>
    </row>
    <row r="6712" spans="1:3" x14ac:dyDescent="0.35">
      <c r="A6712" t="s">
        <v>219</v>
      </c>
      <c r="B6712" t="s">
        <v>261</v>
      </c>
      <c r="C6712" t="s">
        <v>6908</v>
      </c>
    </row>
    <row r="6713" spans="1:3" x14ac:dyDescent="0.35">
      <c r="A6713" t="s">
        <v>219</v>
      </c>
      <c r="B6713" t="s">
        <v>261</v>
      </c>
      <c r="C6713" t="s">
        <v>6909</v>
      </c>
    </row>
    <row r="6714" spans="1:3" x14ac:dyDescent="0.35">
      <c r="A6714" t="s">
        <v>219</v>
      </c>
      <c r="B6714" t="s">
        <v>261</v>
      </c>
      <c r="C6714" t="s">
        <v>6910</v>
      </c>
    </row>
    <row r="6715" spans="1:3" x14ac:dyDescent="0.35">
      <c r="A6715" t="s">
        <v>219</v>
      </c>
      <c r="B6715" t="s">
        <v>261</v>
      </c>
      <c r="C6715" t="s">
        <v>6911</v>
      </c>
    </row>
    <row r="6716" spans="1:3" x14ac:dyDescent="0.35">
      <c r="A6716" t="s">
        <v>219</v>
      </c>
      <c r="B6716" t="s">
        <v>261</v>
      </c>
      <c r="C6716" t="s">
        <v>6912</v>
      </c>
    </row>
    <row r="6717" spans="1:3" x14ac:dyDescent="0.35">
      <c r="A6717" t="s">
        <v>219</v>
      </c>
      <c r="B6717" t="s">
        <v>261</v>
      </c>
      <c r="C6717" t="s">
        <v>6913</v>
      </c>
    </row>
    <row r="6718" spans="1:3" x14ac:dyDescent="0.35">
      <c r="A6718" t="s">
        <v>219</v>
      </c>
      <c r="B6718" t="s">
        <v>261</v>
      </c>
      <c r="C6718" t="s">
        <v>6914</v>
      </c>
    </row>
    <row r="6719" spans="1:3" x14ac:dyDescent="0.35">
      <c r="A6719" t="s">
        <v>219</v>
      </c>
      <c r="B6719" t="s">
        <v>261</v>
      </c>
      <c r="C6719" t="s">
        <v>6915</v>
      </c>
    </row>
    <row r="6720" spans="1:3" x14ac:dyDescent="0.35">
      <c r="A6720" t="s">
        <v>219</v>
      </c>
      <c r="B6720" t="s">
        <v>261</v>
      </c>
      <c r="C6720" t="s">
        <v>6916</v>
      </c>
    </row>
    <row r="6721" spans="1:3" x14ac:dyDescent="0.35">
      <c r="A6721" t="s">
        <v>219</v>
      </c>
      <c r="B6721" t="s">
        <v>58</v>
      </c>
      <c r="C6721" t="s">
        <v>6917</v>
      </c>
    </row>
    <row r="6722" spans="1:3" x14ac:dyDescent="0.35">
      <c r="A6722" t="s">
        <v>219</v>
      </c>
      <c r="B6722" t="s">
        <v>58</v>
      </c>
      <c r="C6722" t="s">
        <v>6918</v>
      </c>
    </row>
    <row r="6723" spans="1:3" x14ac:dyDescent="0.35">
      <c r="A6723" t="s">
        <v>219</v>
      </c>
      <c r="B6723" t="s">
        <v>58</v>
      </c>
      <c r="C6723" t="s">
        <v>6919</v>
      </c>
    </row>
    <row r="6724" spans="1:3" x14ac:dyDescent="0.35">
      <c r="A6724" t="s">
        <v>219</v>
      </c>
      <c r="B6724" t="s">
        <v>58</v>
      </c>
      <c r="C6724" t="s">
        <v>6920</v>
      </c>
    </row>
    <row r="6725" spans="1:3" x14ac:dyDescent="0.35">
      <c r="A6725" t="s">
        <v>219</v>
      </c>
      <c r="B6725" t="s">
        <v>58</v>
      </c>
      <c r="C6725" t="s">
        <v>6921</v>
      </c>
    </row>
    <row r="6726" spans="1:3" x14ac:dyDescent="0.35">
      <c r="A6726" t="s">
        <v>219</v>
      </c>
      <c r="B6726" t="s">
        <v>58</v>
      </c>
      <c r="C6726" t="s">
        <v>6922</v>
      </c>
    </row>
    <row r="6727" spans="1:3" x14ac:dyDescent="0.35">
      <c r="A6727" t="s">
        <v>219</v>
      </c>
      <c r="B6727" t="s">
        <v>58</v>
      </c>
      <c r="C6727" t="s">
        <v>6923</v>
      </c>
    </row>
    <row r="6728" spans="1:3" x14ac:dyDescent="0.35">
      <c r="A6728" t="s">
        <v>219</v>
      </c>
      <c r="B6728" t="s">
        <v>58</v>
      </c>
      <c r="C6728" t="s">
        <v>6924</v>
      </c>
    </row>
    <row r="6729" spans="1:3" x14ac:dyDescent="0.35">
      <c r="A6729" t="s">
        <v>219</v>
      </c>
      <c r="B6729" t="s">
        <v>58</v>
      </c>
      <c r="C6729" t="s">
        <v>58</v>
      </c>
    </row>
    <row r="6730" spans="1:3" x14ac:dyDescent="0.35">
      <c r="A6730" t="s">
        <v>219</v>
      </c>
      <c r="B6730" t="s">
        <v>58</v>
      </c>
      <c r="C6730" t="s">
        <v>6925</v>
      </c>
    </row>
    <row r="6731" spans="1:3" x14ac:dyDescent="0.35">
      <c r="A6731" t="s">
        <v>219</v>
      </c>
      <c r="B6731" t="s">
        <v>58</v>
      </c>
      <c r="C6731" t="s">
        <v>6926</v>
      </c>
    </row>
    <row r="6732" spans="1:3" x14ac:dyDescent="0.35">
      <c r="A6732" t="s">
        <v>219</v>
      </c>
      <c r="B6732" t="s">
        <v>58</v>
      </c>
      <c r="C6732" t="s">
        <v>6927</v>
      </c>
    </row>
    <row r="6733" spans="1:3" x14ac:dyDescent="0.35">
      <c r="A6733" t="s">
        <v>219</v>
      </c>
      <c r="B6733" t="s">
        <v>58</v>
      </c>
      <c r="C6733" t="s">
        <v>6928</v>
      </c>
    </row>
    <row r="6734" spans="1:3" x14ac:dyDescent="0.35">
      <c r="A6734" t="s">
        <v>219</v>
      </c>
      <c r="B6734" t="s">
        <v>58</v>
      </c>
      <c r="C6734" t="s">
        <v>6929</v>
      </c>
    </row>
    <row r="6735" spans="1:3" x14ac:dyDescent="0.35">
      <c r="A6735" t="s">
        <v>219</v>
      </c>
      <c r="B6735" t="s">
        <v>58</v>
      </c>
      <c r="C6735" t="s">
        <v>6930</v>
      </c>
    </row>
    <row r="6736" spans="1:3" x14ac:dyDescent="0.35">
      <c r="A6736" t="s">
        <v>219</v>
      </c>
      <c r="B6736" t="s">
        <v>58</v>
      </c>
      <c r="C6736" t="s">
        <v>6931</v>
      </c>
    </row>
    <row r="6737" spans="1:3" x14ac:dyDescent="0.35">
      <c r="A6737" t="s">
        <v>219</v>
      </c>
      <c r="B6737" t="s">
        <v>58</v>
      </c>
      <c r="C6737" t="s">
        <v>6932</v>
      </c>
    </row>
    <row r="6738" spans="1:3" x14ac:dyDescent="0.35">
      <c r="A6738" t="s">
        <v>219</v>
      </c>
      <c r="B6738" t="s">
        <v>58</v>
      </c>
      <c r="C6738" t="s">
        <v>6933</v>
      </c>
    </row>
    <row r="6739" spans="1:3" x14ac:dyDescent="0.35">
      <c r="A6739" t="s">
        <v>219</v>
      </c>
      <c r="B6739" t="s">
        <v>58</v>
      </c>
      <c r="C6739" t="s">
        <v>6934</v>
      </c>
    </row>
    <row r="6740" spans="1:3" x14ac:dyDescent="0.35">
      <c r="A6740" t="s">
        <v>219</v>
      </c>
      <c r="B6740" t="s">
        <v>59</v>
      </c>
      <c r="C6740" t="s">
        <v>6935</v>
      </c>
    </row>
    <row r="6741" spans="1:3" x14ac:dyDescent="0.35">
      <c r="A6741" t="s">
        <v>219</v>
      </c>
      <c r="B6741" t="s">
        <v>59</v>
      </c>
      <c r="C6741" t="s">
        <v>6936</v>
      </c>
    </row>
    <row r="6742" spans="1:3" x14ac:dyDescent="0.35">
      <c r="A6742" t="s">
        <v>219</v>
      </c>
      <c r="B6742" t="s">
        <v>59</v>
      </c>
      <c r="C6742" t="s">
        <v>6937</v>
      </c>
    </row>
    <row r="6743" spans="1:3" x14ac:dyDescent="0.35">
      <c r="A6743" t="s">
        <v>219</v>
      </c>
      <c r="B6743" t="s">
        <v>59</v>
      </c>
      <c r="C6743" t="s">
        <v>6938</v>
      </c>
    </row>
    <row r="6744" spans="1:3" x14ac:dyDescent="0.35">
      <c r="A6744" t="s">
        <v>219</v>
      </c>
      <c r="B6744" t="s">
        <v>59</v>
      </c>
      <c r="C6744" t="s">
        <v>6939</v>
      </c>
    </row>
    <row r="6745" spans="1:3" x14ac:dyDescent="0.35">
      <c r="A6745" t="s">
        <v>219</v>
      </c>
      <c r="B6745" t="s">
        <v>59</v>
      </c>
      <c r="C6745" t="s">
        <v>6940</v>
      </c>
    </row>
    <row r="6746" spans="1:3" x14ac:dyDescent="0.35">
      <c r="A6746" t="s">
        <v>219</v>
      </c>
      <c r="B6746" t="s">
        <v>59</v>
      </c>
      <c r="C6746" t="s">
        <v>6941</v>
      </c>
    </row>
    <row r="6747" spans="1:3" x14ac:dyDescent="0.35">
      <c r="A6747" t="s">
        <v>219</v>
      </c>
      <c r="B6747" t="s">
        <v>59</v>
      </c>
      <c r="C6747" t="s">
        <v>6942</v>
      </c>
    </row>
    <row r="6748" spans="1:3" x14ac:dyDescent="0.35">
      <c r="A6748" t="s">
        <v>219</v>
      </c>
      <c r="B6748" t="s">
        <v>59</v>
      </c>
      <c r="C6748" t="s">
        <v>6943</v>
      </c>
    </row>
    <row r="6749" spans="1:3" x14ac:dyDescent="0.35">
      <c r="A6749" t="s">
        <v>219</v>
      </c>
      <c r="B6749" t="s">
        <v>59</v>
      </c>
      <c r="C6749" t="s">
        <v>6944</v>
      </c>
    </row>
    <row r="6750" spans="1:3" x14ac:dyDescent="0.35">
      <c r="A6750" t="s">
        <v>219</v>
      </c>
      <c r="B6750" t="s">
        <v>59</v>
      </c>
      <c r="C6750" t="s">
        <v>6945</v>
      </c>
    </row>
    <row r="6751" spans="1:3" x14ac:dyDescent="0.35">
      <c r="A6751" t="s">
        <v>219</v>
      </c>
      <c r="B6751" t="s">
        <v>59</v>
      </c>
      <c r="C6751" t="s">
        <v>6946</v>
      </c>
    </row>
    <row r="6752" spans="1:3" x14ac:dyDescent="0.35">
      <c r="A6752" t="s">
        <v>219</v>
      </c>
      <c r="B6752" t="s">
        <v>59</v>
      </c>
      <c r="C6752" t="s">
        <v>6947</v>
      </c>
    </row>
    <row r="6753" spans="1:3" x14ac:dyDescent="0.35">
      <c r="A6753" t="s">
        <v>219</v>
      </c>
      <c r="B6753" t="s">
        <v>59</v>
      </c>
      <c r="C6753" t="s">
        <v>6948</v>
      </c>
    </row>
    <row r="6754" spans="1:3" x14ac:dyDescent="0.35">
      <c r="A6754" t="s">
        <v>219</v>
      </c>
      <c r="B6754" t="s">
        <v>59</v>
      </c>
      <c r="C6754" t="s">
        <v>6949</v>
      </c>
    </row>
    <row r="6755" spans="1:3" x14ac:dyDescent="0.35">
      <c r="A6755" t="s">
        <v>219</v>
      </c>
      <c r="B6755" t="s">
        <v>59</v>
      </c>
      <c r="C6755" t="s">
        <v>59</v>
      </c>
    </row>
    <row r="6756" spans="1:3" x14ac:dyDescent="0.35">
      <c r="A6756" t="s">
        <v>219</v>
      </c>
      <c r="B6756" t="s">
        <v>59</v>
      </c>
      <c r="C6756" t="s">
        <v>6950</v>
      </c>
    </row>
    <row r="6757" spans="1:3" x14ac:dyDescent="0.35">
      <c r="A6757" t="s">
        <v>219</v>
      </c>
      <c r="B6757" t="s">
        <v>59</v>
      </c>
      <c r="C6757" t="s">
        <v>6951</v>
      </c>
    </row>
    <row r="6758" spans="1:3" x14ac:dyDescent="0.35">
      <c r="A6758" t="s">
        <v>219</v>
      </c>
      <c r="B6758" t="s">
        <v>59</v>
      </c>
      <c r="C6758" t="s">
        <v>6952</v>
      </c>
    </row>
    <row r="6759" spans="1:3" x14ac:dyDescent="0.35">
      <c r="A6759" t="s">
        <v>219</v>
      </c>
      <c r="B6759" t="s">
        <v>59</v>
      </c>
      <c r="C6759" t="s">
        <v>6953</v>
      </c>
    </row>
    <row r="6760" spans="1:3" x14ac:dyDescent="0.35">
      <c r="A6760" t="s">
        <v>219</v>
      </c>
      <c r="B6760" t="s">
        <v>59</v>
      </c>
      <c r="C6760" t="s">
        <v>6954</v>
      </c>
    </row>
    <row r="6761" spans="1:3" x14ac:dyDescent="0.35">
      <c r="A6761" t="s">
        <v>219</v>
      </c>
      <c r="B6761" t="s">
        <v>59</v>
      </c>
      <c r="C6761" t="s">
        <v>6955</v>
      </c>
    </row>
    <row r="6762" spans="1:3" x14ac:dyDescent="0.35">
      <c r="A6762" t="s">
        <v>219</v>
      </c>
      <c r="B6762" t="s">
        <v>59</v>
      </c>
      <c r="C6762" t="s">
        <v>6956</v>
      </c>
    </row>
    <row r="6763" spans="1:3" x14ac:dyDescent="0.35">
      <c r="A6763" t="s">
        <v>219</v>
      </c>
      <c r="B6763" t="s">
        <v>59</v>
      </c>
      <c r="C6763" t="s">
        <v>6957</v>
      </c>
    </row>
    <row r="6764" spans="1:3" x14ac:dyDescent="0.35">
      <c r="A6764" t="s">
        <v>219</v>
      </c>
      <c r="B6764" t="s">
        <v>59</v>
      </c>
      <c r="C6764" t="s">
        <v>6958</v>
      </c>
    </row>
    <row r="6765" spans="1:3" x14ac:dyDescent="0.35">
      <c r="A6765" t="s">
        <v>219</v>
      </c>
      <c r="B6765" t="s">
        <v>59</v>
      </c>
      <c r="C6765" t="s">
        <v>6959</v>
      </c>
    </row>
    <row r="6766" spans="1:3" x14ac:dyDescent="0.35">
      <c r="A6766" t="s">
        <v>219</v>
      </c>
      <c r="B6766" t="s">
        <v>59</v>
      </c>
      <c r="C6766" t="s">
        <v>6960</v>
      </c>
    </row>
    <row r="6767" spans="1:3" x14ac:dyDescent="0.35">
      <c r="A6767" t="s">
        <v>219</v>
      </c>
      <c r="B6767" t="s">
        <v>59</v>
      </c>
      <c r="C6767" t="s">
        <v>6961</v>
      </c>
    </row>
    <row r="6768" spans="1:3" x14ac:dyDescent="0.35">
      <c r="A6768" t="s">
        <v>219</v>
      </c>
      <c r="B6768" t="s">
        <v>59</v>
      </c>
      <c r="C6768" t="s">
        <v>6962</v>
      </c>
    </row>
    <row r="6769" spans="1:3" x14ac:dyDescent="0.35">
      <c r="A6769" t="s">
        <v>219</v>
      </c>
      <c r="B6769" t="s">
        <v>59</v>
      </c>
      <c r="C6769" t="s">
        <v>6963</v>
      </c>
    </row>
    <row r="6770" spans="1:3" x14ac:dyDescent="0.35">
      <c r="A6770" t="s">
        <v>219</v>
      </c>
      <c r="B6770" t="s">
        <v>59</v>
      </c>
      <c r="C6770" t="s">
        <v>6964</v>
      </c>
    </row>
    <row r="6771" spans="1:3" x14ac:dyDescent="0.35">
      <c r="A6771" t="s">
        <v>219</v>
      </c>
      <c r="B6771" t="s">
        <v>59</v>
      </c>
      <c r="C6771" t="s">
        <v>6965</v>
      </c>
    </row>
    <row r="6772" spans="1:3" x14ac:dyDescent="0.35">
      <c r="A6772" t="s">
        <v>219</v>
      </c>
      <c r="B6772" t="s">
        <v>59</v>
      </c>
      <c r="C6772" t="s">
        <v>6966</v>
      </c>
    </row>
    <row r="6773" spans="1:3" x14ac:dyDescent="0.35">
      <c r="A6773" t="s">
        <v>219</v>
      </c>
      <c r="B6773" t="s">
        <v>281</v>
      </c>
      <c r="C6773" t="s">
        <v>6967</v>
      </c>
    </row>
    <row r="6774" spans="1:3" x14ac:dyDescent="0.35">
      <c r="A6774" t="s">
        <v>219</v>
      </c>
      <c r="B6774" t="s">
        <v>281</v>
      </c>
      <c r="C6774" t="s">
        <v>6968</v>
      </c>
    </row>
    <row r="6775" spans="1:3" x14ac:dyDescent="0.35">
      <c r="A6775" t="s">
        <v>219</v>
      </c>
      <c r="B6775" t="s">
        <v>281</v>
      </c>
      <c r="C6775" t="s">
        <v>6969</v>
      </c>
    </row>
    <row r="6776" spans="1:3" x14ac:dyDescent="0.35">
      <c r="A6776" t="s">
        <v>219</v>
      </c>
      <c r="B6776" t="s">
        <v>281</v>
      </c>
      <c r="C6776" t="s">
        <v>6970</v>
      </c>
    </row>
    <row r="6777" spans="1:3" x14ac:dyDescent="0.35">
      <c r="A6777" t="s">
        <v>219</v>
      </c>
      <c r="B6777" t="s">
        <v>281</v>
      </c>
      <c r="C6777" t="s">
        <v>6971</v>
      </c>
    </row>
    <row r="6778" spans="1:3" x14ac:dyDescent="0.35">
      <c r="A6778" t="s">
        <v>219</v>
      </c>
      <c r="B6778" t="s">
        <v>281</v>
      </c>
      <c r="C6778" t="s">
        <v>6972</v>
      </c>
    </row>
    <row r="6779" spans="1:3" x14ac:dyDescent="0.35">
      <c r="A6779" t="s">
        <v>219</v>
      </c>
      <c r="B6779" t="s">
        <v>281</v>
      </c>
      <c r="C6779" t="s">
        <v>6973</v>
      </c>
    </row>
    <row r="6780" spans="1:3" x14ac:dyDescent="0.35">
      <c r="A6780" t="s">
        <v>219</v>
      </c>
      <c r="B6780" t="s">
        <v>281</v>
      </c>
      <c r="C6780" t="s">
        <v>6974</v>
      </c>
    </row>
    <row r="6781" spans="1:3" x14ac:dyDescent="0.35">
      <c r="A6781" t="s">
        <v>219</v>
      </c>
      <c r="B6781" t="s">
        <v>281</v>
      </c>
      <c r="C6781" t="s">
        <v>6975</v>
      </c>
    </row>
    <row r="6782" spans="1:3" x14ac:dyDescent="0.35">
      <c r="A6782" t="s">
        <v>219</v>
      </c>
      <c r="B6782" t="s">
        <v>281</v>
      </c>
      <c r="C6782" t="s">
        <v>6976</v>
      </c>
    </row>
    <row r="6783" spans="1:3" x14ac:dyDescent="0.35">
      <c r="A6783" t="s">
        <v>219</v>
      </c>
      <c r="B6783" t="s">
        <v>281</v>
      </c>
      <c r="C6783" t="s">
        <v>6977</v>
      </c>
    </row>
    <row r="6784" spans="1:3" x14ac:dyDescent="0.35">
      <c r="A6784" t="s">
        <v>219</v>
      </c>
      <c r="B6784" t="s">
        <v>281</v>
      </c>
      <c r="C6784" t="s">
        <v>6978</v>
      </c>
    </row>
    <row r="6785" spans="1:3" x14ac:dyDescent="0.35">
      <c r="A6785" t="s">
        <v>219</v>
      </c>
      <c r="B6785" t="s">
        <v>281</v>
      </c>
      <c r="C6785" t="s">
        <v>6979</v>
      </c>
    </row>
    <row r="6786" spans="1:3" x14ac:dyDescent="0.35">
      <c r="A6786" t="s">
        <v>219</v>
      </c>
      <c r="B6786" t="s">
        <v>281</v>
      </c>
      <c r="C6786" t="s">
        <v>6980</v>
      </c>
    </row>
    <row r="6787" spans="1:3" x14ac:dyDescent="0.35">
      <c r="A6787" t="s">
        <v>219</v>
      </c>
      <c r="B6787" t="s">
        <v>281</v>
      </c>
      <c r="C6787" t="s">
        <v>6981</v>
      </c>
    </row>
    <row r="6788" spans="1:3" x14ac:dyDescent="0.35">
      <c r="A6788" t="s">
        <v>219</v>
      </c>
      <c r="B6788" t="s">
        <v>281</v>
      </c>
      <c r="C6788" t="s">
        <v>6982</v>
      </c>
    </row>
    <row r="6789" spans="1:3" x14ac:dyDescent="0.35">
      <c r="A6789" t="s">
        <v>219</v>
      </c>
      <c r="B6789" t="s">
        <v>281</v>
      </c>
      <c r="C6789" t="s">
        <v>6983</v>
      </c>
    </row>
    <row r="6790" spans="1:3" x14ac:dyDescent="0.35">
      <c r="A6790" t="s">
        <v>219</v>
      </c>
      <c r="B6790" t="s">
        <v>285</v>
      </c>
      <c r="C6790" t="s">
        <v>6984</v>
      </c>
    </row>
    <row r="6791" spans="1:3" x14ac:dyDescent="0.35">
      <c r="A6791" t="s">
        <v>219</v>
      </c>
      <c r="B6791" t="s">
        <v>285</v>
      </c>
      <c r="C6791" t="s">
        <v>6985</v>
      </c>
    </row>
    <row r="6792" spans="1:3" x14ac:dyDescent="0.35">
      <c r="A6792" t="s">
        <v>219</v>
      </c>
      <c r="B6792" t="s">
        <v>285</v>
      </c>
      <c r="C6792" t="s">
        <v>6986</v>
      </c>
    </row>
    <row r="6793" spans="1:3" x14ac:dyDescent="0.35">
      <c r="A6793" t="s">
        <v>219</v>
      </c>
      <c r="B6793" t="s">
        <v>285</v>
      </c>
      <c r="C6793" t="s">
        <v>6987</v>
      </c>
    </row>
    <row r="6794" spans="1:3" x14ac:dyDescent="0.35">
      <c r="A6794" t="s">
        <v>219</v>
      </c>
      <c r="B6794" t="s">
        <v>285</v>
      </c>
      <c r="C6794" t="s">
        <v>6988</v>
      </c>
    </row>
    <row r="6795" spans="1:3" x14ac:dyDescent="0.35">
      <c r="A6795" t="s">
        <v>219</v>
      </c>
      <c r="B6795" t="s">
        <v>285</v>
      </c>
      <c r="C6795" t="s">
        <v>6989</v>
      </c>
    </row>
    <row r="6796" spans="1:3" x14ac:dyDescent="0.35">
      <c r="A6796" t="s">
        <v>219</v>
      </c>
      <c r="B6796" t="s">
        <v>285</v>
      </c>
      <c r="C6796" t="s">
        <v>6990</v>
      </c>
    </row>
    <row r="6797" spans="1:3" x14ac:dyDescent="0.35">
      <c r="A6797" t="s">
        <v>219</v>
      </c>
      <c r="B6797" t="s">
        <v>285</v>
      </c>
      <c r="C6797" t="s">
        <v>6991</v>
      </c>
    </row>
    <row r="6798" spans="1:3" x14ac:dyDescent="0.35">
      <c r="A6798" t="s">
        <v>219</v>
      </c>
      <c r="B6798" t="s">
        <v>285</v>
      </c>
      <c r="C6798" t="s">
        <v>6992</v>
      </c>
    </row>
    <row r="6799" spans="1:3" x14ac:dyDescent="0.35">
      <c r="A6799" t="s">
        <v>219</v>
      </c>
      <c r="B6799" t="s">
        <v>285</v>
      </c>
      <c r="C6799" t="s">
        <v>6993</v>
      </c>
    </row>
    <row r="6800" spans="1:3" x14ac:dyDescent="0.35">
      <c r="A6800" t="s">
        <v>219</v>
      </c>
      <c r="B6800" t="s">
        <v>285</v>
      </c>
      <c r="C6800" t="s">
        <v>6994</v>
      </c>
    </row>
    <row r="6801" spans="1:3" x14ac:dyDescent="0.35">
      <c r="A6801" t="s">
        <v>219</v>
      </c>
      <c r="B6801" t="s">
        <v>285</v>
      </c>
      <c r="C6801" t="s">
        <v>6995</v>
      </c>
    </row>
    <row r="6802" spans="1:3" x14ac:dyDescent="0.35">
      <c r="A6802" t="s">
        <v>219</v>
      </c>
      <c r="B6802" t="s">
        <v>285</v>
      </c>
      <c r="C6802" t="s">
        <v>6996</v>
      </c>
    </row>
    <row r="6803" spans="1:3" x14ac:dyDescent="0.35">
      <c r="A6803" t="s">
        <v>219</v>
      </c>
      <c r="B6803" t="s">
        <v>285</v>
      </c>
      <c r="C6803" t="s">
        <v>6997</v>
      </c>
    </row>
    <row r="6804" spans="1:3" x14ac:dyDescent="0.35">
      <c r="A6804" t="s">
        <v>219</v>
      </c>
      <c r="B6804" t="s">
        <v>285</v>
      </c>
      <c r="C6804" t="s">
        <v>6998</v>
      </c>
    </row>
    <row r="6805" spans="1:3" x14ac:dyDescent="0.35">
      <c r="A6805" t="s">
        <v>219</v>
      </c>
      <c r="B6805" t="s">
        <v>285</v>
      </c>
      <c r="C6805" t="s">
        <v>6999</v>
      </c>
    </row>
    <row r="6806" spans="1:3" x14ac:dyDescent="0.35">
      <c r="A6806" t="s">
        <v>219</v>
      </c>
      <c r="B6806" t="s">
        <v>285</v>
      </c>
      <c r="C6806" t="s">
        <v>7000</v>
      </c>
    </row>
    <row r="6807" spans="1:3" x14ac:dyDescent="0.35">
      <c r="A6807" t="s">
        <v>219</v>
      </c>
      <c r="B6807" t="s">
        <v>285</v>
      </c>
      <c r="C6807" t="s">
        <v>7001</v>
      </c>
    </row>
    <row r="6808" spans="1:3" x14ac:dyDescent="0.35">
      <c r="A6808" t="s">
        <v>219</v>
      </c>
      <c r="B6808" t="s">
        <v>285</v>
      </c>
      <c r="C6808" t="s">
        <v>7002</v>
      </c>
    </row>
    <row r="6809" spans="1:3" x14ac:dyDescent="0.35">
      <c r="A6809" t="s">
        <v>219</v>
      </c>
      <c r="B6809" t="s">
        <v>285</v>
      </c>
      <c r="C6809" t="s">
        <v>7003</v>
      </c>
    </row>
    <row r="6810" spans="1:3" x14ac:dyDescent="0.35">
      <c r="A6810" t="s">
        <v>219</v>
      </c>
      <c r="B6810" t="s">
        <v>285</v>
      </c>
      <c r="C6810" t="s">
        <v>7004</v>
      </c>
    </row>
    <row r="6811" spans="1:3" x14ac:dyDescent="0.35">
      <c r="A6811" t="s">
        <v>219</v>
      </c>
      <c r="B6811" t="s">
        <v>285</v>
      </c>
      <c r="C6811" t="s">
        <v>7005</v>
      </c>
    </row>
    <row r="6812" spans="1:3" x14ac:dyDescent="0.35">
      <c r="A6812" t="s">
        <v>219</v>
      </c>
      <c r="B6812" t="s">
        <v>285</v>
      </c>
      <c r="C6812" t="s">
        <v>7006</v>
      </c>
    </row>
    <row r="6813" spans="1:3" x14ac:dyDescent="0.35">
      <c r="A6813" t="s">
        <v>219</v>
      </c>
      <c r="B6813" t="s">
        <v>285</v>
      </c>
      <c r="C6813" t="s">
        <v>285</v>
      </c>
    </row>
    <row r="6814" spans="1:3" x14ac:dyDescent="0.35">
      <c r="A6814" t="s">
        <v>219</v>
      </c>
      <c r="B6814" t="s">
        <v>285</v>
      </c>
      <c r="C6814" t="s">
        <v>7007</v>
      </c>
    </row>
    <row r="6815" spans="1:3" x14ac:dyDescent="0.35">
      <c r="A6815" t="s">
        <v>219</v>
      </c>
      <c r="B6815" t="s">
        <v>285</v>
      </c>
      <c r="C6815" t="s">
        <v>7008</v>
      </c>
    </row>
    <row r="6816" spans="1:3" x14ac:dyDescent="0.35">
      <c r="A6816" t="s">
        <v>219</v>
      </c>
      <c r="B6816" t="s">
        <v>285</v>
      </c>
      <c r="C6816" t="s">
        <v>7009</v>
      </c>
    </row>
    <row r="6817" spans="1:3" x14ac:dyDescent="0.35">
      <c r="A6817" t="s">
        <v>219</v>
      </c>
      <c r="B6817" t="s">
        <v>285</v>
      </c>
      <c r="C6817" t="s">
        <v>7010</v>
      </c>
    </row>
    <row r="6818" spans="1:3" x14ac:dyDescent="0.35">
      <c r="A6818" t="s">
        <v>219</v>
      </c>
      <c r="B6818" t="s">
        <v>285</v>
      </c>
      <c r="C6818" t="s">
        <v>7011</v>
      </c>
    </row>
    <row r="6819" spans="1:3" x14ac:dyDescent="0.35">
      <c r="A6819" t="s">
        <v>219</v>
      </c>
      <c r="B6819" t="s">
        <v>285</v>
      </c>
      <c r="C6819" t="s">
        <v>7012</v>
      </c>
    </row>
    <row r="6820" spans="1:3" x14ac:dyDescent="0.35">
      <c r="A6820" t="s">
        <v>219</v>
      </c>
      <c r="B6820" t="s">
        <v>285</v>
      </c>
      <c r="C6820" t="s">
        <v>7013</v>
      </c>
    </row>
    <row r="6821" spans="1:3" x14ac:dyDescent="0.35">
      <c r="A6821" t="s">
        <v>219</v>
      </c>
      <c r="B6821" t="s">
        <v>285</v>
      </c>
      <c r="C6821" t="s">
        <v>7014</v>
      </c>
    </row>
    <row r="6822" spans="1:3" x14ac:dyDescent="0.35">
      <c r="A6822" t="s">
        <v>219</v>
      </c>
      <c r="B6822" t="s">
        <v>285</v>
      </c>
      <c r="C6822" t="s">
        <v>7015</v>
      </c>
    </row>
    <row r="6823" spans="1:3" x14ac:dyDescent="0.35">
      <c r="A6823" t="s">
        <v>219</v>
      </c>
      <c r="B6823" t="s">
        <v>285</v>
      </c>
      <c r="C6823" t="s">
        <v>7016</v>
      </c>
    </row>
    <row r="6824" spans="1:3" x14ac:dyDescent="0.35">
      <c r="A6824" t="s">
        <v>219</v>
      </c>
      <c r="B6824" t="s">
        <v>285</v>
      </c>
      <c r="C6824" t="s">
        <v>7017</v>
      </c>
    </row>
    <row r="6825" spans="1:3" x14ac:dyDescent="0.35">
      <c r="A6825" t="s">
        <v>219</v>
      </c>
      <c r="B6825" t="s">
        <v>285</v>
      </c>
      <c r="C6825" t="s">
        <v>7018</v>
      </c>
    </row>
    <row r="6826" spans="1:3" x14ac:dyDescent="0.35">
      <c r="A6826" t="s">
        <v>219</v>
      </c>
      <c r="B6826" t="s">
        <v>285</v>
      </c>
      <c r="C6826" t="s">
        <v>7019</v>
      </c>
    </row>
    <row r="6827" spans="1:3" x14ac:dyDescent="0.35">
      <c r="A6827" t="s">
        <v>219</v>
      </c>
      <c r="B6827" t="s">
        <v>290</v>
      </c>
      <c r="C6827" t="s">
        <v>7020</v>
      </c>
    </row>
    <row r="6828" spans="1:3" x14ac:dyDescent="0.35">
      <c r="A6828" t="s">
        <v>219</v>
      </c>
      <c r="B6828" t="s">
        <v>290</v>
      </c>
      <c r="C6828" t="s">
        <v>7021</v>
      </c>
    </row>
    <row r="6829" spans="1:3" x14ac:dyDescent="0.35">
      <c r="A6829" t="s">
        <v>219</v>
      </c>
      <c r="B6829" t="s">
        <v>290</v>
      </c>
      <c r="C6829" t="s">
        <v>7022</v>
      </c>
    </row>
    <row r="6830" spans="1:3" x14ac:dyDescent="0.35">
      <c r="A6830" t="s">
        <v>219</v>
      </c>
      <c r="B6830" t="s">
        <v>290</v>
      </c>
      <c r="C6830" t="s">
        <v>7023</v>
      </c>
    </row>
    <row r="6831" spans="1:3" x14ac:dyDescent="0.35">
      <c r="A6831" t="s">
        <v>219</v>
      </c>
      <c r="B6831" t="s">
        <v>290</v>
      </c>
      <c r="C6831" t="s">
        <v>7024</v>
      </c>
    </row>
    <row r="6832" spans="1:3" x14ac:dyDescent="0.35">
      <c r="A6832" t="s">
        <v>219</v>
      </c>
      <c r="B6832" t="s">
        <v>290</v>
      </c>
      <c r="C6832" t="s">
        <v>7025</v>
      </c>
    </row>
    <row r="6833" spans="1:3" x14ac:dyDescent="0.35">
      <c r="A6833" t="s">
        <v>219</v>
      </c>
      <c r="B6833" t="s">
        <v>290</v>
      </c>
      <c r="C6833" t="s">
        <v>7026</v>
      </c>
    </row>
    <row r="6834" spans="1:3" x14ac:dyDescent="0.35">
      <c r="A6834" t="s">
        <v>219</v>
      </c>
      <c r="B6834" t="s">
        <v>290</v>
      </c>
      <c r="C6834" t="s">
        <v>7027</v>
      </c>
    </row>
    <row r="6835" spans="1:3" x14ac:dyDescent="0.35">
      <c r="A6835" t="s">
        <v>219</v>
      </c>
      <c r="B6835" t="s">
        <v>290</v>
      </c>
      <c r="C6835" t="s">
        <v>7028</v>
      </c>
    </row>
    <row r="6836" spans="1:3" x14ac:dyDescent="0.35">
      <c r="A6836" t="s">
        <v>219</v>
      </c>
      <c r="B6836" t="s">
        <v>290</v>
      </c>
      <c r="C6836" t="s">
        <v>7029</v>
      </c>
    </row>
    <row r="6837" spans="1:3" x14ac:dyDescent="0.35">
      <c r="A6837" t="s">
        <v>219</v>
      </c>
      <c r="B6837" t="s">
        <v>290</v>
      </c>
      <c r="C6837" t="s">
        <v>7030</v>
      </c>
    </row>
    <row r="6838" spans="1:3" x14ac:dyDescent="0.35">
      <c r="A6838" t="s">
        <v>219</v>
      </c>
      <c r="B6838" t="s">
        <v>290</v>
      </c>
      <c r="C6838" t="s">
        <v>7031</v>
      </c>
    </row>
    <row r="6839" spans="1:3" x14ac:dyDescent="0.35">
      <c r="A6839" t="s">
        <v>219</v>
      </c>
      <c r="B6839" t="s">
        <v>290</v>
      </c>
      <c r="C6839" t="s">
        <v>7032</v>
      </c>
    </row>
    <row r="6840" spans="1:3" x14ac:dyDescent="0.35">
      <c r="A6840" t="s">
        <v>219</v>
      </c>
      <c r="B6840" t="s">
        <v>290</v>
      </c>
      <c r="C6840" t="s">
        <v>290</v>
      </c>
    </row>
    <row r="6841" spans="1:3" x14ac:dyDescent="0.35">
      <c r="A6841" t="s">
        <v>219</v>
      </c>
      <c r="B6841" t="s">
        <v>290</v>
      </c>
      <c r="C6841" t="s">
        <v>7033</v>
      </c>
    </row>
    <row r="6842" spans="1:3" x14ac:dyDescent="0.35">
      <c r="A6842" t="s">
        <v>219</v>
      </c>
      <c r="B6842" t="s">
        <v>290</v>
      </c>
      <c r="C6842" t="s">
        <v>7034</v>
      </c>
    </row>
    <row r="6843" spans="1:3" x14ac:dyDescent="0.35">
      <c r="A6843" t="s">
        <v>219</v>
      </c>
      <c r="B6843" t="s">
        <v>290</v>
      </c>
      <c r="C6843" t="s">
        <v>7035</v>
      </c>
    </row>
    <row r="6844" spans="1:3" x14ac:dyDescent="0.35">
      <c r="A6844" t="s">
        <v>219</v>
      </c>
      <c r="B6844" t="s">
        <v>290</v>
      </c>
      <c r="C6844" t="s">
        <v>7036</v>
      </c>
    </row>
    <row r="6845" spans="1:3" x14ac:dyDescent="0.35">
      <c r="A6845" t="s">
        <v>219</v>
      </c>
      <c r="B6845" t="s">
        <v>290</v>
      </c>
      <c r="C6845" t="s">
        <v>7037</v>
      </c>
    </row>
    <row r="6846" spans="1:3" x14ac:dyDescent="0.35">
      <c r="A6846" t="s">
        <v>219</v>
      </c>
      <c r="B6846" t="s">
        <v>290</v>
      </c>
      <c r="C6846" t="s">
        <v>7038</v>
      </c>
    </row>
    <row r="6847" spans="1:3" x14ac:dyDescent="0.35">
      <c r="A6847" t="s">
        <v>219</v>
      </c>
      <c r="B6847" t="s">
        <v>292</v>
      </c>
      <c r="C6847" t="s">
        <v>7039</v>
      </c>
    </row>
    <row r="6848" spans="1:3" x14ac:dyDescent="0.35">
      <c r="A6848" t="s">
        <v>219</v>
      </c>
      <c r="B6848" t="s">
        <v>292</v>
      </c>
      <c r="C6848" t="s">
        <v>7040</v>
      </c>
    </row>
    <row r="6849" spans="1:3" x14ac:dyDescent="0.35">
      <c r="A6849" t="s">
        <v>219</v>
      </c>
      <c r="B6849" t="s">
        <v>292</v>
      </c>
      <c r="C6849" t="s">
        <v>7041</v>
      </c>
    </row>
    <row r="6850" spans="1:3" x14ac:dyDescent="0.35">
      <c r="A6850" t="s">
        <v>219</v>
      </c>
      <c r="B6850" t="s">
        <v>292</v>
      </c>
      <c r="C6850" t="s">
        <v>7042</v>
      </c>
    </row>
    <row r="6851" spans="1:3" x14ac:dyDescent="0.35">
      <c r="A6851" t="s">
        <v>219</v>
      </c>
      <c r="B6851" t="s">
        <v>292</v>
      </c>
      <c r="C6851" t="s">
        <v>292</v>
      </c>
    </row>
    <row r="6852" spans="1:3" x14ac:dyDescent="0.35">
      <c r="A6852" t="s">
        <v>219</v>
      </c>
      <c r="B6852" t="s">
        <v>292</v>
      </c>
      <c r="C6852" t="s">
        <v>7043</v>
      </c>
    </row>
    <row r="6853" spans="1:3" x14ac:dyDescent="0.35">
      <c r="A6853" t="s">
        <v>219</v>
      </c>
      <c r="B6853" t="s">
        <v>292</v>
      </c>
      <c r="C6853" t="s">
        <v>7044</v>
      </c>
    </row>
    <row r="6854" spans="1:3" x14ac:dyDescent="0.35">
      <c r="A6854" t="s">
        <v>219</v>
      </c>
      <c r="B6854" t="s">
        <v>294</v>
      </c>
      <c r="C6854" t="s">
        <v>7045</v>
      </c>
    </row>
    <row r="6855" spans="1:3" x14ac:dyDescent="0.35">
      <c r="A6855" t="s">
        <v>219</v>
      </c>
      <c r="B6855" t="s">
        <v>294</v>
      </c>
      <c r="C6855" t="s">
        <v>7046</v>
      </c>
    </row>
    <row r="6856" spans="1:3" x14ac:dyDescent="0.35">
      <c r="A6856" t="s">
        <v>219</v>
      </c>
      <c r="B6856" t="s">
        <v>294</v>
      </c>
      <c r="C6856" t="s">
        <v>7047</v>
      </c>
    </row>
    <row r="6857" spans="1:3" x14ac:dyDescent="0.35">
      <c r="A6857" t="s">
        <v>219</v>
      </c>
      <c r="B6857" t="s">
        <v>294</v>
      </c>
      <c r="C6857" t="s">
        <v>7048</v>
      </c>
    </row>
    <row r="6858" spans="1:3" x14ac:dyDescent="0.35">
      <c r="A6858" t="s">
        <v>219</v>
      </c>
      <c r="B6858" t="s">
        <v>294</v>
      </c>
      <c r="C6858" t="s">
        <v>7049</v>
      </c>
    </row>
    <row r="6859" spans="1:3" x14ac:dyDescent="0.35">
      <c r="A6859" t="s">
        <v>219</v>
      </c>
      <c r="B6859" t="s">
        <v>294</v>
      </c>
      <c r="C6859" t="s">
        <v>7050</v>
      </c>
    </row>
    <row r="6860" spans="1:3" x14ac:dyDescent="0.35">
      <c r="A6860" t="s">
        <v>219</v>
      </c>
      <c r="B6860" t="s">
        <v>294</v>
      </c>
      <c r="C6860" t="s">
        <v>7051</v>
      </c>
    </row>
    <row r="6861" spans="1:3" x14ac:dyDescent="0.35">
      <c r="A6861" t="s">
        <v>219</v>
      </c>
      <c r="B6861" t="s">
        <v>294</v>
      </c>
      <c r="C6861" t="s">
        <v>7052</v>
      </c>
    </row>
    <row r="6862" spans="1:3" x14ac:dyDescent="0.35">
      <c r="A6862" t="s">
        <v>219</v>
      </c>
      <c r="B6862" t="s">
        <v>294</v>
      </c>
      <c r="C6862" t="s">
        <v>7053</v>
      </c>
    </row>
    <row r="6863" spans="1:3" x14ac:dyDescent="0.35">
      <c r="A6863" t="s">
        <v>219</v>
      </c>
      <c r="B6863" t="s">
        <v>294</v>
      </c>
      <c r="C6863" t="s">
        <v>7054</v>
      </c>
    </row>
    <row r="6864" spans="1:3" x14ac:dyDescent="0.35">
      <c r="A6864" t="s">
        <v>219</v>
      </c>
      <c r="B6864" t="s">
        <v>294</v>
      </c>
      <c r="C6864" t="s">
        <v>7055</v>
      </c>
    </row>
    <row r="6865" spans="1:3" x14ac:dyDescent="0.35">
      <c r="A6865" t="s">
        <v>219</v>
      </c>
      <c r="B6865" t="s">
        <v>294</v>
      </c>
      <c r="C6865" t="s">
        <v>7056</v>
      </c>
    </row>
    <row r="6866" spans="1:3" x14ac:dyDescent="0.35">
      <c r="A6866" t="s">
        <v>219</v>
      </c>
      <c r="B6866" t="s">
        <v>294</v>
      </c>
      <c r="C6866" t="s">
        <v>7057</v>
      </c>
    </row>
    <row r="6867" spans="1:3" x14ac:dyDescent="0.35">
      <c r="A6867" t="s">
        <v>219</v>
      </c>
      <c r="B6867" t="s">
        <v>294</v>
      </c>
      <c r="C6867" t="s">
        <v>7058</v>
      </c>
    </row>
    <row r="6868" spans="1:3" x14ac:dyDescent="0.35">
      <c r="A6868" t="s">
        <v>219</v>
      </c>
      <c r="B6868" t="s">
        <v>294</v>
      </c>
      <c r="C6868" t="s">
        <v>7059</v>
      </c>
    </row>
    <row r="6869" spans="1:3" x14ac:dyDescent="0.35">
      <c r="A6869" t="s">
        <v>219</v>
      </c>
      <c r="B6869" t="s">
        <v>294</v>
      </c>
      <c r="C6869" t="s">
        <v>7060</v>
      </c>
    </row>
    <row r="6870" spans="1:3" x14ac:dyDescent="0.35">
      <c r="A6870" t="s">
        <v>219</v>
      </c>
      <c r="B6870" t="s">
        <v>294</v>
      </c>
      <c r="C6870" t="s">
        <v>7061</v>
      </c>
    </row>
    <row r="6871" spans="1:3" x14ac:dyDescent="0.35">
      <c r="A6871" t="s">
        <v>219</v>
      </c>
      <c r="B6871" t="s">
        <v>294</v>
      </c>
      <c r="C6871" t="s">
        <v>7062</v>
      </c>
    </row>
    <row r="6872" spans="1:3" x14ac:dyDescent="0.35">
      <c r="A6872" t="s">
        <v>219</v>
      </c>
      <c r="B6872" t="s">
        <v>294</v>
      </c>
      <c r="C6872" t="s">
        <v>7063</v>
      </c>
    </row>
    <row r="6873" spans="1:3" x14ac:dyDescent="0.35">
      <c r="A6873" t="s">
        <v>219</v>
      </c>
      <c r="B6873" t="s">
        <v>294</v>
      </c>
      <c r="C6873" t="s">
        <v>7064</v>
      </c>
    </row>
    <row r="6874" spans="1:3" x14ac:dyDescent="0.35">
      <c r="A6874" t="s">
        <v>219</v>
      </c>
      <c r="B6874" t="s">
        <v>294</v>
      </c>
      <c r="C6874" t="s">
        <v>7065</v>
      </c>
    </row>
    <row r="6875" spans="1:3" x14ac:dyDescent="0.35">
      <c r="A6875" t="s">
        <v>219</v>
      </c>
      <c r="B6875" t="s">
        <v>294</v>
      </c>
      <c r="C6875" t="s">
        <v>7066</v>
      </c>
    </row>
    <row r="6876" spans="1:3" x14ac:dyDescent="0.35">
      <c r="A6876" t="s">
        <v>219</v>
      </c>
      <c r="B6876" t="s">
        <v>294</v>
      </c>
      <c r="C6876" t="s">
        <v>7067</v>
      </c>
    </row>
    <row r="6877" spans="1:3" x14ac:dyDescent="0.35">
      <c r="A6877" t="s">
        <v>219</v>
      </c>
      <c r="B6877" t="s">
        <v>294</v>
      </c>
      <c r="C6877" t="s">
        <v>7068</v>
      </c>
    </row>
    <row r="6878" spans="1:3" x14ac:dyDescent="0.35">
      <c r="A6878" t="s">
        <v>219</v>
      </c>
      <c r="B6878" t="s">
        <v>294</v>
      </c>
      <c r="C6878" t="s">
        <v>7069</v>
      </c>
    </row>
    <row r="6879" spans="1:3" x14ac:dyDescent="0.35">
      <c r="A6879" t="s">
        <v>219</v>
      </c>
      <c r="B6879" t="s">
        <v>294</v>
      </c>
      <c r="C6879" t="s">
        <v>7070</v>
      </c>
    </row>
    <row r="6880" spans="1:3" x14ac:dyDescent="0.35">
      <c r="A6880" t="s">
        <v>219</v>
      </c>
      <c r="B6880" t="s">
        <v>294</v>
      </c>
      <c r="C6880" t="s">
        <v>7071</v>
      </c>
    </row>
    <row r="6881" spans="1:3" x14ac:dyDescent="0.35">
      <c r="A6881" t="s">
        <v>219</v>
      </c>
      <c r="B6881" t="s">
        <v>294</v>
      </c>
      <c r="C6881" t="s">
        <v>7072</v>
      </c>
    </row>
    <row r="6882" spans="1:3" x14ac:dyDescent="0.35">
      <c r="A6882" t="s">
        <v>219</v>
      </c>
      <c r="B6882" t="s">
        <v>294</v>
      </c>
      <c r="C6882" t="s">
        <v>7073</v>
      </c>
    </row>
    <row r="6883" spans="1:3" x14ac:dyDescent="0.35">
      <c r="A6883" t="s">
        <v>219</v>
      </c>
      <c r="B6883" t="s">
        <v>294</v>
      </c>
      <c r="C6883" t="s">
        <v>7074</v>
      </c>
    </row>
    <row r="6884" spans="1:3" x14ac:dyDescent="0.35">
      <c r="A6884" t="s">
        <v>219</v>
      </c>
      <c r="B6884" t="s">
        <v>294</v>
      </c>
      <c r="C6884" t="s">
        <v>294</v>
      </c>
    </row>
    <row r="6885" spans="1:3" x14ac:dyDescent="0.35">
      <c r="A6885" t="s">
        <v>219</v>
      </c>
      <c r="B6885" t="s">
        <v>294</v>
      </c>
      <c r="C6885" t="s">
        <v>7075</v>
      </c>
    </row>
    <row r="6886" spans="1:3" x14ac:dyDescent="0.35">
      <c r="A6886" t="s">
        <v>219</v>
      </c>
      <c r="B6886" t="s">
        <v>294</v>
      </c>
      <c r="C6886" t="s">
        <v>7076</v>
      </c>
    </row>
    <row r="6887" spans="1:3" x14ac:dyDescent="0.35">
      <c r="A6887" t="s">
        <v>219</v>
      </c>
      <c r="B6887" t="s">
        <v>294</v>
      </c>
      <c r="C6887" t="s">
        <v>7077</v>
      </c>
    </row>
    <row r="6888" spans="1:3" x14ac:dyDescent="0.35">
      <c r="A6888" t="s">
        <v>219</v>
      </c>
      <c r="B6888" t="s">
        <v>294</v>
      </c>
      <c r="C6888" t="s">
        <v>7078</v>
      </c>
    </row>
    <row r="6889" spans="1:3" x14ac:dyDescent="0.35">
      <c r="A6889" t="s">
        <v>220</v>
      </c>
      <c r="B6889" t="s">
        <v>233</v>
      </c>
      <c r="C6889" t="s">
        <v>7079</v>
      </c>
    </row>
    <row r="6890" spans="1:3" x14ac:dyDescent="0.35">
      <c r="A6890" t="s">
        <v>220</v>
      </c>
      <c r="B6890" t="s">
        <v>233</v>
      </c>
      <c r="C6890" t="s">
        <v>7080</v>
      </c>
    </row>
    <row r="6891" spans="1:3" x14ac:dyDescent="0.35">
      <c r="A6891" t="s">
        <v>220</v>
      </c>
      <c r="B6891" t="s">
        <v>233</v>
      </c>
      <c r="C6891" t="s">
        <v>7081</v>
      </c>
    </row>
    <row r="6892" spans="1:3" x14ac:dyDescent="0.35">
      <c r="A6892" t="s">
        <v>220</v>
      </c>
      <c r="B6892" t="s">
        <v>233</v>
      </c>
      <c r="C6892" t="s">
        <v>7082</v>
      </c>
    </row>
    <row r="6893" spans="1:3" x14ac:dyDescent="0.35">
      <c r="A6893" t="s">
        <v>220</v>
      </c>
      <c r="B6893" t="s">
        <v>233</v>
      </c>
      <c r="C6893" t="s">
        <v>7083</v>
      </c>
    </row>
    <row r="6894" spans="1:3" x14ac:dyDescent="0.35">
      <c r="A6894" t="s">
        <v>220</v>
      </c>
      <c r="B6894" t="s">
        <v>233</v>
      </c>
      <c r="C6894" t="s">
        <v>7084</v>
      </c>
    </row>
    <row r="6895" spans="1:3" x14ac:dyDescent="0.35">
      <c r="A6895" t="s">
        <v>220</v>
      </c>
      <c r="B6895" t="s">
        <v>233</v>
      </c>
      <c r="C6895" t="s">
        <v>7085</v>
      </c>
    </row>
    <row r="6896" spans="1:3" x14ac:dyDescent="0.35">
      <c r="A6896" t="s">
        <v>220</v>
      </c>
      <c r="B6896" t="s">
        <v>233</v>
      </c>
      <c r="C6896" t="s">
        <v>233</v>
      </c>
    </row>
    <row r="6897" spans="1:3" x14ac:dyDescent="0.35">
      <c r="A6897" t="s">
        <v>220</v>
      </c>
      <c r="B6897" t="s">
        <v>233</v>
      </c>
      <c r="C6897" t="s">
        <v>7086</v>
      </c>
    </row>
    <row r="6898" spans="1:3" x14ac:dyDescent="0.35">
      <c r="A6898" t="s">
        <v>220</v>
      </c>
      <c r="B6898" t="s">
        <v>233</v>
      </c>
      <c r="C6898" t="s">
        <v>7087</v>
      </c>
    </row>
    <row r="6899" spans="1:3" x14ac:dyDescent="0.35">
      <c r="A6899" t="s">
        <v>220</v>
      </c>
      <c r="B6899" t="s">
        <v>233</v>
      </c>
      <c r="C6899" t="s">
        <v>7088</v>
      </c>
    </row>
    <row r="6900" spans="1:3" x14ac:dyDescent="0.35">
      <c r="A6900" t="s">
        <v>220</v>
      </c>
      <c r="B6900" t="s">
        <v>233</v>
      </c>
      <c r="C6900" t="s">
        <v>7089</v>
      </c>
    </row>
    <row r="6901" spans="1:3" x14ac:dyDescent="0.35">
      <c r="A6901" t="s">
        <v>220</v>
      </c>
      <c r="B6901" t="s">
        <v>233</v>
      </c>
      <c r="C6901" t="s">
        <v>7090</v>
      </c>
    </row>
    <row r="6902" spans="1:3" x14ac:dyDescent="0.35">
      <c r="A6902" t="s">
        <v>220</v>
      </c>
      <c r="B6902" t="s">
        <v>233</v>
      </c>
      <c r="C6902" t="s">
        <v>7091</v>
      </c>
    </row>
    <row r="6903" spans="1:3" x14ac:dyDescent="0.35">
      <c r="A6903" t="s">
        <v>220</v>
      </c>
      <c r="B6903" t="s">
        <v>233</v>
      </c>
      <c r="C6903" t="s">
        <v>7092</v>
      </c>
    </row>
    <row r="6904" spans="1:3" x14ac:dyDescent="0.35">
      <c r="A6904" t="s">
        <v>220</v>
      </c>
      <c r="B6904" t="s">
        <v>233</v>
      </c>
      <c r="C6904" t="s">
        <v>7093</v>
      </c>
    </row>
    <row r="6905" spans="1:3" x14ac:dyDescent="0.35">
      <c r="A6905" t="s">
        <v>220</v>
      </c>
      <c r="B6905" t="s">
        <v>233</v>
      </c>
      <c r="C6905" t="s">
        <v>7094</v>
      </c>
    </row>
    <row r="6906" spans="1:3" x14ac:dyDescent="0.35">
      <c r="A6906" t="s">
        <v>220</v>
      </c>
      <c r="B6906" t="s">
        <v>233</v>
      </c>
      <c r="C6906" t="s">
        <v>7095</v>
      </c>
    </row>
    <row r="6907" spans="1:3" x14ac:dyDescent="0.35">
      <c r="A6907" t="s">
        <v>220</v>
      </c>
      <c r="B6907" t="s">
        <v>233</v>
      </c>
      <c r="C6907" t="s">
        <v>7096</v>
      </c>
    </row>
    <row r="6908" spans="1:3" x14ac:dyDescent="0.35">
      <c r="A6908" t="s">
        <v>220</v>
      </c>
      <c r="B6908" t="s">
        <v>233</v>
      </c>
      <c r="C6908" t="s">
        <v>7097</v>
      </c>
    </row>
    <row r="6909" spans="1:3" x14ac:dyDescent="0.35">
      <c r="A6909" t="s">
        <v>220</v>
      </c>
      <c r="B6909" t="s">
        <v>233</v>
      </c>
      <c r="C6909" t="s">
        <v>7098</v>
      </c>
    </row>
    <row r="6910" spans="1:3" x14ac:dyDescent="0.35">
      <c r="A6910" t="s">
        <v>220</v>
      </c>
      <c r="B6910" t="s">
        <v>233</v>
      </c>
      <c r="C6910" t="s">
        <v>7099</v>
      </c>
    </row>
    <row r="6911" spans="1:3" x14ac:dyDescent="0.35">
      <c r="A6911" t="s">
        <v>220</v>
      </c>
      <c r="B6911" t="s">
        <v>233</v>
      </c>
      <c r="C6911" t="s">
        <v>7100</v>
      </c>
    </row>
    <row r="6912" spans="1:3" x14ac:dyDescent="0.35">
      <c r="A6912" t="s">
        <v>220</v>
      </c>
      <c r="B6912" t="s">
        <v>233</v>
      </c>
      <c r="C6912" t="s">
        <v>7101</v>
      </c>
    </row>
    <row r="6913" spans="1:3" x14ac:dyDescent="0.35">
      <c r="A6913" t="s">
        <v>220</v>
      </c>
      <c r="B6913" t="s">
        <v>233</v>
      </c>
      <c r="C6913" t="s">
        <v>7102</v>
      </c>
    </row>
    <row r="6914" spans="1:3" x14ac:dyDescent="0.35">
      <c r="A6914" t="s">
        <v>220</v>
      </c>
      <c r="B6914" t="s">
        <v>233</v>
      </c>
      <c r="C6914" t="s">
        <v>7103</v>
      </c>
    </row>
    <row r="6915" spans="1:3" x14ac:dyDescent="0.35">
      <c r="A6915" t="s">
        <v>220</v>
      </c>
      <c r="B6915" t="s">
        <v>233</v>
      </c>
      <c r="C6915" t="s">
        <v>7104</v>
      </c>
    </row>
    <row r="6916" spans="1:3" x14ac:dyDescent="0.35">
      <c r="A6916" t="s">
        <v>220</v>
      </c>
      <c r="B6916" t="s">
        <v>233</v>
      </c>
      <c r="C6916" t="s">
        <v>7105</v>
      </c>
    </row>
    <row r="6917" spans="1:3" x14ac:dyDescent="0.35">
      <c r="A6917" t="s">
        <v>220</v>
      </c>
      <c r="B6917" t="s">
        <v>233</v>
      </c>
      <c r="C6917" t="s">
        <v>7106</v>
      </c>
    </row>
    <row r="6918" spans="1:3" x14ac:dyDescent="0.35">
      <c r="A6918" t="s">
        <v>220</v>
      </c>
      <c r="B6918" t="s">
        <v>233</v>
      </c>
      <c r="C6918" t="s">
        <v>7107</v>
      </c>
    </row>
    <row r="6919" spans="1:3" x14ac:dyDescent="0.35">
      <c r="A6919" t="s">
        <v>220</v>
      </c>
      <c r="B6919" t="s">
        <v>233</v>
      </c>
      <c r="C6919" t="s">
        <v>7108</v>
      </c>
    </row>
    <row r="6920" spans="1:3" x14ac:dyDescent="0.35">
      <c r="A6920" t="s">
        <v>220</v>
      </c>
      <c r="B6920" t="s">
        <v>233</v>
      </c>
      <c r="C6920" t="s">
        <v>7109</v>
      </c>
    </row>
    <row r="6921" spans="1:3" x14ac:dyDescent="0.35">
      <c r="A6921" t="s">
        <v>220</v>
      </c>
      <c r="B6921" t="s">
        <v>233</v>
      </c>
      <c r="C6921" t="s">
        <v>7110</v>
      </c>
    </row>
    <row r="6922" spans="1:3" x14ac:dyDescent="0.35">
      <c r="A6922" t="s">
        <v>220</v>
      </c>
      <c r="B6922" t="s">
        <v>233</v>
      </c>
      <c r="C6922" t="s">
        <v>7111</v>
      </c>
    </row>
    <row r="6923" spans="1:3" x14ac:dyDescent="0.35">
      <c r="A6923" t="s">
        <v>220</v>
      </c>
      <c r="B6923" t="s">
        <v>233</v>
      </c>
      <c r="C6923" t="s">
        <v>7112</v>
      </c>
    </row>
    <row r="6924" spans="1:3" x14ac:dyDescent="0.35">
      <c r="A6924" t="s">
        <v>220</v>
      </c>
      <c r="B6924" t="s">
        <v>233</v>
      </c>
      <c r="C6924" t="s">
        <v>7113</v>
      </c>
    </row>
    <row r="6925" spans="1:3" x14ac:dyDescent="0.35">
      <c r="A6925" t="s">
        <v>220</v>
      </c>
      <c r="B6925" t="s">
        <v>233</v>
      </c>
      <c r="C6925" t="s">
        <v>7114</v>
      </c>
    </row>
    <row r="6926" spans="1:3" x14ac:dyDescent="0.35">
      <c r="A6926" t="s">
        <v>220</v>
      </c>
      <c r="B6926" t="s">
        <v>233</v>
      </c>
      <c r="C6926" t="s">
        <v>7115</v>
      </c>
    </row>
    <row r="6927" spans="1:3" x14ac:dyDescent="0.35">
      <c r="A6927" t="s">
        <v>220</v>
      </c>
      <c r="B6927" t="s">
        <v>233</v>
      </c>
      <c r="C6927" t="s">
        <v>7116</v>
      </c>
    </row>
    <row r="6928" spans="1:3" x14ac:dyDescent="0.35">
      <c r="A6928" t="s">
        <v>220</v>
      </c>
      <c r="B6928" t="s">
        <v>233</v>
      </c>
      <c r="C6928" t="s">
        <v>7117</v>
      </c>
    </row>
    <row r="6929" spans="1:3" x14ac:dyDescent="0.35">
      <c r="A6929" t="s">
        <v>220</v>
      </c>
      <c r="B6929" t="s">
        <v>233</v>
      </c>
      <c r="C6929" t="s">
        <v>7118</v>
      </c>
    </row>
    <row r="6930" spans="1:3" x14ac:dyDescent="0.35">
      <c r="A6930" t="s">
        <v>220</v>
      </c>
      <c r="B6930" t="s">
        <v>233</v>
      </c>
      <c r="C6930" t="s">
        <v>7119</v>
      </c>
    </row>
    <row r="6931" spans="1:3" x14ac:dyDescent="0.35">
      <c r="A6931" t="s">
        <v>220</v>
      </c>
      <c r="B6931" t="s">
        <v>233</v>
      </c>
      <c r="C6931" t="s">
        <v>7120</v>
      </c>
    </row>
    <row r="6932" spans="1:3" x14ac:dyDescent="0.35">
      <c r="A6932" t="s">
        <v>220</v>
      </c>
      <c r="B6932" t="s">
        <v>233</v>
      </c>
      <c r="C6932" t="s">
        <v>7121</v>
      </c>
    </row>
    <row r="6933" spans="1:3" x14ac:dyDescent="0.35">
      <c r="A6933" t="s">
        <v>220</v>
      </c>
      <c r="B6933" t="s">
        <v>233</v>
      </c>
      <c r="C6933" t="s">
        <v>7122</v>
      </c>
    </row>
    <row r="6934" spans="1:3" x14ac:dyDescent="0.35">
      <c r="A6934" t="s">
        <v>220</v>
      </c>
      <c r="B6934" t="s">
        <v>233</v>
      </c>
      <c r="C6934" t="s">
        <v>7123</v>
      </c>
    </row>
    <row r="6935" spans="1:3" x14ac:dyDescent="0.35">
      <c r="A6935" t="s">
        <v>220</v>
      </c>
      <c r="B6935" t="s">
        <v>233</v>
      </c>
      <c r="C6935" t="s">
        <v>7124</v>
      </c>
    </row>
    <row r="6936" spans="1:3" x14ac:dyDescent="0.35">
      <c r="A6936" t="s">
        <v>220</v>
      </c>
      <c r="B6936" t="s">
        <v>233</v>
      </c>
      <c r="C6936" t="s">
        <v>7125</v>
      </c>
    </row>
    <row r="6937" spans="1:3" x14ac:dyDescent="0.35">
      <c r="A6937" t="s">
        <v>220</v>
      </c>
      <c r="B6937" t="s">
        <v>233</v>
      </c>
      <c r="C6937" t="s">
        <v>7126</v>
      </c>
    </row>
    <row r="6938" spans="1:3" x14ac:dyDescent="0.35">
      <c r="A6938" t="s">
        <v>220</v>
      </c>
      <c r="B6938" t="s">
        <v>233</v>
      </c>
      <c r="C6938" t="s">
        <v>7127</v>
      </c>
    </row>
    <row r="6939" spans="1:3" x14ac:dyDescent="0.35">
      <c r="A6939" t="s">
        <v>220</v>
      </c>
      <c r="B6939" t="s">
        <v>233</v>
      </c>
      <c r="C6939" t="s">
        <v>7128</v>
      </c>
    </row>
    <row r="6940" spans="1:3" x14ac:dyDescent="0.35">
      <c r="A6940" t="s">
        <v>220</v>
      </c>
      <c r="B6940" t="s">
        <v>233</v>
      </c>
      <c r="C6940" t="s">
        <v>7129</v>
      </c>
    </row>
    <row r="6941" spans="1:3" x14ac:dyDescent="0.35">
      <c r="A6941" t="s">
        <v>220</v>
      </c>
      <c r="B6941" t="s">
        <v>233</v>
      </c>
      <c r="C6941" t="s">
        <v>7130</v>
      </c>
    </row>
    <row r="6942" spans="1:3" x14ac:dyDescent="0.35">
      <c r="A6942" t="s">
        <v>220</v>
      </c>
      <c r="B6942" t="s">
        <v>233</v>
      </c>
      <c r="C6942" t="s">
        <v>7131</v>
      </c>
    </row>
    <row r="6943" spans="1:3" x14ac:dyDescent="0.35">
      <c r="A6943" t="s">
        <v>220</v>
      </c>
      <c r="B6943" t="s">
        <v>233</v>
      </c>
      <c r="C6943" t="s">
        <v>7132</v>
      </c>
    </row>
    <row r="6944" spans="1:3" x14ac:dyDescent="0.35">
      <c r="A6944" t="s">
        <v>220</v>
      </c>
      <c r="B6944" t="s">
        <v>233</v>
      </c>
      <c r="C6944" t="s">
        <v>7133</v>
      </c>
    </row>
    <row r="6945" spans="1:3" x14ac:dyDescent="0.35">
      <c r="A6945" t="s">
        <v>220</v>
      </c>
      <c r="B6945" t="s">
        <v>233</v>
      </c>
      <c r="C6945" t="s">
        <v>7134</v>
      </c>
    </row>
    <row r="6946" spans="1:3" x14ac:dyDescent="0.35">
      <c r="A6946" t="s">
        <v>220</v>
      </c>
      <c r="B6946" t="s">
        <v>233</v>
      </c>
      <c r="C6946" t="s">
        <v>7135</v>
      </c>
    </row>
    <row r="6947" spans="1:3" x14ac:dyDescent="0.35">
      <c r="A6947" t="s">
        <v>220</v>
      </c>
      <c r="B6947" t="s">
        <v>233</v>
      </c>
      <c r="C6947" t="s">
        <v>7136</v>
      </c>
    </row>
    <row r="6948" spans="1:3" x14ac:dyDescent="0.35">
      <c r="A6948" t="s">
        <v>220</v>
      </c>
      <c r="B6948" t="s">
        <v>233</v>
      </c>
      <c r="C6948" t="s">
        <v>7137</v>
      </c>
    </row>
    <row r="6949" spans="1:3" x14ac:dyDescent="0.35">
      <c r="A6949" t="s">
        <v>220</v>
      </c>
      <c r="B6949" t="s">
        <v>233</v>
      </c>
      <c r="C6949" t="s">
        <v>7138</v>
      </c>
    </row>
    <row r="6950" spans="1:3" x14ac:dyDescent="0.35">
      <c r="A6950" t="s">
        <v>220</v>
      </c>
      <c r="B6950" t="s">
        <v>233</v>
      </c>
      <c r="C6950" t="s">
        <v>7139</v>
      </c>
    </row>
    <row r="6951" spans="1:3" x14ac:dyDescent="0.35">
      <c r="A6951" t="s">
        <v>220</v>
      </c>
      <c r="B6951" t="s">
        <v>233</v>
      </c>
      <c r="C6951" t="s">
        <v>7140</v>
      </c>
    </row>
    <row r="6952" spans="1:3" x14ac:dyDescent="0.35">
      <c r="A6952" t="s">
        <v>220</v>
      </c>
      <c r="B6952" t="s">
        <v>233</v>
      </c>
      <c r="C6952" t="s">
        <v>7141</v>
      </c>
    </row>
    <row r="6953" spans="1:3" x14ac:dyDescent="0.35">
      <c r="A6953" t="s">
        <v>220</v>
      </c>
      <c r="B6953" t="s">
        <v>233</v>
      </c>
      <c r="C6953" t="s">
        <v>7142</v>
      </c>
    </row>
    <row r="6954" spans="1:3" x14ac:dyDescent="0.35">
      <c r="A6954" t="s">
        <v>220</v>
      </c>
      <c r="B6954" t="s">
        <v>233</v>
      </c>
      <c r="C6954" t="s">
        <v>7143</v>
      </c>
    </row>
    <row r="6955" spans="1:3" x14ac:dyDescent="0.35">
      <c r="A6955" t="s">
        <v>220</v>
      </c>
      <c r="B6955" t="s">
        <v>233</v>
      </c>
      <c r="C6955" t="s">
        <v>7144</v>
      </c>
    </row>
    <row r="6956" spans="1:3" x14ac:dyDescent="0.35">
      <c r="A6956" t="s">
        <v>220</v>
      </c>
      <c r="B6956" t="s">
        <v>233</v>
      </c>
      <c r="C6956" t="s">
        <v>7145</v>
      </c>
    </row>
    <row r="6957" spans="1:3" x14ac:dyDescent="0.35">
      <c r="A6957" t="s">
        <v>220</v>
      </c>
      <c r="B6957" t="s">
        <v>233</v>
      </c>
      <c r="C6957" t="s">
        <v>7146</v>
      </c>
    </row>
    <row r="6958" spans="1:3" x14ac:dyDescent="0.35">
      <c r="A6958" t="s">
        <v>220</v>
      </c>
      <c r="B6958" t="s">
        <v>233</v>
      </c>
      <c r="C6958" t="s">
        <v>7147</v>
      </c>
    </row>
    <row r="6959" spans="1:3" x14ac:dyDescent="0.35">
      <c r="A6959" t="s">
        <v>220</v>
      </c>
      <c r="B6959" t="s">
        <v>233</v>
      </c>
      <c r="C6959" t="s">
        <v>7148</v>
      </c>
    </row>
    <row r="6960" spans="1:3" x14ac:dyDescent="0.35">
      <c r="A6960" t="s">
        <v>220</v>
      </c>
      <c r="B6960" t="s">
        <v>233</v>
      </c>
      <c r="C6960" t="s">
        <v>7149</v>
      </c>
    </row>
    <row r="6961" spans="1:3" x14ac:dyDescent="0.35">
      <c r="A6961" t="s">
        <v>220</v>
      </c>
      <c r="B6961" t="s">
        <v>233</v>
      </c>
      <c r="C6961" t="s">
        <v>7150</v>
      </c>
    </row>
    <row r="6962" spans="1:3" x14ac:dyDescent="0.35">
      <c r="A6962" t="s">
        <v>220</v>
      </c>
      <c r="B6962" t="s">
        <v>233</v>
      </c>
      <c r="C6962" t="s">
        <v>7151</v>
      </c>
    </row>
    <row r="6963" spans="1:3" x14ac:dyDescent="0.35">
      <c r="A6963" t="s">
        <v>220</v>
      </c>
      <c r="B6963" t="s">
        <v>233</v>
      </c>
      <c r="C6963" t="s">
        <v>7152</v>
      </c>
    </row>
    <row r="6964" spans="1:3" x14ac:dyDescent="0.35">
      <c r="A6964" t="s">
        <v>220</v>
      </c>
      <c r="B6964" t="s">
        <v>233</v>
      </c>
      <c r="C6964" t="s">
        <v>7153</v>
      </c>
    </row>
    <row r="6965" spans="1:3" x14ac:dyDescent="0.35">
      <c r="A6965" t="s">
        <v>220</v>
      </c>
      <c r="B6965" t="s">
        <v>233</v>
      </c>
      <c r="C6965" t="s">
        <v>7154</v>
      </c>
    </row>
    <row r="6966" spans="1:3" x14ac:dyDescent="0.35">
      <c r="A6966" t="s">
        <v>220</v>
      </c>
      <c r="B6966" t="s">
        <v>233</v>
      </c>
      <c r="C6966" t="s">
        <v>7155</v>
      </c>
    </row>
    <row r="6967" spans="1:3" x14ac:dyDescent="0.35">
      <c r="A6967" t="s">
        <v>220</v>
      </c>
      <c r="B6967" t="s">
        <v>233</v>
      </c>
      <c r="C6967" t="s">
        <v>7156</v>
      </c>
    </row>
    <row r="6968" spans="1:3" x14ac:dyDescent="0.35">
      <c r="A6968" t="s">
        <v>220</v>
      </c>
      <c r="B6968" t="s">
        <v>233</v>
      </c>
      <c r="C6968" t="s">
        <v>7157</v>
      </c>
    </row>
    <row r="6969" spans="1:3" x14ac:dyDescent="0.35">
      <c r="A6969" t="s">
        <v>220</v>
      </c>
      <c r="B6969" t="s">
        <v>233</v>
      </c>
      <c r="C6969" t="s">
        <v>7158</v>
      </c>
    </row>
    <row r="6970" spans="1:3" x14ac:dyDescent="0.35">
      <c r="A6970" t="s">
        <v>220</v>
      </c>
      <c r="B6970" t="s">
        <v>233</v>
      </c>
      <c r="C6970" t="s">
        <v>7159</v>
      </c>
    </row>
    <row r="6971" spans="1:3" x14ac:dyDescent="0.35">
      <c r="A6971" t="s">
        <v>220</v>
      </c>
      <c r="B6971" t="s">
        <v>233</v>
      </c>
      <c r="C6971" t="s">
        <v>7160</v>
      </c>
    </row>
    <row r="6972" spans="1:3" x14ac:dyDescent="0.35">
      <c r="A6972" t="s">
        <v>220</v>
      </c>
      <c r="B6972" t="s">
        <v>233</v>
      </c>
      <c r="C6972" t="s">
        <v>7161</v>
      </c>
    </row>
    <row r="6973" spans="1:3" x14ac:dyDescent="0.35">
      <c r="A6973" t="s">
        <v>220</v>
      </c>
      <c r="B6973" t="s">
        <v>233</v>
      </c>
      <c r="C6973" t="s">
        <v>7162</v>
      </c>
    </row>
    <row r="6974" spans="1:3" x14ac:dyDescent="0.35">
      <c r="A6974" t="s">
        <v>220</v>
      </c>
      <c r="B6974" t="s">
        <v>233</v>
      </c>
      <c r="C6974" t="s">
        <v>7163</v>
      </c>
    </row>
    <row r="6975" spans="1:3" x14ac:dyDescent="0.35">
      <c r="A6975" t="s">
        <v>220</v>
      </c>
      <c r="B6975" t="s">
        <v>233</v>
      </c>
      <c r="C6975" t="s">
        <v>7164</v>
      </c>
    </row>
    <row r="6976" spans="1:3" x14ac:dyDescent="0.35">
      <c r="A6976" t="s">
        <v>220</v>
      </c>
      <c r="B6976" t="s">
        <v>233</v>
      </c>
      <c r="C6976" t="s">
        <v>7165</v>
      </c>
    </row>
    <row r="6977" spans="1:3" x14ac:dyDescent="0.35">
      <c r="A6977" t="s">
        <v>220</v>
      </c>
      <c r="B6977" t="s">
        <v>233</v>
      </c>
      <c r="C6977" t="s">
        <v>7166</v>
      </c>
    </row>
    <row r="6978" spans="1:3" x14ac:dyDescent="0.35">
      <c r="A6978" t="s">
        <v>220</v>
      </c>
      <c r="B6978" t="s">
        <v>233</v>
      </c>
      <c r="C6978" t="s">
        <v>7167</v>
      </c>
    </row>
    <row r="6979" spans="1:3" x14ac:dyDescent="0.35">
      <c r="A6979" t="s">
        <v>220</v>
      </c>
      <c r="B6979" t="s">
        <v>233</v>
      </c>
      <c r="C6979" t="s">
        <v>7168</v>
      </c>
    </row>
    <row r="6980" spans="1:3" x14ac:dyDescent="0.35">
      <c r="A6980" t="s">
        <v>220</v>
      </c>
      <c r="B6980" t="s">
        <v>233</v>
      </c>
      <c r="C6980" t="s">
        <v>7169</v>
      </c>
    </row>
    <row r="6981" spans="1:3" x14ac:dyDescent="0.35">
      <c r="A6981" t="s">
        <v>220</v>
      </c>
      <c r="B6981" t="s">
        <v>233</v>
      </c>
      <c r="C6981" t="s">
        <v>7170</v>
      </c>
    </row>
    <row r="6982" spans="1:3" x14ac:dyDescent="0.35">
      <c r="A6982" t="s">
        <v>220</v>
      </c>
      <c r="B6982" t="s">
        <v>233</v>
      </c>
      <c r="C6982" t="s">
        <v>7171</v>
      </c>
    </row>
    <row r="6983" spans="1:3" x14ac:dyDescent="0.35">
      <c r="A6983" t="s">
        <v>220</v>
      </c>
      <c r="B6983" t="s">
        <v>233</v>
      </c>
      <c r="C6983" t="s">
        <v>7172</v>
      </c>
    </row>
    <row r="6984" spans="1:3" x14ac:dyDescent="0.35">
      <c r="A6984" t="s">
        <v>220</v>
      </c>
      <c r="B6984" t="s">
        <v>233</v>
      </c>
      <c r="C6984" t="s">
        <v>7173</v>
      </c>
    </row>
    <row r="6985" spans="1:3" x14ac:dyDescent="0.35">
      <c r="A6985" t="s">
        <v>220</v>
      </c>
      <c r="B6985" t="s">
        <v>233</v>
      </c>
      <c r="C6985" t="s">
        <v>7174</v>
      </c>
    </row>
    <row r="6986" spans="1:3" x14ac:dyDescent="0.35">
      <c r="A6986" t="s">
        <v>220</v>
      </c>
      <c r="B6986" t="s">
        <v>233</v>
      </c>
      <c r="C6986" t="s">
        <v>7175</v>
      </c>
    </row>
    <row r="6987" spans="1:3" x14ac:dyDescent="0.35">
      <c r="A6987" t="s">
        <v>220</v>
      </c>
      <c r="B6987" t="s">
        <v>233</v>
      </c>
      <c r="C6987" t="s">
        <v>7176</v>
      </c>
    </row>
    <row r="6988" spans="1:3" x14ac:dyDescent="0.35">
      <c r="A6988" t="s">
        <v>220</v>
      </c>
      <c r="B6988" t="s">
        <v>233</v>
      </c>
      <c r="C6988" t="s">
        <v>7177</v>
      </c>
    </row>
    <row r="6989" spans="1:3" x14ac:dyDescent="0.35">
      <c r="A6989" t="s">
        <v>220</v>
      </c>
      <c r="B6989" t="s">
        <v>233</v>
      </c>
      <c r="C6989" t="s">
        <v>7178</v>
      </c>
    </row>
    <row r="6990" spans="1:3" x14ac:dyDescent="0.35">
      <c r="A6990" t="s">
        <v>220</v>
      </c>
      <c r="B6990" t="s">
        <v>233</v>
      </c>
      <c r="C6990" t="s">
        <v>7179</v>
      </c>
    </row>
    <row r="6991" spans="1:3" x14ac:dyDescent="0.35">
      <c r="A6991" t="s">
        <v>220</v>
      </c>
      <c r="B6991" t="s">
        <v>233</v>
      </c>
      <c r="C6991" t="s">
        <v>7180</v>
      </c>
    </row>
    <row r="6992" spans="1:3" x14ac:dyDescent="0.35">
      <c r="A6992" t="s">
        <v>220</v>
      </c>
      <c r="B6992" t="s">
        <v>233</v>
      </c>
      <c r="C6992" t="s">
        <v>7181</v>
      </c>
    </row>
    <row r="6993" spans="1:3" x14ac:dyDescent="0.35">
      <c r="A6993" t="s">
        <v>220</v>
      </c>
      <c r="B6993" t="s">
        <v>233</v>
      </c>
      <c r="C6993" t="s">
        <v>7182</v>
      </c>
    </row>
    <row r="6994" spans="1:3" x14ac:dyDescent="0.35">
      <c r="A6994" t="s">
        <v>220</v>
      </c>
      <c r="B6994" t="s">
        <v>233</v>
      </c>
      <c r="C6994" t="s">
        <v>7183</v>
      </c>
    </row>
    <row r="6995" spans="1:3" x14ac:dyDescent="0.35">
      <c r="A6995" t="s">
        <v>220</v>
      </c>
      <c r="B6995" t="s">
        <v>233</v>
      </c>
      <c r="C6995" t="s">
        <v>7184</v>
      </c>
    </row>
    <row r="6996" spans="1:3" x14ac:dyDescent="0.35">
      <c r="A6996" t="s">
        <v>220</v>
      </c>
      <c r="B6996" t="s">
        <v>233</v>
      </c>
      <c r="C6996" t="s">
        <v>7185</v>
      </c>
    </row>
    <row r="6997" spans="1:3" x14ac:dyDescent="0.35">
      <c r="A6997" t="s">
        <v>220</v>
      </c>
      <c r="B6997" t="s">
        <v>233</v>
      </c>
      <c r="C6997" t="s">
        <v>7186</v>
      </c>
    </row>
    <row r="6998" spans="1:3" x14ac:dyDescent="0.35">
      <c r="A6998" t="s">
        <v>220</v>
      </c>
      <c r="B6998" t="s">
        <v>233</v>
      </c>
      <c r="C6998" t="s">
        <v>7187</v>
      </c>
    </row>
    <row r="6999" spans="1:3" x14ac:dyDescent="0.35">
      <c r="A6999" t="s">
        <v>220</v>
      </c>
      <c r="B6999" t="s">
        <v>233</v>
      </c>
      <c r="C6999" t="s">
        <v>7188</v>
      </c>
    </row>
    <row r="7000" spans="1:3" x14ac:dyDescent="0.35">
      <c r="A7000" t="s">
        <v>220</v>
      </c>
      <c r="B7000" t="s">
        <v>233</v>
      </c>
      <c r="C7000" t="s">
        <v>7189</v>
      </c>
    </row>
    <row r="7001" spans="1:3" x14ac:dyDescent="0.35">
      <c r="A7001" t="s">
        <v>220</v>
      </c>
      <c r="B7001" t="s">
        <v>233</v>
      </c>
      <c r="C7001" t="s">
        <v>7190</v>
      </c>
    </row>
    <row r="7002" spans="1:3" x14ac:dyDescent="0.35">
      <c r="A7002" t="s">
        <v>220</v>
      </c>
      <c r="B7002" t="s">
        <v>233</v>
      </c>
      <c r="C7002" t="s">
        <v>7191</v>
      </c>
    </row>
    <row r="7003" spans="1:3" x14ac:dyDescent="0.35">
      <c r="A7003" t="s">
        <v>220</v>
      </c>
      <c r="B7003" t="s">
        <v>233</v>
      </c>
      <c r="C7003" t="s">
        <v>7192</v>
      </c>
    </row>
    <row r="7004" spans="1:3" x14ac:dyDescent="0.35">
      <c r="A7004" t="s">
        <v>220</v>
      </c>
      <c r="B7004" t="s">
        <v>233</v>
      </c>
      <c r="C7004" t="s">
        <v>7193</v>
      </c>
    </row>
    <row r="7005" spans="1:3" x14ac:dyDescent="0.35">
      <c r="A7005" t="s">
        <v>220</v>
      </c>
      <c r="B7005" t="s">
        <v>76</v>
      </c>
      <c r="C7005" t="s">
        <v>7194</v>
      </c>
    </row>
    <row r="7006" spans="1:3" x14ac:dyDescent="0.35">
      <c r="A7006" t="s">
        <v>220</v>
      </c>
      <c r="B7006" t="s">
        <v>76</v>
      </c>
      <c r="C7006" t="s">
        <v>7195</v>
      </c>
    </row>
    <row r="7007" spans="1:3" x14ac:dyDescent="0.35">
      <c r="A7007" t="s">
        <v>220</v>
      </c>
      <c r="B7007" t="s">
        <v>76</v>
      </c>
      <c r="C7007" t="s">
        <v>7196</v>
      </c>
    </row>
    <row r="7008" spans="1:3" x14ac:dyDescent="0.35">
      <c r="A7008" t="s">
        <v>220</v>
      </c>
      <c r="B7008" t="s">
        <v>76</v>
      </c>
      <c r="C7008" t="s">
        <v>7197</v>
      </c>
    </row>
    <row r="7009" spans="1:3" x14ac:dyDescent="0.35">
      <c r="A7009" t="s">
        <v>220</v>
      </c>
      <c r="B7009" t="s">
        <v>76</v>
      </c>
      <c r="C7009" t="s">
        <v>7198</v>
      </c>
    </row>
    <row r="7010" spans="1:3" x14ac:dyDescent="0.35">
      <c r="A7010" t="s">
        <v>220</v>
      </c>
      <c r="B7010" t="s">
        <v>76</v>
      </c>
      <c r="C7010" t="s">
        <v>7199</v>
      </c>
    </row>
    <row r="7011" spans="1:3" x14ac:dyDescent="0.35">
      <c r="A7011" t="s">
        <v>220</v>
      </c>
      <c r="B7011" t="s">
        <v>76</v>
      </c>
      <c r="C7011" t="s">
        <v>7200</v>
      </c>
    </row>
    <row r="7012" spans="1:3" x14ac:dyDescent="0.35">
      <c r="A7012" t="s">
        <v>220</v>
      </c>
      <c r="B7012" t="s">
        <v>76</v>
      </c>
      <c r="C7012" t="s">
        <v>7201</v>
      </c>
    </row>
    <row r="7013" spans="1:3" x14ac:dyDescent="0.35">
      <c r="A7013" t="s">
        <v>220</v>
      </c>
      <c r="B7013" t="s">
        <v>76</v>
      </c>
      <c r="C7013" t="s">
        <v>7202</v>
      </c>
    </row>
    <row r="7014" spans="1:3" x14ac:dyDescent="0.35">
      <c r="A7014" t="s">
        <v>220</v>
      </c>
      <c r="B7014" t="s">
        <v>76</v>
      </c>
      <c r="C7014" t="s">
        <v>7203</v>
      </c>
    </row>
    <row r="7015" spans="1:3" x14ac:dyDescent="0.35">
      <c r="A7015" t="s">
        <v>220</v>
      </c>
      <c r="B7015" t="s">
        <v>76</v>
      </c>
      <c r="C7015" t="s">
        <v>7204</v>
      </c>
    </row>
    <row r="7016" spans="1:3" x14ac:dyDescent="0.35">
      <c r="A7016" t="s">
        <v>220</v>
      </c>
      <c r="B7016" t="s">
        <v>76</v>
      </c>
      <c r="C7016" t="s">
        <v>7205</v>
      </c>
    </row>
    <row r="7017" spans="1:3" x14ac:dyDescent="0.35">
      <c r="A7017" t="s">
        <v>220</v>
      </c>
      <c r="B7017" t="s">
        <v>76</v>
      </c>
      <c r="C7017" t="s">
        <v>7206</v>
      </c>
    </row>
    <row r="7018" spans="1:3" x14ac:dyDescent="0.35">
      <c r="A7018" t="s">
        <v>220</v>
      </c>
      <c r="B7018" t="s">
        <v>76</v>
      </c>
      <c r="C7018" t="s">
        <v>7207</v>
      </c>
    </row>
    <row r="7019" spans="1:3" x14ac:dyDescent="0.35">
      <c r="A7019" t="s">
        <v>220</v>
      </c>
      <c r="B7019" t="s">
        <v>76</v>
      </c>
      <c r="C7019" t="s">
        <v>7208</v>
      </c>
    </row>
    <row r="7020" spans="1:3" x14ac:dyDescent="0.35">
      <c r="A7020" t="s">
        <v>220</v>
      </c>
      <c r="B7020" t="s">
        <v>76</v>
      </c>
      <c r="C7020" t="s">
        <v>7209</v>
      </c>
    </row>
    <row r="7021" spans="1:3" x14ac:dyDescent="0.35">
      <c r="A7021" t="s">
        <v>220</v>
      </c>
      <c r="B7021" t="s">
        <v>76</v>
      </c>
      <c r="C7021" t="s">
        <v>7210</v>
      </c>
    </row>
    <row r="7022" spans="1:3" x14ac:dyDescent="0.35">
      <c r="A7022" t="s">
        <v>220</v>
      </c>
      <c r="B7022" t="s">
        <v>76</v>
      </c>
      <c r="C7022" t="s">
        <v>7211</v>
      </c>
    </row>
    <row r="7023" spans="1:3" x14ac:dyDescent="0.35">
      <c r="A7023" t="s">
        <v>220</v>
      </c>
      <c r="B7023" t="s">
        <v>76</v>
      </c>
      <c r="C7023" t="s">
        <v>7212</v>
      </c>
    </row>
    <row r="7024" spans="1:3" x14ac:dyDescent="0.35">
      <c r="A7024" t="s">
        <v>220</v>
      </c>
      <c r="B7024" t="s">
        <v>76</v>
      </c>
      <c r="C7024" t="s">
        <v>7213</v>
      </c>
    </row>
    <row r="7025" spans="1:3" x14ac:dyDescent="0.35">
      <c r="A7025" t="s">
        <v>220</v>
      </c>
      <c r="B7025" t="s">
        <v>76</v>
      </c>
      <c r="C7025" t="s">
        <v>7214</v>
      </c>
    </row>
    <row r="7026" spans="1:3" x14ac:dyDescent="0.35">
      <c r="A7026" t="s">
        <v>220</v>
      </c>
      <c r="B7026" t="s">
        <v>76</v>
      </c>
      <c r="C7026" t="s">
        <v>7215</v>
      </c>
    </row>
    <row r="7027" spans="1:3" x14ac:dyDescent="0.35">
      <c r="A7027" t="s">
        <v>220</v>
      </c>
      <c r="B7027" t="s">
        <v>76</v>
      </c>
      <c r="C7027" t="s">
        <v>7216</v>
      </c>
    </row>
    <row r="7028" spans="1:3" x14ac:dyDescent="0.35">
      <c r="A7028" t="s">
        <v>220</v>
      </c>
      <c r="B7028" t="s">
        <v>76</v>
      </c>
      <c r="C7028" t="s">
        <v>7217</v>
      </c>
    </row>
    <row r="7029" spans="1:3" x14ac:dyDescent="0.35">
      <c r="A7029" t="s">
        <v>220</v>
      </c>
      <c r="B7029" t="s">
        <v>76</v>
      </c>
      <c r="C7029" t="s">
        <v>7218</v>
      </c>
    </row>
    <row r="7030" spans="1:3" x14ac:dyDescent="0.35">
      <c r="A7030" t="s">
        <v>220</v>
      </c>
      <c r="B7030" t="s">
        <v>76</v>
      </c>
      <c r="C7030" t="s">
        <v>7219</v>
      </c>
    </row>
    <row r="7031" spans="1:3" x14ac:dyDescent="0.35">
      <c r="A7031" t="s">
        <v>220</v>
      </c>
      <c r="B7031" t="s">
        <v>76</v>
      </c>
      <c r="C7031" t="s">
        <v>7220</v>
      </c>
    </row>
    <row r="7032" spans="1:3" x14ac:dyDescent="0.35">
      <c r="A7032" t="s">
        <v>220</v>
      </c>
      <c r="B7032" t="s">
        <v>76</v>
      </c>
      <c r="C7032" t="s">
        <v>7221</v>
      </c>
    </row>
    <row r="7033" spans="1:3" x14ac:dyDescent="0.35">
      <c r="A7033" t="s">
        <v>220</v>
      </c>
      <c r="B7033" t="s">
        <v>76</v>
      </c>
      <c r="C7033" t="s">
        <v>7222</v>
      </c>
    </row>
    <row r="7034" spans="1:3" x14ac:dyDescent="0.35">
      <c r="A7034" t="s">
        <v>220</v>
      </c>
      <c r="B7034" t="s">
        <v>76</v>
      </c>
      <c r="C7034" t="s">
        <v>7223</v>
      </c>
    </row>
    <row r="7035" spans="1:3" x14ac:dyDescent="0.35">
      <c r="A7035" t="s">
        <v>220</v>
      </c>
      <c r="B7035" t="s">
        <v>76</v>
      </c>
      <c r="C7035" t="s">
        <v>7224</v>
      </c>
    </row>
    <row r="7036" spans="1:3" x14ac:dyDescent="0.35">
      <c r="A7036" t="s">
        <v>220</v>
      </c>
      <c r="B7036" t="s">
        <v>76</v>
      </c>
      <c r="C7036" t="s">
        <v>7225</v>
      </c>
    </row>
    <row r="7037" spans="1:3" x14ac:dyDescent="0.35">
      <c r="A7037" t="s">
        <v>220</v>
      </c>
      <c r="B7037" t="s">
        <v>76</v>
      </c>
      <c r="C7037" t="s">
        <v>7226</v>
      </c>
    </row>
    <row r="7038" spans="1:3" x14ac:dyDescent="0.35">
      <c r="A7038" t="s">
        <v>220</v>
      </c>
      <c r="B7038" t="s">
        <v>76</v>
      </c>
      <c r="C7038" t="s">
        <v>7227</v>
      </c>
    </row>
    <row r="7039" spans="1:3" x14ac:dyDescent="0.35">
      <c r="A7039" t="s">
        <v>220</v>
      </c>
      <c r="B7039" t="s">
        <v>76</v>
      </c>
      <c r="C7039" t="s">
        <v>7228</v>
      </c>
    </row>
    <row r="7040" spans="1:3" x14ac:dyDescent="0.35">
      <c r="A7040" t="s">
        <v>220</v>
      </c>
      <c r="B7040" t="s">
        <v>76</v>
      </c>
      <c r="C7040" t="s">
        <v>7229</v>
      </c>
    </row>
    <row r="7041" spans="1:3" x14ac:dyDescent="0.35">
      <c r="A7041" t="s">
        <v>220</v>
      </c>
      <c r="B7041" t="s">
        <v>76</v>
      </c>
      <c r="C7041" t="s">
        <v>7230</v>
      </c>
    </row>
    <row r="7042" spans="1:3" x14ac:dyDescent="0.35">
      <c r="A7042" t="s">
        <v>220</v>
      </c>
      <c r="B7042" t="s">
        <v>76</v>
      </c>
      <c r="C7042" t="s">
        <v>7231</v>
      </c>
    </row>
    <row r="7043" spans="1:3" x14ac:dyDescent="0.35">
      <c r="A7043" t="s">
        <v>220</v>
      </c>
      <c r="B7043" t="s">
        <v>76</v>
      </c>
      <c r="C7043" t="s">
        <v>7232</v>
      </c>
    </row>
    <row r="7044" spans="1:3" x14ac:dyDescent="0.35">
      <c r="A7044" t="s">
        <v>220</v>
      </c>
      <c r="B7044" t="s">
        <v>76</v>
      </c>
      <c r="C7044" t="s">
        <v>7233</v>
      </c>
    </row>
    <row r="7045" spans="1:3" x14ac:dyDescent="0.35">
      <c r="A7045" t="s">
        <v>220</v>
      </c>
      <c r="B7045" t="s">
        <v>76</v>
      </c>
      <c r="C7045" t="s">
        <v>7234</v>
      </c>
    </row>
    <row r="7046" spans="1:3" x14ac:dyDescent="0.35">
      <c r="A7046" t="s">
        <v>220</v>
      </c>
      <c r="B7046" t="s">
        <v>76</v>
      </c>
      <c r="C7046" t="s">
        <v>7235</v>
      </c>
    </row>
    <row r="7047" spans="1:3" x14ac:dyDescent="0.35">
      <c r="A7047" t="s">
        <v>220</v>
      </c>
      <c r="B7047" t="s">
        <v>76</v>
      </c>
      <c r="C7047" t="s">
        <v>7236</v>
      </c>
    </row>
    <row r="7048" spans="1:3" x14ac:dyDescent="0.35">
      <c r="A7048" t="s">
        <v>220</v>
      </c>
      <c r="B7048" t="s">
        <v>76</v>
      </c>
      <c r="C7048" t="s">
        <v>7237</v>
      </c>
    </row>
    <row r="7049" spans="1:3" x14ac:dyDescent="0.35">
      <c r="A7049" t="s">
        <v>220</v>
      </c>
      <c r="B7049" t="s">
        <v>76</v>
      </c>
      <c r="C7049" t="s">
        <v>7238</v>
      </c>
    </row>
    <row r="7050" spans="1:3" x14ac:dyDescent="0.35">
      <c r="A7050" t="s">
        <v>220</v>
      </c>
      <c r="B7050" t="s">
        <v>76</v>
      </c>
      <c r="C7050" t="s">
        <v>7239</v>
      </c>
    </row>
    <row r="7051" spans="1:3" x14ac:dyDescent="0.35">
      <c r="A7051" t="s">
        <v>220</v>
      </c>
      <c r="B7051" t="s">
        <v>76</v>
      </c>
      <c r="C7051" t="s">
        <v>7240</v>
      </c>
    </row>
    <row r="7052" spans="1:3" x14ac:dyDescent="0.35">
      <c r="A7052" t="s">
        <v>220</v>
      </c>
      <c r="B7052" t="s">
        <v>76</v>
      </c>
      <c r="C7052" t="s">
        <v>7241</v>
      </c>
    </row>
    <row r="7053" spans="1:3" x14ac:dyDescent="0.35">
      <c r="A7053" t="s">
        <v>220</v>
      </c>
      <c r="B7053" t="s">
        <v>76</v>
      </c>
      <c r="C7053" t="s">
        <v>7242</v>
      </c>
    </row>
    <row r="7054" spans="1:3" x14ac:dyDescent="0.35">
      <c r="A7054" t="s">
        <v>220</v>
      </c>
      <c r="B7054" t="s">
        <v>76</v>
      </c>
      <c r="C7054" t="s">
        <v>7243</v>
      </c>
    </row>
    <row r="7055" spans="1:3" x14ac:dyDescent="0.35">
      <c r="A7055" t="s">
        <v>220</v>
      </c>
      <c r="B7055" t="s">
        <v>76</v>
      </c>
      <c r="C7055" t="s">
        <v>7244</v>
      </c>
    </row>
    <row r="7056" spans="1:3" x14ac:dyDescent="0.35">
      <c r="A7056" t="s">
        <v>220</v>
      </c>
      <c r="B7056" t="s">
        <v>76</v>
      </c>
      <c r="C7056" t="s">
        <v>7245</v>
      </c>
    </row>
    <row r="7057" spans="1:3" x14ac:dyDescent="0.35">
      <c r="A7057" t="s">
        <v>220</v>
      </c>
      <c r="B7057" t="s">
        <v>76</v>
      </c>
      <c r="C7057" t="s">
        <v>7246</v>
      </c>
    </row>
    <row r="7058" spans="1:3" x14ac:dyDescent="0.35">
      <c r="A7058" t="s">
        <v>220</v>
      </c>
      <c r="B7058" t="s">
        <v>76</v>
      </c>
      <c r="C7058" t="s">
        <v>7247</v>
      </c>
    </row>
    <row r="7059" spans="1:3" x14ac:dyDescent="0.35">
      <c r="A7059" t="s">
        <v>220</v>
      </c>
      <c r="B7059" t="s">
        <v>76</v>
      </c>
      <c r="C7059" t="s">
        <v>7248</v>
      </c>
    </row>
    <row r="7060" spans="1:3" x14ac:dyDescent="0.35">
      <c r="A7060" t="s">
        <v>220</v>
      </c>
      <c r="B7060" t="s">
        <v>76</v>
      </c>
      <c r="C7060" t="s">
        <v>7249</v>
      </c>
    </row>
    <row r="7061" spans="1:3" x14ac:dyDescent="0.35">
      <c r="A7061" t="s">
        <v>220</v>
      </c>
      <c r="B7061" t="s">
        <v>76</v>
      </c>
      <c r="C7061" t="s">
        <v>7250</v>
      </c>
    </row>
    <row r="7062" spans="1:3" x14ac:dyDescent="0.35">
      <c r="A7062" t="s">
        <v>220</v>
      </c>
      <c r="B7062" t="s">
        <v>76</v>
      </c>
      <c r="C7062" t="s">
        <v>7251</v>
      </c>
    </row>
    <row r="7063" spans="1:3" x14ac:dyDescent="0.35">
      <c r="A7063" t="s">
        <v>220</v>
      </c>
      <c r="B7063" t="s">
        <v>76</v>
      </c>
      <c r="C7063" t="s">
        <v>7252</v>
      </c>
    </row>
    <row r="7064" spans="1:3" x14ac:dyDescent="0.35">
      <c r="A7064" t="s">
        <v>220</v>
      </c>
      <c r="B7064" t="s">
        <v>76</v>
      </c>
      <c r="C7064" t="s">
        <v>7253</v>
      </c>
    </row>
    <row r="7065" spans="1:3" x14ac:dyDescent="0.35">
      <c r="A7065" t="s">
        <v>220</v>
      </c>
      <c r="B7065" t="s">
        <v>76</v>
      </c>
      <c r="C7065" t="s">
        <v>7254</v>
      </c>
    </row>
    <row r="7066" spans="1:3" x14ac:dyDescent="0.35">
      <c r="A7066" t="s">
        <v>220</v>
      </c>
      <c r="B7066" t="s">
        <v>76</v>
      </c>
      <c r="C7066" t="s">
        <v>7255</v>
      </c>
    </row>
    <row r="7067" spans="1:3" x14ac:dyDescent="0.35">
      <c r="A7067" t="s">
        <v>220</v>
      </c>
      <c r="B7067" t="s">
        <v>76</v>
      </c>
      <c r="C7067" t="s">
        <v>7256</v>
      </c>
    </row>
    <row r="7068" spans="1:3" x14ac:dyDescent="0.35">
      <c r="A7068" t="s">
        <v>220</v>
      </c>
      <c r="B7068" t="s">
        <v>76</v>
      </c>
      <c r="C7068" t="s">
        <v>7257</v>
      </c>
    </row>
    <row r="7069" spans="1:3" x14ac:dyDescent="0.35">
      <c r="A7069" t="s">
        <v>220</v>
      </c>
      <c r="B7069" t="s">
        <v>76</v>
      </c>
      <c r="C7069" t="s">
        <v>7258</v>
      </c>
    </row>
    <row r="7070" spans="1:3" x14ac:dyDescent="0.35">
      <c r="A7070" t="s">
        <v>220</v>
      </c>
      <c r="B7070" t="s">
        <v>76</v>
      </c>
      <c r="C7070" t="s">
        <v>7259</v>
      </c>
    </row>
    <row r="7071" spans="1:3" x14ac:dyDescent="0.35">
      <c r="A7071" t="s">
        <v>220</v>
      </c>
      <c r="B7071" t="s">
        <v>76</v>
      </c>
      <c r="C7071" t="s">
        <v>7260</v>
      </c>
    </row>
    <row r="7072" spans="1:3" x14ac:dyDescent="0.35">
      <c r="A7072" t="s">
        <v>220</v>
      </c>
      <c r="B7072" t="s">
        <v>76</v>
      </c>
      <c r="C7072" t="s">
        <v>7261</v>
      </c>
    </row>
    <row r="7073" spans="1:3" x14ac:dyDescent="0.35">
      <c r="A7073" t="s">
        <v>220</v>
      </c>
      <c r="B7073" t="s">
        <v>76</v>
      </c>
      <c r="C7073" t="s">
        <v>7262</v>
      </c>
    </row>
    <row r="7074" spans="1:3" x14ac:dyDescent="0.35">
      <c r="A7074" t="s">
        <v>220</v>
      </c>
      <c r="B7074" t="s">
        <v>76</v>
      </c>
      <c r="C7074" t="s">
        <v>7263</v>
      </c>
    </row>
    <row r="7075" spans="1:3" x14ac:dyDescent="0.35">
      <c r="A7075" t="s">
        <v>220</v>
      </c>
      <c r="B7075" t="s">
        <v>76</v>
      </c>
      <c r="C7075" t="s">
        <v>7264</v>
      </c>
    </row>
    <row r="7076" spans="1:3" x14ac:dyDescent="0.35">
      <c r="A7076" t="s">
        <v>220</v>
      </c>
      <c r="B7076" t="s">
        <v>76</v>
      </c>
      <c r="C7076" t="s">
        <v>7265</v>
      </c>
    </row>
    <row r="7077" spans="1:3" x14ac:dyDescent="0.35">
      <c r="A7077" t="s">
        <v>220</v>
      </c>
      <c r="B7077" t="s">
        <v>76</v>
      </c>
      <c r="C7077" t="s">
        <v>7266</v>
      </c>
    </row>
    <row r="7078" spans="1:3" x14ac:dyDescent="0.35">
      <c r="A7078" t="s">
        <v>220</v>
      </c>
      <c r="B7078" t="s">
        <v>76</v>
      </c>
      <c r="C7078" t="s">
        <v>7267</v>
      </c>
    </row>
    <row r="7079" spans="1:3" x14ac:dyDescent="0.35">
      <c r="A7079" t="s">
        <v>220</v>
      </c>
      <c r="B7079" t="s">
        <v>76</v>
      </c>
      <c r="C7079" t="s">
        <v>7268</v>
      </c>
    </row>
    <row r="7080" spans="1:3" x14ac:dyDescent="0.35">
      <c r="A7080" t="s">
        <v>220</v>
      </c>
      <c r="B7080" t="s">
        <v>76</v>
      </c>
      <c r="C7080" t="s">
        <v>3334</v>
      </c>
    </row>
    <row r="7081" spans="1:3" x14ac:dyDescent="0.35">
      <c r="A7081" t="s">
        <v>220</v>
      </c>
      <c r="B7081" t="s">
        <v>76</v>
      </c>
      <c r="C7081" t="s">
        <v>7269</v>
      </c>
    </row>
    <row r="7082" spans="1:3" x14ac:dyDescent="0.35">
      <c r="A7082" t="s">
        <v>220</v>
      </c>
      <c r="B7082" t="s">
        <v>76</v>
      </c>
      <c r="C7082" t="s">
        <v>7270</v>
      </c>
    </row>
    <row r="7083" spans="1:3" x14ac:dyDescent="0.35">
      <c r="A7083" t="s">
        <v>220</v>
      </c>
      <c r="B7083" t="s">
        <v>76</v>
      </c>
      <c r="C7083" t="s">
        <v>7271</v>
      </c>
    </row>
    <row r="7084" spans="1:3" x14ac:dyDescent="0.35">
      <c r="A7084" t="s">
        <v>220</v>
      </c>
      <c r="B7084" t="s">
        <v>76</v>
      </c>
      <c r="C7084" t="s">
        <v>7272</v>
      </c>
    </row>
    <row r="7085" spans="1:3" x14ac:dyDescent="0.35">
      <c r="A7085" t="s">
        <v>220</v>
      </c>
      <c r="B7085" t="s">
        <v>76</v>
      </c>
      <c r="C7085" t="s">
        <v>7273</v>
      </c>
    </row>
    <row r="7086" spans="1:3" x14ac:dyDescent="0.35">
      <c r="A7086" t="s">
        <v>220</v>
      </c>
      <c r="B7086" t="s">
        <v>76</v>
      </c>
      <c r="C7086" t="s">
        <v>7274</v>
      </c>
    </row>
    <row r="7087" spans="1:3" x14ac:dyDescent="0.35">
      <c r="A7087" t="s">
        <v>220</v>
      </c>
      <c r="B7087" t="s">
        <v>76</v>
      </c>
      <c r="C7087" t="s">
        <v>7275</v>
      </c>
    </row>
    <row r="7088" spans="1:3" x14ac:dyDescent="0.35">
      <c r="A7088" t="s">
        <v>220</v>
      </c>
      <c r="B7088" t="s">
        <v>76</v>
      </c>
      <c r="C7088" t="s">
        <v>7276</v>
      </c>
    </row>
    <row r="7089" spans="1:3" x14ac:dyDescent="0.35">
      <c r="A7089" t="s">
        <v>220</v>
      </c>
      <c r="B7089" t="s">
        <v>76</v>
      </c>
      <c r="C7089" t="s">
        <v>7277</v>
      </c>
    </row>
    <row r="7090" spans="1:3" x14ac:dyDescent="0.35">
      <c r="A7090" t="s">
        <v>220</v>
      </c>
      <c r="B7090" t="s">
        <v>76</v>
      </c>
      <c r="C7090" t="s">
        <v>7278</v>
      </c>
    </row>
    <row r="7091" spans="1:3" x14ac:dyDescent="0.35">
      <c r="A7091" t="s">
        <v>220</v>
      </c>
      <c r="B7091" t="s">
        <v>76</v>
      </c>
      <c r="C7091" t="s">
        <v>7279</v>
      </c>
    </row>
    <row r="7092" spans="1:3" x14ac:dyDescent="0.35">
      <c r="A7092" t="s">
        <v>220</v>
      </c>
      <c r="B7092" t="s">
        <v>76</v>
      </c>
      <c r="C7092" t="s">
        <v>7280</v>
      </c>
    </row>
    <row r="7093" spans="1:3" x14ac:dyDescent="0.35">
      <c r="A7093" t="s">
        <v>220</v>
      </c>
      <c r="B7093" t="s">
        <v>76</v>
      </c>
      <c r="C7093" t="s">
        <v>7281</v>
      </c>
    </row>
    <row r="7094" spans="1:3" x14ac:dyDescent="0.35">
      <c r="A7094" t="s">
        <v>220</v>
      </c>
      <c r="B7094" t="s">
        <v>76</v>
      </c>
      <c r="C7094" t="s">
        <v>7282</v>
      </c>
    </row>
    <row r="7095" spans="1:3" x14ac:dyDescent="0.35">
      <c r="A7095" t="s">
        <v>220</v>
      </c>
      <c r="B7095" t="s">
        <v>76</v>
      </c>
      <c r="C7095" t="s">
        <v>7283</v>
      </c>
    </row>
    <row r="7096" spans="1:3" x14ac:dyDescent="0.35">
      <c r="A7096" t="s">
        <v>220</v>
      </c>
      <c r="B7096" t="s">
        <v>76</v>
      </c>
      <c r="C7096" t="s">
        <v>7284</v>
      </c>
    </row>
    <row r="7097" spans="1:3" x14ac:dyDescent="0.35">
      <c r="A7097" t="s">
        <v>220</v>
      </c>
      <c r="B7097" t="s">
        <v>76</v>
      </c>
      <c r="C7097" t="s">
        <v>7285</v>
      </c>
    </row>
    <row r="7098" spans="1:3" x14ac:dyDescent="0.35">
      <c r="A7098" t="s">
        <v>220</v>
      </c>
      <c r="B7098" t="s">
        <v>76</v>
      </c>
      <c r="C7098" t="s">
        <v>7286</v>
      </c>
    </row>
    <row r="7099" spans="1:3" x14ac:dyDescent="0.35">
      <c r="A7099" t="s">
        <v>220</v>
      </c>
      <c r="B7099" t="s">
        <v>76</v>
      </c>
      <c r="C7099" t="s">
        <v>7287</v>
      </c>
    </row>
    <row r="7100" spans="1:3" x14ac:dyDescent="0.35">
      <c r="A7100" t="s">
        <v>220</v>
      </c>
      <c r="B7100" t="s">
        <v>76</v>
      </c>
      <c r="C7100" t="s">
        <v>7288</v>
      </c>
    </row>
    <row r="7101" spans="1:3" x14ac:dyDescent="0.35">
      <c r="A7101" t="s">
        <v>220</v>
      </c>
      <c r="B7101" t="s">
        <v>76</v>
      </c>
      <c r="C7101" t="s">
        <v>7289</v>
      </c>
    </row>
    <row r="7102" spans="1:3" x14ac:dyDescent="0.35">
      <c r="A7102" t="s">
        <v>220</v>
      </c>
      <c r="B7102" t="s">
        <v>76</v>
      </c>
      <c r="C7102" t="s">
        <v>7290</v>
      </c>
    </row>
    <row r="7103" spans="1:3" x14ac:dyDescent="0.35">
      <c r="A7103" t="s">
        <v>220</v>
      </c>
      <c r="B7103" t="s">
        <v>76</v>
      </c>
      <c r="C7103" t="s">
        <v>7291</v>
      </c>
    </row>
    <row r="7104" spans="1:3" x14ac:dyDescent="0.35">
      <c r="A7104" t="s">
        <v>220</v>
      </c>
      <c r="B7104" t="s">
        <v>76</v>
      </c>
      <c r="C7104" t="s">
        <v>7292</v>
      </c>
    </row>
    <row r="7105" spans="1:3" x14ac:dyDescent="0.35">
      <c r="A7105" t="s">
        <v>220</v>
      </c>
      <c r="B7105" t="s">
        <v>76</v>
      </c>
      <c r="C7105" t="s">
        <v>7293</v>
      </c>
    </row>
    <row r="7106" spans="1:3" x14ac:dyDescent="0.35">
      <c r="A7106" t="s">
        <v>220</v>
      </c>
      <c r="B7106" t="s">
        <v>76</v>
      </c>
      <c r="C7106" t="s">
        <v>7294</v>
      </c>
    </row>
    <row r="7107" spans="1:3" x14ac:dyDescent="0.35">
      <c r="A7107" t="s">
        <v>220</v>
      </c>
      <c r="B7107" t="s">
        <v>76</v>
      </c>
      <c r="C7107" t="s">
        <v>7295</v>
      </c>
    </row>
    <row r="7108" spans="1:3" x14ac:dyDescent="0.35">
      <c r="A7108" t="s">
        <v>220</v>
      </c>
      <c r="B7108" t="s">
        <v>76</v>
      </c>
      <c r="C7108" t="s">
        <v>7296</v>
      </c>
    </row>
    <row r="7109" spans="1:3" x14ac:dyDescent="0.35">
      <c r="A7109" t="s">
        <v>220</v>
      </c>
      <c r="B7109" t="s">
        <v>76</v>
      </c>
      <c r="C7109" t="s">
        <v>7297</v>
      </c>
    </row>
    <row r="7110" spans="1:3" x14ac:dyDescent="0.35">
      <c r="A7110" t="s">
        <v>220</v>
      </c>
      <c r="B7110" t="s">
        <v>76</v>
      </c>
      <c r="C7110" t="s">
        <v>7298</v>
      </c>
    </row>
    <row r="7111" spans="1:3" x14ac:dyDescent="0.35">
      <c r="A7111" t="s">
        <v>220</v>
      </c>
      <c r="B7111" t="s">
        <v>76</v>
      </c>
      <c r="C7111" t="s">
        <v>7299</v>
      </c>
    </row>
    <row r="7112" spans="1:3" x14ac:dyDescent="0.35">
      <c r="A7112" t="s">
        <v>220</v>
      </c>
      <c r="B7112" t="s">
        <v>76</v>
      </c>
      <c r="C7112" t="s">
        <v>7300</v>
      </c>
    </row>
    <row r="7113" spans="1:3" x14ac:dyDescent="0.35">
      <c r="A7113" t="s">
        <v>220</v>
      </c>
      <c r="B7113" t="s">
        <v>76</v>
      </c>
      <c r="C7113" t="s">
        <v>7301</v>
      </c>
    </row>
    <row r="7114" spans="1:3" x14ac:dyDescent="0.35">
      <c r="A7114" t="s">
        <v>220</v>
      </c>
      <c r="B7114" t="s">
        <v>76</v>
      </c>
      <c r="C7114" t="s">
        <v>7302</v>
      </c>
    </row>
    <row r="7115" spans="1:3" x14ac:dyDescent="0.35">
      <c r="A7115" t="s">
        <v>220</v>
      </c>
      <c r="B7115" t="s">
        <v>76</v>
      </c>
      <c r="C7115" t="s">
        <v>7303</v>
      </c>
    </row>
    <row r="7116" spans="1:3" x14ac:dyDescent="0.35">
      <c r="A7116" t="s">
        <v>220</v>
      </c>
      <c r="B7116" t="s">
        <v>76</v>
      </c>
      <c r="C7116" t="s">
        <v>7304</v>
      </c>
    </row>
    <row r="7117" spans="1:3" x14ac:dyDescent="0.35">
      <c r="A7117" t="s">
        <v>220</v>
      </c>
      <c r="B7117" t="s">
        <v>76</v>
      </c>
      <c r="C7117" t="s">
        <v>7305</v>
      </c>
    </row>
    <row r="7118" spans="1:3" x14ac:dyDescent="0.35">
      <c r="A7118" t="s">
        <v>220</v>
      </c>
      <c r="B7118" t="s">
        <v>76</v>
      </c>
      <c r="C7118" t="s">
        <v>7306</v>
      </c>
    </row>
    <row r="7119" spans="1:3" x14ac:dyDescent="0.35">
      <c r="A7119" t="s">
        <v>220</v>
      </c>
      <c r="B7119" t="s">
        <v>76</v>
      </c>
      <c r="C7119" t="s">
        <v>7307</v>
      </c>
    </row>
    <row r="7120" spans="1:3" x14ac:dyDescent="0.35">
      <c r="A7120" t="s">
        <v>220</v>
      </c>
      <c r="B7120" t="s">
        <v>76</v>
      </c>
      <c r="C7120" t="s">
        <v>7308</v>
      </c>
    </row>
    <row r="7121" spans="1:3" x14ac:dyDescent="0.35">
      <c r="A7121" t="s">
        <v>220</v>
      </c>
      <c r="B7121" t="s">
        <v>76</v>
      </c>
      <c r="C7121" t="s">
        <v>7309</v>
      </c>
    </row>
    <row r="7122" spans="1:3" x14ac:dyDescent="0.35">
      <c r="A7122" t="s">
        <v>220</v>
      </c>
      <c r="B7122" t="s">
        <v>76</v>
      </c>
      <c r="C7122" t="s">
        <v>7310</v>
      </c>
    </row>
    <row r="7123" spans="1:3" x14ac:dyDescent="0.35">
      <c r="A7123" t="s">
        <v>220</v>
      </c>
      <c r="B7123" t="s">
        <v>76</v>
      </c>
      <c r="C7123" t="s">
        <v>7311</v>
      </c>
    </row>
    <row r="7124" spans="1:3" x14ac:dyDescent="0.35">
      <c r="A7124" t="s">
        <v>220</v>
      </c>
      <c r="B7124" t="s">
        <v>76</v>
      </c>
      <c r="C7124" t="s">
        <v>7312</v>
      </c>
    </row>
    <row r="7125" spans="1:3" x14ac:dyDescent="0.35">
      <c r="A7125" t="s">
        <v>220</v>
      </c>
      <c r="B7125" t="s">
        <v>76</v>
      </c>
      <c r="C7125" t="s">
        <v>7313</v>
      </c>
    </row>
    <row r="7126" spans="1:3" x14ac:dyDescent="0.35">
      <c r="A7126" t="s">
        <v>220</v>
      </c>
      <c r="B7126" t="s">
        <v>76</v>
      </c>
      <c r="C7126" t="s">
        <v>7314</v>
      </c>
    </row>
    <row r="7127" spans="1:3" x14ac:dyDescent="0.35">
      <c r="A7127" t="s">
        <v>220</v>
      </c>
      <c r="B7127" t="s">
        <v>76</v>
      </c>
      <c r="C7127" t="s">
        <v>5589</v>
      </c>
    </row>
    <row r="7128" spans="1:3" x14ac:dyDescent="0.35">
      <c r="A7128" t="s">
        <v>220</v>
      </c>
      <c r="B7128" t="s">
        <v>76</v>
      </c>
      <c r="C7128" t="s">
        <v>7315</v>
      </c>
    </row>
    <row r="7129" spans="1:3" x14ac:dyDescent="0.35">
      <c r="A7129" t="s">
        <v>220</v>
      </c>
      <c r="B7129" t="s">
        <v>76</v>
      </c>
      <c r="C7129" t="s">
        <v>7316</v>
      </c>
    </row>
    <row r="7130" spans="1:3" x14ac:dyDescent="0.35">
      <c r="A7130" t="s">
        <v>220</v>
      </c>
      <c r="B7130" t="s">
        <v>76</v>
      </c>
      <c r="C7130" t="s">
        <v>7317</v>
      </c>
    </row>
    <row r="7131" spans="1:3" x14ac:dyDescent="0.35">
      <c r="A7131" t="s">
        <v>220</v>
      </c>
      <c r="B7131" t="s">
        <v>76</v>
      </c>
      <c r="C7131" t="s">
        <v>7318</v>
      </c>
    </row>
    <row r="7132" spans="1:3" x14ac:dyDescent="0.35">
      <c r="A7132" t="s">
        <v>220</v>
      </c>
      <c r="B7132" t="s">
        <v>76</v>
      </c>
      <c r="C7132" t="s">
        <v>7319</v>
      </c>
    </row>
    <row r="7133" spans="1:3" x14ac:dyDescent="0.35">
      <c r="A7133" t="s">
        <v>220</v>
      </c>
      <c r="B7133" t="s">
        <v>76</v>
      </c>
      <c r="C7133" t="s">
        <v>7320</v>
      </c>
    </row>
    <row r="7134" spans="1:3" x14ac:dyDescent="0.35">
      <c r="A7134" t="s">
        <v>220</v>
      </c>
      <c r="B7134" t="s">
        <v>76</v>
      </c>
      <c r="C7134" t="s">
        <v>7321</v>
      </c>
    </row>
    <row r="7135" spans="1:3" x14ac:dyDescent="0.35">
      <c r="A7135" t="s">
        <v>220</v>
      </c>
      <c r="B7135" t="s">
        <v>76</v>
      </c>
      <c r="C7135" t="s">
        <v>7322</v>
      </c>
    </row>
    <row r="7136" spans="1:3" x14ac:dyDescent="0.35">
      <c r="A7136" t="s">
        <v>220</v>
      </c>
      <c r="B7136" t="s">
        <v>76</v>
      </c>
      <c r="C7136" t="s">
        <v>7323</v>
      </c>
    </row>
    <row r="7137" spans="1:3" x14ac:dyDescent="0.35">
      <c r="A7137" t="s">
        <v>220</v>
      </c>
      <c r="B7137" t="s">
        <v>76</v>
      </c>
      <c r="C7137" t="s">
        <v>7324</v>
      </c>
    </row>
    <row r="7138" spans="1:3" x14ac:dyDescent="0.35">
      <c r="A7138" t="s">
        <v>220</v>
      </c>
      <c r="B7138" t="s">
        <v>76</v>
      </c>
      <c r="C7138" t="s">
        <v>7325</v>
      </c>
    </row>
    <row r="7139" spans="1:3" x14ac:dyDescent="0.35">
      <c r="A7139" t="s">
        <v>220</v>
      </c>
      <c r="B7139" t="s">
        <v>76</v>
      </c>
      <c r="C7139" t="s">
        <v>7326</v>
      </c>
    </row>
    <row r="7140" spans="1:3" x14ac:dyDescent="0.35">
      <c r="A7140" t="s">
        <v>220</v>
      </c>
      <c r="B7140" t="s">
        <v>76</v>
      </c>
      <c r="C7140" t="s">
        <v>7327</v>
      </c>
    </row>
    <row r="7141" spans="1:3" x14ac:dyDescent="0.35">
      <c r="A7141" t="s">
        <v>220</v>
      </c>
      <c r="B7141" t="s">
        <v>76</v>
      </c>
      <c r="C7141" t="s">
        <v>7328</v>
      </c>
    </row>
    <row r="7142" spans="1:3" x14ac:dyDescent="0.35">
      <c r="A7142" t="s">
        <v>220</v>
      </c>
      <c r="B7142" t="s">
        <v>76</v>
      </c>
      <c r="C7142" t="s">
        <v>7329</v>
      </c>
    </row>
    <row r="7143" spans="1:3" x14ac:dyDescent="0.35">
      <c r="A7143" t="s">
        <v>220</v>
      </c>
      <c r="B7143" t="s">
        <v>76</v>
      </c>
      <c r="C7143" t="s">
        <v>7330</v>
      </c>
    </row>
    <row r="7144" spans="1:3" x14ac:dyDescent="0.35">
      <c r="A7144" t="s">
        <v>220</v>
      </c>
      <c r="B7144" t="s">
        <v>76</v>
      </c>
      <c r="C7144" t="s">
        <v>7331</v>
      </c>
    </row>
    <row r="7145" spans="1:3" x14ac:dyDescent="0.35">
      <c r="A7145" t="s">
        <v>220</v>
      </c>
      <c r="B7145" t="s">
        <v>76</v>
      </c>
      <c r="C7145" t="s">
        <v>7332</v>
      </c>
    </row>
    <row r="7146" spans="1:3" x14ac:dyDescent="0.35">
      <c r="A7146" t="s">
        <v>220</v>
      </c>
      <c r="B7146" t="s">
        <v>76</v>
      </c>
      <c r="C7146" t="s">
        <v>7333</v>
      </c>
    </row>
    <row r="7147" spans="1:3" x14ac:dyDescent="0.35">
      <c r="A7147" t="s">
        <v>220</v>
      </c>
      <c r="B7147" t="s">
        <v>76</v>
      </c>
      <c r="C7147" t="s">
        <v>7334</v>
      </c>
    </row>
    <row r="7148" spans="1:3" x14ac:dyDescent="0.35">
      <c r="A7148" t="s">
        <v>220</v>
      </c>
      <c r="B7148" t="s">
        <v>76</v>
      </c>
      <c r="C7148" t="s">
        <v>7335</v>
      </c>
    </row>
    <row r="7149" spans="1:3" x14ac:dyDescent="0.35">
      <c r="A7149" t="s">
        <v>220</v>
      </c>
      <c r="B7149" t="s">
        <v>76</v>
      </c>
      <c r="C7149" t="s">
        <v>7336</v>
      </c>
    </row>
    <row r="7150" spans="1:3" x14ac:dyDescent="0.35">
      <c r="A7150" t="s">
        <v>220</v>
      </c>
      <c r="B7150" t="s">
        <v>76</v>
      </c>
      <c r="C7150" t="s">
        <v>7337</v>
      </c>
    </row>
    <row r="7151" spans="1:3" x14ac:dyDescent="0.35">
      <c r="A7151" t="s">
        <v>220</v>
      </c>
      <c r="B7151" t="s">
        <v>76</v>
      </c>
      <c r="C7151" t="s">
        <v>7338</v>
      </c>
    </row>
    <row r="7152" spans="1:3" x14ac:dyDescent="0.35">
      <c r="A7152" t="s">
        <v>220</v>
      </c>
      <c r="B7152" t="s">
        <v>76</v>
      </c>
      <c r="C7152" t="s">
        <v>7339</v>
      </c>
    </row>
    <row r="7153" spans="1:3" x14ac:dyDescent="0.35">
      <c r="A7153" t="s">
        <v>220</v>
      </c>
      <c r="B7153" t="s">
        <v>76</v>
      </c>
      <c r="C7153" t="s">
        <v>7340</v>
      </c>
    </row>
    <row r="7154" spans="1:3" x14ac:dyDescent="0.35">
      <c r="A7154" t="s">
        <v>220</v>
      </c>
      <c r="B7154" t="s">
        <v>76</v>
      </c>
      <c r="C7154" t="s">
        <v>7341</v>
      </c>
    </row>
    <row r="7155" spans="1:3" x14ac:dyDescent="0.35">
      <c r="A7155" t="s">
        <v>220</v>
      </c>
      <c r="B7155" t="s">
        <v>76</v>
      </c>
      <c r="C7155" t="s">
        <v>7342</v>
      </c>
    </row>
    <row r="7156" spans="1:3" x14ac:dyDescent="0.35">
      <c r="A7156" t="s">
        <v>220</v>
      </c>
      <c r="B7156" t="s">
        <v>76</v>
      </c>
      <c r="C7156" t="s">
        <v>7343</v>
      </c>
    </row>
    <row r="7157" spans="1:3" x14ac:dyDescent="0.35">
      <c r="A7157" t="s">
        <v>220</v>
      </c>
      <c r="B7157" t="s">
        <v>76</v>
      </c>
      <c r="C7157" t="s">
        <v>7344</v>
      </c>
    </row>
    <row r="7158" spans="1:3" x14ac:dyDescent="0.35">
      <c r="A7158" t="s">
        <v>220</v>
      </c>
      <c r="B7158" t="s">
        <v>76</v>
      </c>
      <c r="C7158" t="s">
        <v>7345</v>
      </c>
    </row>
    <row r="7159" spans="1:3" x14ac:dyDescent="0.35">
      <c r="A7159" t="s">
        <v>220</v>
      </c>
      <c r="B7159" t="s">
        <v>76</v>
      </c>
      <c r="C7159" t="s">
        <v>76</v>
      </c>
    </row>
    <row r="7160" spans="1:3" x14ac:dyDescent="0.35">
      <c r="A7160" t="s">
        <v>220</v>
      </c>
      <c r="B7160" t="s">
        <v>76</v>
      </c>
      <c r="C7160" t="s">
        <v>7346</v>
      </c>
    </row>
    <row r="7161" spans="1:3" x14ac:dyDescent="0.35">
      <c r="A7161" t="s">
        <v>220</v>
      </c>
      <c r="B7161" t="s">
        <v>76</v>
      </c>
      <c r="C7161" t="s">
        <v>7347</v>
      </c>
    </row>
    <row r="7162" spans="1:3" x14ac:dyDescent="0.35">
      <c r="A7162" t="s">
        <v>220</v>
      </c>
      <c r="B7162" t="s">
        <v>76</v>
      </c>
      <c r="C7162" t="s">
        <v>7348</v>
      </c>
    </row>
    <row r="7163" spans="1:3" x14ac:dyDescent="0.35">
      <c r="A7163" t="s">
        <v>220</v>
      </c>
      <c r="B7163" t="s">
        <v>76</v>
      </c>
      <c r="C7163" t="s">
        <v>7349</v>
      </c>
    </row>
    <row r="7164" spans="1:3" x14ac:dyDescent="0.35">
      <c r="A7164" t="s">
        <v>220</v>
      </c>
      <c r="B7164" t="s">
        <v>76</v>
      </c>
      <c r="C7164" t="s">
        <v>7350</v>
      </c>
    </row>
    <row r="7165" spans="1:3" x14ac:dyDescent="0.35">
      <c r="A7165" t="s">
        <v>220</v>
      </c>
      <c r="B7165" t="s">
        <v>76</v>
      </c>
      <c r="C7165" t="s">
        <v>7351</v>
      </c>
    </row>
    <row r="7166" spans="1:3" x14ac:dyDescent="0.35">
      <c r="A7166" t="s">
        <v>220</v>
      </c>
      <c r="B7166" t="s">
        <v>76</v>
      </c>
      <c r="C7166" t="s">
        <v>7352</v>
      </c>
    </row>
    <row r="7167" spans="1:3" x14ac:dyDescent="0.35">
      <c r="A7167" t="s">
        <v>220</v>
      </c>
      <c r="B7167" t="s">
        <v>76</v>
      </c>
      <c r="C7167" t="s">
        <v>7353</v>
      </c>
    </row>
    <row r="7168" spans="1:3" x14ac:dyDescent="0.35">
      <c r="A7168" t="s">
        <v>220</v>
      </c>
      <c r="B7168" t="s">
        <v>76</v>
      </c>
      <c r="C7168" t="s">
        <v>7354</v>
      </c>
    </row>
    <row r="7169" spans="1:3" x14ac:dyDescent="0.35">
      <c r="A7169" t="s">
        <v>220</v>
      </c>
      <c r="B7169" t="s">
        <v>76</v>
      </c>
      <c r="C7169" t="s">
        <v>7355</v>
      </c>
    </row>
    <row r="7170" spans="1:3" x14ac:dyDescent="0.35">
      <c r="A7170" t="s">
        <v>220</v>
      </c>
      <c r="B7170" t="s">
        <v>76</v>
      </c>
      <c r="C7170" t="s">
        <v>7356</v>
      </c>
    </row>
    <row r="7171" spans="1:3" x14ac:dyDescent="0.35">
      <c r="A7171" t="s">
        <v>221</v>
      </c>
      <c r="B7171" t="s">
        <v>67</v>
      </c>
      <c r="C7171" t="s">
        <v>7357</v>
      </c>
    </row>
    <row r="7172" spans="1:3" x14ac:dyDescent="0.35">
      <c r="A7172" t="s">
        <v>221</v>
      </c>
      <c r="B7172" t="s">
        <v>67</v>
      </c>
      <c r="C7172" t="s">
        <v>7358</v>
      </c>
    </row>
    <row r="7173" spans="1:3" x14ac:dyDescent="0.35">
      <c r="A7173" t="s">
        <v>221</v>
      </c>
      <c r="B7173" t="s">
        <v>67</v>
      </c>
      <c r="C7173" t="s">
        <v>7359</v>
      </c>
    </row>
    <row r="7174" spans="1:3" x14ac:dyDescent="0.35">
      <c r="A7174" t="s">
        <v>221</v>
      </c>
      <c r="B7174" t="s">
        <v>67</v>
      </c>
      <c r="C7174" t="s">
        <v>7360</v>
      </c>
    </row>
    <row r="7175" spans="1:3" x14ac:dyDescent="0.35">
      <c r="A7175" t="s">
        <v>221</v>
      </c>
      <c r="B7175" t="s">
        <v>67</v>
      </c>
      <c r="C7175" t="s">
        <v>7361</v>
      </c>
    </row>
    <row r="7176" spans="1:3" x14ac:dyDescent="0.35">
      <c r="A7176" t="s">
        <v>221</v>
      </c>
      <c r="B7176" t="s">
        <v>67</v>
      </c>
      <c r="C7176" t="s">
        <v>7362</v>
      </c>
    </row>
    <row r="7177" spans="1:3" x14ac:dyDescent="0.35">
      <c r="A7177" t="s">
        <v>221</v>
      </c>
      <c r="B7177" t="s">
        <v>67</v>
      </c>
      <c r="C7177" t="s">
        <v>7363</v>
      </c>
    </row>
    <row r="7178" spans="1:3" x14ac:dyDescent="0.35">
      <c r="A7178" t="s">
        <v>221</v>
      </c>
      <c r="B7178" t="s">
        <v>67</v>
      </c>
      <c r="C7178" t="s">
        <v>7364</v>
      </c>
    </row>
    <row r="7179" spans="1:3" x14ac:dyDescent="0.35">
      <c r="A7179" t="s">
        <v>221</v>
      </c>
      <c r="B7179" t="s">
        <v>67</v>
      </c>
      <c r="C7179" t="s">
        <v>7365</v>
      </c>
    </row>
    <row r="7180" spans="1:3" x14ac:dyDescent="0.35">
      <c r="A7180" t="s">
        <v>221</v>
      </c>
      <c r="B7180" t="s">
        <v>67</v>
      </c>
      <c r="C7180" t="s">
        <v>7366</v>
      </c>
    </row>
    <row r="7181" spans="1:3" x14ac:dyDescent="0.35">
      <c r="A7181" t="s">
        <v>221</v>
      </c>
      <c r="B7181" t="s">
        <v>67</v>
      </c>
      <c r="C7181" t="s">
        <v>7367</v>
      </c>
    </row>
    <row r="7182" spans="1:3" x14ac:dyDescent="0.35">
      <c r="A7182" t="s">
        <v>221</v>
      </c>
      <c r="B7182" t="s">
        <v>67</v>
      </c>
      <c r="C7182" t="s">
        <v>7368</v>
      </c>
    </row>
    <row r="7183" spans="1:3" x14ac:dyDescent="0.35">
      <c r="A7183" t="s">
        <v>221</v>
      </c>
      <c r="B7183" t="s">
        <v>67</v>
      </c>
      <c r="C7183" t="s">
        <v>7369</v>
      </c>
    </row>
    <row r="7184" spans="1:3" x14ac:dyDescent="0.35">
      <c r="A7184" t="s">
        <v>221</v>
      </c>
      <c r="B7184" t="s">
        <v>67</v>
      </c>
      <c r="C7184" t="s">
        <v>7370</v>
      </c>
    </row>
    <row r="7185" spans="1:3" x14ac:dyDescent="0.35">
      <c r="A7185" t="s">
        <v>221</v>
      </c>
      <c r="B7185" t="s">
        <v>67</v>
      </c>
      <c r="C7185" t="s">
        <v>7371</v>
      </c>
    </row>
    <row r="7186" spans="1:3" x14ac:dyDescent="0.35">
      <c r="A7186" t="s">
        <v>221</v>
      </c>
      <c r="B7186" t="s">
        <v>67</v>
      </c>
      <c r="C7186" t="s">
        <v>7372</v>
      </c>
    </row>
    <row r="7187" spans="1:3" x14ac:dyDescent="0.35">
      <c r="A7187" t="s">
        <v>221</v>
      </c>
      <c r="B7187" t="s">
        <v>67</v>
      </c>
      <c r="C7187" t="s">
        <v>7373</v>
      </c>
    </row>
    <row r="7188" spans="1:3" x14ac:dyDescent="0.35">
      <c r="A7188" t="s">
        <v>221</v>
      </c>
      <c r="B7188" t="s">
        <v>67</v>
      </c>
      <c r="C7188" t="s">
        <v>7374</v>
      </c>
    </row>
    <row r="7189" spans="1:3" x14ac:dyDescent="0.35">
      <c r="A7189" t="s">
        <v>221</v>
      </c>
      <c r="B7189" t="s">
        <v>67</v>
      </c>
      <c r="C7189" t="s">
        <v>7375</v>
      </c>
    </row>
    <row r="7190" spans="1:3" x14ac:dyDescent="0.35">
      <c r="A7190" t="s">
        <v>221</v>
      </c>
      <c r="B7190" t="s">
        <v>67</v>
      </c>
      <c r="C7190" t="s">
        <v>7376</v>
      </c>
    </row>
    <row r="7191" spans="1:3" x14ac:dyDescent="0.35">
      <c r="A7191" t="s">
        <v>221</v>
      </c>
      <c r="B7191" t="s">
        <v>67</v>
      </c>
      <c r="C7191" t="s">
        <v>7377</v>
      </c>
    </row>
    <row r="7192" spans="1:3" x14ac:dyDescent="0.35">
      <c r="A7192" t="s">
        <v>221</v>
      </c>
      <c r="B7192" t="s">
        <v>67</v>
      </c>
      <c r="C7192" t="s">
        <v>7378</v>
      </c>
    </row>
    <row r="7193" spans="1:3" x14ac:dyDescent="0.35">
      <c r="A7193" t="s">
        <v>221</v>
      </c>
      <c r="B7193" t="s">
        <v>67</v>
      </c>
      <c r="C7193" t="s">
        <v>7379</v>
      </c>
    </row>
    <row r="7194" spans="1:3" x14ac:dyDescent="0.35">
      <c r="A7194" t="s">
        <v>221</v>
      </c>
      <c r="B7194" t="s">
        <v>67</v>
      </c>
      <c r="C7194" t="s">
        <v>7380</v>
      </c>
    </row>
    <row r="7195" spans="1:3" x14ac:dyDescent="0.35">
      <c r="A7195" t="s">
        <v>221</v>
      </c>
      <c r="B7195" t="s">
        <v>67</v>
      </c>
      <c r="C7195" t="s">
        <v>7381</v>
      </c>
    </row>
    <row r="7196" spans="1:3" x14ac:dyDescent="0.35">
      <c r="A7196" t="s">
        <v>221</v>
      </c>
      <c r="B7196" t="s">
        <v>67</v>
      </c>
      <c r="C7196" t="s">
        <v>7382</v>
      </c>
    </row>
    <row r="7197" spans="1:3" x14ac:dyDescent="0.35">
      <c r="A7197" t="s">
        <v>221</v>
      </c>
      <c r="B7197" t="s">
        <v>67</v>
      </c>
      <c r="C7197" t="s">
        <v>7383</v>
      </c>
    </row>
    <row r="7198" spans="1:3" x14ac:dyDescent="0.35">
      <c r="A7198" t="s">
        <v>221</v>
      </c>
      <c r="B7198" t="s">
        <v>67</v>
      </c>
      <c r="C7198" t="s">
        <v>7384</v>
      </c>
    </row>
    <row r="7199" spans="1:3" x14ac:dyDescent="0.35">
      <c r="A7199" t="s">
        <v>221</v>
      </c>
      <c r="B7199" t="s">
        <v>67</v>
      </c>
      <c r="C7199" t="s">
        <v>7385</v>
      </c>
    </row>
    <row r="7200" spans="1:3" x14ac:dyDescent="0.35">
      <c r="A7200" t="s">
        <v>221</v>
      </c>
      <c r="B7200" t="s">
        <v>67</v>
      </c>
      <c r="C7200" t="s">
        <v>7386</v>
      </c>
    </row>
    <row r="7201" spans="1:3" x14ac:dyDescent="0.35">
      <c r="A7201" t="s">
        <v>221</v>
      </c>
      <c r="B7201" t="s">
        <v>67</v>
      </c>
      <c r="C7201" t="s">
        <v>7387</v>
      </c>
    </row>
    <row r="7202" spans="1:3" x14ac:dyDescent="0.35">
      <c r="A7202" t="s">
        <v>221</v>
      </c>
      <c r="B7202" t="s">
        <v>67</v>
      </c>
      <c r="C7202" t="s">
        <v>7388</v>
      </c>
    </row>
    <row r="7203" spans="1:3" x14ac:dyDescent="0.35">
      <c r="A7203" t="s">
        <v>221</v>
      </c>
      <c r="B7203" t="s">
        <v>67</v>
      </c>
      <c r="C7203" t="s">
        <v>7389</v>
      </c>
    </row>
    <row r="7204" spans="1:3" x14ac:dyDescent="0.35">
      <c r="A7204" t="s">
        <v>221</v>
      </c>
      <c r="B7204" t="s">
        <v>67</v>
      </c>
      <c r="C7204" t="s">
        <v>7390</v>
      </c>
    </row>
    <row r="7205" spans="1:3" x14ac:dyDescent="0.35">
      <c r="A7205" t="s">
        <v>221</v>
      </c>
      <c r="B7205" t="s">
        <v>67</v>
      </c>
      <c r="C7205" t="s">
        <v>7391</v>
      </c>
    </row>
    <row r="7206" spans="1:3" x14ac:dyDescent="0.35">
      <c r="A7206" t="s">
        <v>221</v>
      </c>
      <c r="B7206" t="s">
        <v>67</v>
      </c>
      <c r="C7206" t="s">
        <v>7392</v>
      </c>
    </row>
    <row r="7207" spans="1:3" x14ac:dyDescent="0.35">
      <c r="A7207" t="s">
        <v>221</v>
      </c>
      <c r="B7207" t="s">
        <v>67</v>
      </c>
      <c r="C7207" t="s">
        <v>7393</v>
      </c>
    </row>
    <row r="7208" spans="1:3" x14ac:dyDescent="0.35">
      <c r="A7208" t="s">
        <v>221</v>
      </c>
      <c r="B7208" t="s">
        <v>67</v>
      </c>
      <c r="C7208" t="s">
        <v>7394</v>
      </c>
    </row>
    <row r="7209" spans="1:3" x14ac:dyDescent="0.35">
      <c r="A7209" t="s">
        <v>221</v>
      </c>
      <c r="B7209" t="s">
        <v>67</v>
      </c>
      <c r="C7209" t="s">
        <v>67</v>
      </c>
    </row>
    <row r="7210" spans="1:3" x14ac:dyDescent="0.35">
      <c r="A7210" t="s">
        <v>221</v>
      </c>
      <c r="B7210" t="s">
        <v>67</v>
      </c>
      <c r="C7210" t="s">
        <v>7395</v>
      </c>
    </row>
    <row r="7211" spans="1:3" x14ac:dyDescent="0.35">
      <c r="A7211" t="s">
        <v>221</v>
      </c>
      <c r="B7211" t="s">
        <v>67</v>
      </c>
      <c r="C7211" t="s">
        <v>7396</v>
      </c>
    </row>
    <row r="7212" spans="1:3" x14ac:dyDescent="0.35">
      <c r="A7212" t="s">
        <v>221</v>
      </c>
      <c r="B7212" t="s">
        <v>67</v>
      </c>
      <c r="C7212" t="s">
        <v>7397</v>
      </c>
    </row>
    <row r="7213" spans="1:3" x14ac:dyDescent="0.35">
      <c r="A7213" t="s">
        <v>221</v>
      </c>
      <c r="B7213" t="s">
        <v>67</v>
      </c>
      <c r="C7213" t="s">
        <v>7398</v>
      </c>
    </row>
    <row r="7214" spans="1:3" x14ac:dyDescent="0.35">
      <c r="A7214" t="s">
        <v>221</v>
      </c>
      <c r="B7214" t="s">
        <v>67</v>
      </c>
      <c r="C7214" t="s">
        <v>7399</v>
      </c>
    </row>
    <row r="7215" spans="1:3" x14ac:dyDescent="0.35">
      <c r="A7215" t="s">
        <v>221</v>
      </c>
      <c r="B7215" t="s">
        <v>67</v>
      </c>
      <c r="C7215" t="s">
        <v>7400</v>
      </c>
    </row>
    <row r="7216" spans="1:3" x14ac:dyDescent="0.35">
      <c r="A7216" t="s">
        <v>221</v>
      </c>
      <c r="B7216" t="s">
        <v>67</v>
      </c>
      <c r="C7216" t="s">
        <v>7401</v>
      </c>
    </row>
    <row r="7217" spans="1:3" x14ac:dyDescent="0.35">
      <c r="A7217" t="s">
        <v>221</v>
      </c>
      <c r="B7217" t="s">
        <v>67</v>
      </c>
      <c r="C7217" t="s">
        <v>7402</v>
      </c>
    </row>
    <row r="7218" spans="1:3" x14ac:dyDescent="0.35">
      <c r="A7218" t="s">
        <v>221</v>
      </c>
      <c r="B7218" t="s">
        <v>67</v>
      </c>
      <c r="C7218" t="s">
        <v>7403</v>
      </c>
    </row>
    <row r="7219" spans="1:3" x14ac:dyDescent="0.35">
      <c r="A7219" t="s">
        <v>221</v>
      </c>
      <c r="B7219" t="s">
        <v>67</v>
      </c>
      <c r="C7219" t="s">
        <v>7404</v>
      </c>
    </row>
    <row r="7220" spans="1:3" x14ac:dyDescent="0.35">
      <c r="A7220" t="s">
        <v>221</v>
      </c>
      <c r="B7220" t="s">
        <v>67</v>
      </c>
      <c r="C7220" t="s">
        <v>7405</v>
      </c>
    </row>
    <row r="7221" spans="1:3" x14ac:dyDescent="0.35">
      <c r="A7221" t="s">
        <v>221</v>
      </c>
      <c r="B7221" t="s">
        <v>67</v>
      </c>
      <c r="C7221" t="s">
        <v>7406</v>
      </c>
    </row>
    <row r="7222" spans="1:3" x14ac:dyDescent="0.35">
      <c r="A7222" t="s">
        <v>221</v>
      </c>
      <c r="B7222" t="s">
        <v>67</v>
      </c>
      <c r="C7222" t="s">
        <v>7407</v>
      </c>
    </row>
    <row r="7223" spans="1:3" x14ac:dyDescent="0.35">
      <c r="A7223" t="s">
        <v>221</v>
      </c>
      <c r="B7223" t="s">
        <v>67</v>
      </c>
      <c r="C7223" t="s">
        <v>7408</v>
      </c>
    </row>
    <row r="7224" spans="1:3" x14ac:dyDescent="0.35">
      <c r="A7224" t="s">
        <v>221</v>
      </c>
      <c r="B7224" t="s">
        <v>67</v>
      </c>
      <c r="C7224" t="s">
        <v>7409</v>
      </c>
    </row>
    <row r="7225" spans="1:3" x14ac:dyDescent="0.35">
      <c r="A7225" t="s">
        <v>221</v>
      </c>
      <c r="B7225" t="s">
        <v>67</v>
      </c>
      <c r="C7225" t="s">
        <v>7410</v>
      </c>
    </row>
    <row r="7226" spans="1:3" x14ac:dyDescent="0.35">
      <c r="A7226" t="s">
        <v>221</v>
      </c>
      <c r="B7226" t="s">
        <v>67</v>
      </c>
      <c r="C7226" t="s">
        <v>7411</v>
      </c>
    </row>
    <row r="7227" spans="1:3" x14ac:dyDescent="0.35">
      <c r="A7227" t="s">
        <v>221</v>
      </c>
      <c r="B7227" t="s">
        <v>67</v>
      </c>
      <c r="C7227" t="s">
        <v>7412</v>
      </c>
    </row>
    <row r="7228" spans="1:3" x14ac:dyDescent="0.35">
      <c r="A7228" t="s">
        <v>221</v>
      </c>
      <c r="B7228" t="s">
        <v>67</v>
      </c>
      <c r="C7228" t="s">
        <v>7413</v>
      </c>
    </row>
    <row r="7229" spans="1:3" x14ac:dyDescent="0.35">
      <c r="A7229" t="s">
        <v>221</v>
      </c>
      <c r="B7229" t="s">
        <v>67</v>
      </c>
      <c r="C7229" t="s">
        <v>7414</v>
      </c>
    </row>
    <row r="7230" spans="1:3" x14ac:dyDescent="0.35">
      <c r="A7230" t="s">
        <v>221</v>
      </c>
      <c r="B7230" t="s">
        <v>248</v>
      </c>
      <c r="C7230" t="s">
        <v>7415</v>
      </c>
    </row>
    <row r="7231" spans="1:3" x14ac:dyDescent="0.35">
      <c r="A7231" t="s">
        <v>221</v>
      </c>
      <c r="B7231" t="s">
        <v>248</v>
      </c>
      <c r="C7231" t="s">
        <v>7416</v>
      </c>
    </row>
    <row r="7232" spans="1:3" x14ac:dyDescent="0.35">
      <c r="A7232" t="s">
        <v>221</v>
      </c>
      <c r="B7232" t="s">
        <v>248</v>
      </c>
      <c r="C7232" t="s">
        <v>7417</v>
      </c>
    </row>
    <row r="7233" spans="1:3" x14ac:dyDescent="0.35">
      <c r="A7233" t="s">
        <v>221</v>
      </c>
      <c r="B7233" t="s">
        <v>248</v>
      </c>
      <c r="C7233" t="s">
        <v>7418</v>
      </c>
    </row>
    <row r="7234" spans="1:3" x14ac:dyDescent="0.35">
      <c r="A7234" t="s">
        <v>221</v>
      </c>
      <c r="B7234" t="s">
        <v>248</v>
      </c>
      <c r="C7234" t="s">
        <v>7419</v>
      </c>
    </row>
    <row r="7235" spans="1:3" x14ac:dyDescent="0.35">
      <c r="A7235" t="s">
        <v>221</v>
      </c>
      <c r="B7235" t="s">
        <v>248</v>
      </c>
      <c r="C7235" t="s">
        <v>7420</v>
      </c>
    </row>
    <row r="7236" spans="1:3" x14ac:dyDescent="0.35">
      <c r="A7236" t="s">
        <v>221</v>
      </c>
      <c r="B7236" t="s">
        <v>248</v>
      </c>
      <c r="C7236" t="s">
        <v>7421</v>
      </c>
    </row>
    <row r="7237" spans="1:3" x14ac:dyDescent="0.35">
      <c r="A7237" t="s">
        <v>221</v>
      </c>
      <c r="B7237" t="s">
        <v>248</v>
      </c>
      <c r="C7237" t="s">
        <v>7422</v>
      </c>
    </row>
    <row r="7238" spans="1:3" x14ac:dyDescent="0.35">
      <c r="A7238" t="s">
        <v>221</v>
      </c>
      <c r="B7238" t="s">
        <v>248</v>
      </c>
      <c r="C7238" t="s">
        <v>7423</v>
      </c>
    </row>
    <row r="7239" spans="1:3" x14ac:dyDescent="0.35">
      <c r="A7239" t="s">
        <v>221</v>
      </c>
      <c r="B7239" t="s">
        <v>248</v>
      </c>
      <c r="C7239" t="s">
        <v>7424</v>
      </c>
    </row>
    <row r="7240" spans="1:3" x14ac:dyDescent="0.35">
      <c r="A7240" t="s">
        <v>221</v>
      </c>
      <c r="B7240" t="s">
        <v>248</v>
      </c>
      <c r="C7240" t="s">
        <v>7425</v>
      </c>
    </row>
    <row r="7241" spans="1:3" x14ac:dyDescent="0.35">
      <c r="A7241" t="s">
        <v>221</v>
      </c>
      <c r="B7241" t="s">
        <v>248</v>
      </c>
      <c r="C7241" t="s">
        <v>7426</v>
      </c>
    </row>
    <row r="7242" spans="1:3" x14ac:dyDescent="0.35">
      <c r="A7242" t="s">
        <v>221</v>
      </c>
      <c r="B7242" t="s">
        <v>248</v>
      </c>
      <c r="C7242" t="s">
        <v>7427</v>
      </c>
    </row>
    <row r="7243" spans="1:3" x14ac:dyDescent="0.35">
      <c r="A7243" t="s">
        <v>221</v>
      </c>
      <c r="B7243" t="s">
        <v>248</v>
      </c>
      <c r="C7243" t="s">
        <v>7428</v>
      </c>
    </row>
    <row r="7244" spans="1:3" x14ac:dyDescent="0.35">
      <c r="A7244" t="s">
        <v>221</v>
      </c>
      <c r="B7244" t="s">
        <v>248</v>
      </c>
      <c r="C7244" t="s">
        <v>7429</v>
      </c>
    </row>
    <row r="7245" spans="1:3" x14ac:dyDescent="0.35">
      <c r="A7245" t="s">
        <v>221</v>
      </c>
      <c r="B7245" t="s">
        <v>248</v>
      </c>
      <c r="C7245" t="s">
        <v>7430</v>
      </c>
    </row>
    <row r="7246" spans="1:3" x14ac:dyDescent="0.35">
      <c r="A7246" t="s">
        <v>221</v>
      </c>
      <c r="B7246" t="s">
        <v>248</v>
      </c>
      <c r="C7246" t="s">
        <v>7431</v>
      </c>
    </row>
    <row r="7247" spans="1:3" x14ac:dyDescent="0.35">
      <c r="A7247" t="s">
        <v>221</v>
      </c>
      <c r="B7247" t="s">
        <v>248</v>
      </c>
      <c r="C7247" t="s">
        <v>7432</v>
      </c>
    </row>
    <row r="7248" spans="1:3" x14ac:dyDescent="0.35">
      <c r="A7248" t="s">
        <v>221</v>
      </c>
      <c r="B7248" t="s">
        <v>248</v>
      </c>
      <c r="C7248" t="s">
        <v>7433</v>
      </c>
    </row>
    <row r="7249" spans="1:3" x14ac:dyDescent="0.35">
      <c r="A7249" t="s">
        <v>221</v>
      </c>
      <c r="B7249" t="s">
        <v>248</v>
      </c>
      <c r="C7249" t="s">
        <v>7434</v>
      </c>
    </row>
    <row r="7250" spans="1:3" x14ac:dyDescent="0.35">
      <c r="A7250" t="s">
        <v>221</v>
      </c>
      <c r="B7250" t="s">
        <v>248</v>
      </c>
      <c r="C7250" t="s">
        <v>7435</v>
      </c>
    </row>
    <row r="7251" spans="1:3" x14ac:dyDescent="0.35">
      <c r="A7251" t="s">
        <v>221</v>
      </c>
      <c r="B7251" t="s">
        <v>248</v>
      </c>
      <c r="C7251" t="s">
        <v>7436</v>
      </c>
    </row>
    <row r="7252" spans="1:3" x14ac:dyDescent="0.35">
      <c r="A7252" t="s">
        <v>221</v>
      </c>
      <c r="B7252" t="s">
        <v>248</v>
      </c>
      <c r="C7252" t="s">
        <v>7437</v>
      </c>
    </row>
    <row r="7253" spans="1:3" x14ac:dyDescent="0.35">
      <c r="A7253" t="s">
        <v>221</v>
      </c>
      <c r="B7253" t="s">
        <v>248</v>
      </c>
      <c r="C7253" t="s">
        <v>7438</v>
      </c>
    </row>
    <row r="7254" spans="1:3" x14ac:dyDescent="0.35">
      <c r="A7254" t="s">
        <v>221</v>
      </c>
      <c r="B7254" t="s">
        <v>248</v>
      </c>
      <c r="C7254" t="s">
        <v>7439</v>
      </c>
    </row>
    <row r="7255" spans="1:3" x14ac:dyDescent="0.35">
      <c r="A7255" t="s">
        <v>221</v>
      </c>
      <c r="B7255" t="s">
        <v>248</v>
      </c>
      <c r="C7255" t="s">
        <v>7440</v>
      </c>
    </row>
    <row r="7256" spans="1:3" x14ac:dyDescent="0.35">
      <c r="A7256" t="s">
        <v>221</v>
      </c>
      <c r="B7256" t="s">
        <v>248</v>
      </c>
      <c r="C7256" t="s">
        <v>7441</v>
      </c>
    </row>
    <row r="7257" spans="1:3" x14ac:dyDescent="0.35">
      <c r="A7257" t="s">
        <v>221</v>
      </c>
      <c r="B7257" t="s">
        <v>248</v>
      </c>
      <c r="C7257" t="s">
        <v>7442</v>
      </c>
    </row>
    <row r="7258" spans="1:3" x14ac:dyDescent="0.35">
      <c r="A7258" t="s">
        <v>221</v>
      </c>
      <c r="B7258" t="s">
        <v>248</v>
      </c>
      <c r="C7258" t="s">
        <v>7443</v>
      </c>
    </row>
    <row r="7259" spans="1:3" x14ac:dyDescent="0.35">
      <c r="A7259" t="s">
        <v>221</v>
      </c>
      <c r="B7259" t="s">
        <v>248</v>
      </c>
      <c r="C7259" t="s">
        <v>7444</v>
      </c>
    </row>
    <row r="7260" spans="1:3" x14ac:dyDescent="0.35">
      <c r="A7260" t="s">
        <v>221</v>
      </c>
      <c r="B7260" t="s">
        <v>248</v>
      </c>
      <c r="C7260" t="s">
        <v>7445</v>
      </c>
    </row>
    <row r="7261" spans="1:3" x14ac:dyDescent="0.35">
      <c r="A7261" t="s">
        <v>221</v>
      </c>
      <c r="B7261" t="s">
        <v>248</v>
      </c>
      <c r="C7261" t="s">
        <v>7446</v>
      </c>
    </row>
    <row r="7262" spans="1:3" x14ac:dyDescent="0.35">
      <c r="A7262" t="s">
        <v>221</v>
      </c>
      <c r="B7262" t="s">
        <v>248</v>
      </c>
      <c r="C7262" t="s">
        <v>248</v>
      </c>
    </row>
    <row r="7263" spans="1:3" x14ac:dyDescent="0.35">
      <c r="A7263" t="s">
        <v>222</v>
      </c>
      <c r="B7263" t="s">
        <v>222</v>
      </c>
      <c r="C7263" t="s">
        <v>7447</v>
      </c>
    </row>
    <row r="7264" spans="1:3" x14ac:dyDescent="0.35">
      <c r="A7264" t="s">
        <v>222</v>
      </c>
      <c r="B7264" t="s">
        <v>222</v>
      </c>
      <c r="C7264" t="s">
        <v>7448</v>
      </c>
    </row>
    <row r="7265" spans="1:3" x14ac:dyDescent="0.35">
      <c r="A7265" t="s">
        <v>222</v>
      </c>
      <c r="B7265" t="s">
        <v>222</v>
      </c>
      <c r="C7265" t="s">
        <v>7449</v>
      </c>
    </row>
    <row r="7266" spans="1:3" x14ac:dyDescent="0.35">
      <c r="A7266" t="s">
        <v>222</v>
      </c>
      <c r="B7266" t="s">
        <v>222</v>
      </c>
      <c r="C7266" t="s">
        <v>7450</v>
      </c>
    </row>
    <row r="7267" spans="1:3" x14ac:dyDescent="0.35">
      <c r="A7267" t="s">
        <v>222</v>
      </c>
      <c r="B7267" t="s">
        <v>222</v>
      </c>
      <c r="C7267" t="s">
        <v>7451</v>
      </c>
    </row>
    <row r="7268" spans="1:3" x14ac:dyDescent="0.35">
      <c r="A7268" t="s">
        <v>222</v>
      </c>
      <c r="B7268" t="s">
        <v>222</v>
      </c>
      <c r="C7268" t="s">
        <v>7452</v>
      </c>
    </row>
    <row r="7269" spans="1:3" x14ac:dyDescent="0.35">
      <c r="A7269" t="s">
        <v>222</v>
      </c>
      <c r="B7269" t="s">
        <v>222</v>
      </c>
      <c r="C7269" t="s">
        <v>7453</v>
      </c>
    </row>
    <row r="7270" spans="1:3" x14ac:dyDescent="0.35">
      <c r="A7270" t="s">
        <v>222</v>
      </c>
      <c r="B7270" t="s">
        <v>222</v>
      </c>
      <c r="C7270" t="s">
        <v>7454</v>
      </c>
    </row>
    <row r="7271" spans="1:3" x14ac:dyDescent="0.35">
      <c r="A7271" t="s">
        <v>222</v>
      </c>
      <c r="B7271" t="s">
        <v>222</v>
      </c>
      <c r="C7271" t="s">
        <v>7455</v>
      </c>
    </row>
    <row r="7272" spans="1:3" x14ac:dyDescent="0.35">
      <c r="A7272" t="s">
        <v>222</v>
      </c>
      <c r="B7272" t="s">
        <v>222</v>
      </c>
      <c r="C7272" t="s">
        <v>7456</v>
      </c>
    </row>
    <row r="7273" spans="1:3" x14ac:dyDescent="0.35">
      <c r="A7273" t="s">
        <v>222</v>
      </c>
      <c r="B7273" t="s">
        <v>222</v>
      </c>
      <c r="C7273" t="s">
        <v>7457</v>
      </c>
    </row>
    <row r="7274" spans="1:3" x14ac:dyDescent="0.35">
      <c r="A7274" t="s">
        <v>222</v>
      </c>
      <c r="B7274" t="s">
        <v>222</v>
      </c>
      <c r="C7274" t="s">
        <v>7458</v>
      </c>
    </row>
    <row r="7275" spans="1:3" x14ac:dyDescent="0.35">
      <c r="A7275" t="s">
        <v>222</v>
      </c>
      <c r="B7275" t="s">
        <v>222</v>
      </c>
      <c r="C7275" t="s">
        <v>7459</v>
      </c>
    </row>
    <row r="7276" spans="1:3" x14ac:dyDescent="0.35">
      <c r="A7276" t="s">
        <v>222</v>
      </c>
      <c r="B7276" t="s">
        <v>222</v>
      </c>
      <c r="C7276" t="s">
        <v>7460</v>
      </c>
    </row>
    <row r="7277" spans="1:3" x14ac:dyDescent="0.35">
      <c r="A7277" t="s">
        <v>222</v>
      </c>
      <c r="B7277" t="s">
        <v>222</v>
      </c>
      <c r="C7277" t="s">
        <v>7461</v>
      </c>
    </row>
    <row r="7278" spans="1:3" x14ac:dyDescent="0.35">
      <c r="A7278" t="s">
        <v>222</v>
      </c>
      <c r="B7278" t="s">
        <v>222</v>
      </c>
      <c r="C7278" t="s">
        <v>7462</v>
      </c>
    </row>
    <row r="7279" spans="1:3" x14ac:dyDescent="0.35">
      <c r="A7279" t="s">
        <v>222</v>
      </c>
      <c r="B7279" t="s">
        <v>222</v>
      </c>
      <c r="C7279" t="s">
        <v>7463</v>
      </c>
    </row>
    <row r="7280" spans="1:3" x14ac:dyDescent="0.35">
      <c r="A7280" t="s">
        <v>222</v>
      </c>
      <c r="B7280" t="s">
        <v>222</v>
      </c>
      <c r="C7280" t="s">
        <v>7464</v>
      </c>
    </row>
    <row r="7281" spans="1:3" x14ac:dyDescent="0.35">
      <c r="A7281" t="s">
        <v>222</v>
      </c>
      <c r="B7281" t="s">
        <v>222</v>
      </c>
      <c r="C7281" t="s">
        <v>7465</v>
      </c>
    </row>
    <row r="7282" spans="1:3" x14ac:dyDescent="0.35">
      <c r="A7282" t="s">
        <v>222</v>
      </c>
      <c r="B7282" t="s">
        <v>222</v>
      </c>
      <c r="C7282" t="s">
        <v>7466</v>
      </c>
    </row>
    <row r="7283" spans="1:3" x14ac:dyDescent="0.35">
      <c r="A7283" t="s">
        <v>222</v>
      </c>
      <c r="B7283" t="s">
        <v>222</v>
      </c>
      <c r="C7283" t="s">
        <v>7467</v>
      </c>
    </row>
    <row r="7284" spans="1:3" x14ac:dyDescent="0.35">
      <c r="A7284" t="s">
        <v>222</v>
      </c>
      <c r="B7284" t="s">
        <v>222</v>
      </c>
      <c r="C7284" t="s">
        <v>7468</v>
      </c>
    </row>
    <row r="7285" spans="1:3" x14ac:dyDescent="0.35">
      <c r="A7285" t="s">
        <v>222</v>
      </c>
      <c r="B7285" t="s">
        <v>222</v>
      </c>
      <c r="C7285" t="s">
        <v>7469</v>
      </c>
    </row>
    <row r="7286" spans="1:3" x14ac:dyDescent="0.35">
      <c r="A7286" t="s">
        <v>222</v>
      </c>
      <c r="B7286" t="s">
        <v>222</v>
      </c>
      <c r="C7286" t="s">
        <v>7470</v>
      </c>
    </row>
    <row r="7287" spans="1:3" x14ac:dyDescent="0.35">
      <c r="A7287" t="s">
        <v>222</v>
      </c>
      <c r="B7287" t="s">
        <v>222</v>
      </c>
      <c r="C7287" t="s">
        <v>7471</v>
      </c>
    </row>
    <row r="7288" spans="1:3" x14ac:dyDescent="0.35">
      <c r="A7288" t="s">
        <v>222</v>
      </c>
      <c r="B7288" t="s">
        <v>222</v>
      </c>
      <c r="C7288" t="s">
        <v>7472</v>
      </c>
    </row>
    <row r="7289" spans="1:3" x14ac:dyDescent="0.35">
      <c r="A7289" t="s">
        <v>222</v>
      </c>
      <c r="B7289" t="s">
        <v>222</v>
      </c>
      <c r="C7289" t="s">
        <v>7473</v>
      </c>
    </row>
    <row r="7290" spans="1:3" x14ac:dyDescent="0.35">
      <c r="A7290" t="s">
        <v>222</v>
      </c>
      <c r="B7290" t="s">
        <v>222</v>
      </c>
      <c r="C7290" t="s">
        <v>7474</v>
      </c>
    </row>
    <row r="7291" spans="1:3" x14ac:dyDescent="0.35">
      <c r="A7291" t="s">
        <v>222</v>
      </c>
      <c r="B7291" t="s">
        <v>222</v>
      </c>
      <c r="C7291" t="s">
        <v>7475</v>
      </c>
    </row>
    <row r="7292" spans="1:3" x14ac:dyDescent="0.35">
      <c r="A7292" t="s">
        <v>222</v>
      </c>
      <c r="B7292" t="s">
        <v>222</v>
      </c>
      <c r="C7292" t="s">
        <v>7476</v>
      </c>
    </row>
    <row r="7293" spans="1:3" x14ac:dyDescent="0.35">
      <c r="A7293" t="s">
        <v>222</v>
      </c>
      <c r="B7293" t="s">
        <v>222</v>
      </c>
      <c r="C7293" t="s">
        <v>7477</v>
      </c>
    </row>
    <row r="7294" spans="1:3" x14ac:dyDescent="0.35">
      <c r="A7294" t="s">
        <v>222</v>
      </c>
      <c r="B7294" t="s">
        <v>222</v>
      </c>
      <c r="C7294" t="s">
        <v>7478</v>
      </c>
    </row>
    <row r="7295" spans="1:3" x14ac:dyDescent="0.35">
      <c r="A7295" t="s">
        <v>222</v>
      </c>
      <c r="B7295" t="s">
        <v>222</v>
      </c>
      <c r="C7295" t="s">
        <v>7479</v>
      </c>
    </row>
    <row r="7296" spans="1:3" x14ac:dyDescent="0.35">
      <c r="A7296" t="s">
        <v>222</v>
      </c>
      <c r="B7296" t="s">
        <v>222</v>
      </c>
      <c r="C7296" t="s">
        <v>7480</v>
      </c>
    </row>
    <row r="7297" spans="1:3" x14ac:dyDescent="0.35">
      <c r="A7297" t="s">
        <v>222</v>
      </c>
      <c r="B7297" t="s">
        <v>222</v>
      </c>
      <c r="C7297" t="s">
        <v>7481</v>
      </c>
    </row>
    <row r="7298" spans="1:3" x14ac:dyDescent="0.35">
      <c r="A7298" t="s">
        <v>222</v>
      </c>
      <c r="B7298" t="s">
        <v>222</v>
      </c>
      <c r="C7298" t="s">
        <v>7482</v>
      </c>
    </row>
    <row r="7299" spans="1:3" x14ac:dyDescent="0.35">
      <c r="A7299" t="s">
        <v>222</v>
      </c>
      <c r="B7299" t="s">
        <v>222</v>
      </c>
      <c r="C7299" t="s">
        <v>7483</v>
      </c>
    </row>
    <row r="7300" spans="1:3" x14ac:dyDescent="0.35">
      <c r="A7300" t="s">
        <v>222</v>
      </c>
      <c r="B7300" t="s">
        <v>222</v>
      </c>
      <c r="C7300" t="s">
        <v>7484</v>
      </c>
    </row>
    <row r="7301" spans="1:3" x14ac:dyDescent="0.35">
      <c r="A7301" t="s">
        <v>222</v>
      </c>
      <c r="B7301" t="s">
        <v>222</v>
      </c>
      <c r="C7301" t="s">
        <v>7485</v>
      </c>
    </row>
    <row r="7302" spans="1:3" x14ac:dyDescent="0.35">
      <c r="A7302" t="s">
        <v>222</v>
      </c>
      <c r="B7302" t="s">
        <v>222</v>
      </c>
      <c r="C7302" t="s">
        <v>7486</v>
      </c>
    </row>
    <row r="7303" spans="1:3" x14ac:dyDescent="0.35">
      <c r="A7303" t="s">
        <v>222</v>
      </c>
      <c r="B7303" t="s">
        <v>222</v>
      </c>
      <c r="C7303" t="s">
        <v>7487</v>
      </c>
    </row>
    <row r="7304" spans="1:3" x14ac:dyDescent="0.35">
      <c r="A7304" t="s">
        <v>222</v>
      </c>
      <c r="B7304" t="s">
        <v>222</v>
      </c>
      <c r="C7304" t="s">
        <v>7488</v>
      </c>
    </row>
    <row r="7305" spans="1:3" x14ac:dyDescent="0.35">
      <c r="A7305" t="s">
        <v>222</v>
      </c>
      <c r="B7305" t="s">
        <v>222</v>
      </c>
      <c r="C7305" t="s">
        <v>7489</v>
      </c>
    </row>
    <row r="7306" spans="1:3" x14ac:dyDescent="0.35">
      <c r="A7306" t="s">
        <v>222</v>
      </c>
      <c r="B7306" t="s">
        <v>222</v>
      </c>
      <c r="C7306" t="s">
        <v>7490</v>
      </c>
    </row>
    <row r="7307" spans="1:3" x14ac:dyDescent="0.35">
      <c r="A7307" t="s">
        <v>222</v>
      </c>
      <c r="B7307" t="s">
        <v>222</v>
      </c>
      <c r="C7307" t="s">
        <v>7491</v>
      </c>
    </row>
    <row r="7308" spans="1:3" x14ac:dyDescent="0.35">
      <c r="A7308" t="s">
        <v>222</v>
      </c>
      <c r="B7308" t="s">
        <v>222</v>
      </c>
      <c r="C7308" t="s">
        <v>7492</v>
      </c>
    </row>
    <row r="7309" spans="1:3" x14ac:dyDescent="0.35">
      <c r="A7309" t="s">
        <v>222</v>
      </c>
      <c r="B7309" t="s">
        <v>222</v>
      </c>
      <c r="C7309" t="s">
        <v>7493</v>
      </c>
    </row>
    <row r="7310" spans="1:3" x14ac:dyDescent="0.35">
      <c r="A7310" t="s">
        <v>222</v>
      </c>
      <c r="B7310" t="s">
        <v>222</v>
      </c>
      <c r="C7310" t="s">
        <v>7494</v>
      </c>
    </row>
    <row r="7311" spans="1:3" x14ac:dyDescent="0.35">
      <c r="A7311" t="s">
        <v>222</v>
      </c>
      <c r="B7311" t="s">
        <v>222</v>
      </c>
      <c r="C7311" t="s">
        <v>7495</v>
      </c>
    </row>
    <row r="7312" spans="1:3" x14ac:dyDescent="0.35">
      <c r="A7312" t="s">
        <v>222</v>
      </c>
      <c r="B7312" t="s">
        <v>222</v>
      </c>
      <c r="C7312" t="s">
        <v>7496</v>
      </c>
    </row>
    <row r="7313" spans="1:3" x14ac:dyDescent="0.35">
      <c r="A7313" t="s">
        <v>222</v>
      </c>
      <c r="B7313" t="s">
        <v>222</v>
      </c>
      <c r="C7313" t="s">
        <v>7497</v>
      </c>
    </row>
    <row r="7314" spans="1:3" x14ac:dyDescent="0.35">
      <c r="A7314" t="s">
        <v>222</v>
      </c>
      <c r="B7314" t="s">
        <v>222</v>
      </c>
      <c r="C7314" t="s">
        <v>7498</v>
      </c>
    </row>
    <row r="7315" spans="1:3" x14ac:dyDescent="0.35">
      <c r="A7315" t="s">
        <v>222</v>
      </c>
      <c r="B7315" t="s">
        <v>222</v>
      </c>
      <c r="C7315" t="s">
        <v>7499</v>
      </c>
    </row>
    <row r="7316" spans="1:3" x14ac:dyDescent="0.35">
      <c r="A7316" t="s">
        <v>222</v>
      </c>
      <c r="B7316" t="s">
        <v>222</v>
      </c>
      <c r="C7316" t="s">
        <v>7500</v>
      </c>
    </row>
    <row r="7317" spans="1:3" x14ac:dyDescent="0.35">
      <c r="A7317" t="s">
        <v>222</v>
      </c>
      <c r="B7317" t="s">
        <v>222</v>
      </c>
      <c r="C7317" t="s">
        <v>7501</v>
      </c>
    </row>
    <row r="7318" spans="1:3" x14ac:dyDescent="0.35">
      <c r="A7318" t="s">
        <v>222</v>
      </c>
      <c r="B7318" t="s">
        <v>222</v>
      </c>
      <c r="C7318" t="s">
        <v>7502</v>
      </c>
    </row>
    <row r="7319" spans="1:3" x14ac:dyDescent="0.35">
      <c r="A7319" t="s">
        <v>222</v>
      </c>
      <c r="B7319" t="s">
        <v>222</v>
      </c>
      <c r="C7319" t="s">
        <v>7503</v>
      </c>
    </row>
    <row r="7320" spans="1:3" x14ac:dyDescent="0.35">
      <c r="A7320" t="s">
        <v>222</v>
      </c>
      <c r="B7320" t="s">
        <v>222</v>
      </c>
      <c r="C7320" t="s">
        <v>7504</v>
      </c>
    </row>
    <row r="7321" spans="1:3" x14ac:dyDescent="0.35">
      <c r="A7321" t="s">
        <v>222</v>
      </c>
      <c r="B7321" t="s">
        <v>222</v>
      </c>
      <c r="C7321" t="s">
        <v>7505</v>
      </c>
    </row>
    <row r="7322" spans="1:3" x14ac:dyDescent="0.35">
      <c r="A7322" t="s">
        <v>222</v>
      </c>
      <c r="B7322" t="s">
        <v>222</v>
      </c>
      <c r="C7322" t="s">
        <v>7506</v>
      </c>
    </row>
    <row r="7323" spans="1:3" x14ac:dyDescent="0.35">
      <c r="A7323" t="s">
        <v>222</v>
      </c>
      <c r="B7323" t="s">
        <v>222</v>
      </c>
      <c r="C7323" t="s">
        <v>7507</v>
      </c>
    </row>
    <row r="7324" spans="1:3" x14ac:dyDescent="0.35">
      <c r="A7324" t="s">
        <v>222</v>
      </c>
      <c r="B7324" t="s">
        <v>222</v>
      </c>
      <c r="C7324" t="s">
        <v>7508</v>
      </c>
    </row>
    <row r="7325" spans="1:3" x14ac:dyDescent="0.35">
      <c r="A7325" t="s">
        <v>222</v>
      </c>
      <c r="B7325" t="s">
        <v>222</v>
      </c>
      <c r="C7325" t="s">
        <v>7509</v>
      </c>
    </row>
    <row r="7326" spans="1:3" x14ac:dyDescent="0.35">
      <c r="A7326" t="s">
        <v>222</v>
      </c>
      <c r="B7326" t="s">
        <v>222</v>
      </c>
      <c r="C7326" t="s">
        <v>7510</v>
      </c>
    </row>
    <row r="7327" spans="1:3" x14ac:dyDescent="0.35">
      <c r="A7327" t="s">
        <v>222</v>
      </c>
      <c r="B7327" t="s">
        <v>222</v>
      </c>
      <c r="C7327" t="s">
        <v>7511</v>
      </c>
    </row>
    <row r="7328" spans="1:3" x14ac:dyDescent="0.35">
      <c r="A7328" t="s">
        <v>222</v>
      </c>
      <c r="B7328" t="s">
        <v>222</v>
      </c>
      <c r="C7328" t="s">
        <v>7512</v>
      </c>
    </row>
    <row r="7329" spans="1:3" x14ac:dyDescent="0.35">
      <c r="A7329" t="s">
        <v>222</v>
      </c>
      <c r="B7329" t="s">
        <v>222</v>
      </c>
      <c r="C7329" t="s">
        <v>7513</v>
      </c>
    </row>
    <row r="7330" spans="1:3" x14ac:dyDescent="0.35">
      <c r="A7330" t="s">
        <v>222</v>
      </c>
      <c r="B7330" t="s">
        <v>222</v>
      </c>
      <c r="C7330" t="s">
        <v>7514</v>
      </c>
    </row>
    <row r="7331" spans="1:3" x14ac:dyDescent="0.35">
      <c r="A7331" t="s">
        <v>222</v>
      </c>
      <c r="B7331" t="s">
        <v>222</v>
      </c>
      <c r="C7331" t="s">
        <v>7515</v>
      </c>
    </row>
    <row r="7332" spans="1:3" x14ac:dyDescent="0.35">
      <c r="A7332" t="s">
        <v>222</v>
      </c>
      <c r="B7332" t="s">
        <v>222</v>
      </c>
      <c r="C7332" t="s">
        <v>7516</v>
      </c>
    </row>
    <row r="7333" spans="1:3" x14ac:dyDescent="0.35">
      <c r="A7333" t="s">
        <v>222</v>
      </c>
      <c r="B7333" t="s">
        <v>222</v>
      </c>
      <c r="C7333" t="s">
        <v>7517</v>
      </c>
    </row>
    <row r="7334" spans="1:3" x14ac:dyDescent="0.35">
      <c r="A7334" t="s">
        <v>222</v>
      </c>
      <c r="B7334" t="s">
        <v>222</v>
      </c>
      <c r="C7334" t="s">
        <v>7518</v>
      </c>
    </row>
    <row r="7335" spans="1:3" x14ac:dyDescent="0.35">
      <c r="A7335" t="s">
        <v>222</v>
      </c>
      <c r="B7335" t="s">
        <v>222</v>
      </c>
      <c r="C7335" t="s">
        <v>7519</v>
      </c>
    </row>
    <row r="7336" spans="1:3" x14ac:dyDescent="0.35">
      <c r="A7336" t="s">
        <v>222</v>
      </c>
      <c r="B7336" t="s">
        <v>222</v>
      </c>
      <c r="C7336" t="s">
        <v>7520</v>
      </c>
    </row>
    <row r="7337" spans="1:3" x14ac:dyDescent="0.35">
      <c r="A7337" t="s">
        <v>223</v>
      </c>
      <c r="B7337" t="s">
        <v>234</v>
      </c>
      <c r="C7337" t="s">
        <v>7521</v>
      </c>
    </row>
    <row r="7338" spans="1:3" x14ac:dyDescent="0.35">
      <c r="A7338" t="s">
        <v>223</v>
      </c>
      <c r="B7338" t="s">
        <v>234</v>
      </c>
      <c r="C7338" t="s">
        <v>7522</v>
      </c>
    </row>
    <row r="7339" spans="1:3" x14ac:dyDescent="0.35">
      <c r="A7339" t="s">
        <v>223</v>
      </c>
      <c r="B7339" t="s">
        <v>234</v>
      </c>
      <c r="C7339" t="s">
        <v>7523</v>
      </c>
    </row>
    <row r="7340" spans="1:3" x14ac:dyDescent="0.35">
      <c r="A7340" t="s">
        <v>223</v>
      </c>
      <c r="B7340" t="s">
        <v>234</v>
      </c>
      <c r="C7340" t="s">
        <v>7524</v>
      </c>
    </row>
    <row r="7341" spans="1:3" x14ac:dyDescent="0.35">
      <c r="A7341" t="s">
        <v>223</v>
      </c>
      <c r="B7341" t="s">
        <v>234</v>
      </c>
      <c r="C7341" t="s">
        <v>7525</v>
      </c>
    </row>
    <row r="7342" spans="1:3" x14ac:dyDescent="0.35">
      <c r="A7342" t="s">
        <v>223</v>
      </c>
      <c r="B7342" t="s">
        <v>234</v>
      </c>
      <c r="C7342" t="s">
        <v>234</v>
      </c>
    </row>
    <row r="7343" spans="1:3" x14ac:dyDescent="0.35">
      <c r="A7343" t="s">
        <v>223</v>
      </c>
      <c r="B7343" t="s">
        <v>234</v>
      </c>
      <c r="C7343" t="s">
        <v>7526</v>
      </c>
    </row>
    <row r="7344" spans="1:3" x14ac:dyDescent="0.35">
      <c r="A7344" t="s">
        <v>223</v>
      </c>
      <c r="B7344" t="s">
        <v>234</v>
      </c>
      <c r="C7344" t="s">
        <v>7527</v>
      </c>
    </row>
    <row r="7345" spans="1:3" x14ac:dyDescent="0.35">
      <c r="A7345" t="s">
        <v>223</v>
      </c>
      <c r="B7345" t="s">
        <v>234</v>
      </c>
      <c r="C7345" t="s">
        <v>7528</v>
      </c>
    </row>
    <row r="7346" spans="1:3" x14ac:dyDescent="0.35">
      <c r="A7346" t="s">
        <v>223</v>
      </c>
      <c r="B7346" t="s">
        <v>234</v>
      </c>
      <c r="C7346" t="s">
        <v>7529</v>
      </c>
    </row>
    <row r="7347" spans="1:3" x14ac:dyDescent="0.35">
      <c r="A7347" t="s">
        <v>223</v>
      </c>
      <c r="B7347" t="s">
        <v>234</v>
      </c>
      <c r="C7347" t="s">
        <v>7530</v>
      </c>
    </row>
    <row r="7348" spans="1:3" x14ac:dyDescent="0.35">
      <c r="A7348" t="s">
        <v>223</v>
      </c>
      <c r="B7348" t="s">
        <v>234</v>
      </c>
      <c r="C7348" t="s">
        <v>7531</v>
      </c>
    </row>
    <row r="7349" spans="1:3" x14ac:dyDescent="0.35">
      <c r="A7349" t="s">
        <v>223</v>
      </c>
      <c r="B7349" t="s">
        <v>234</v>
      </c>
      <c r="C7349" t="s">
        <v>7532</v>
      </c>
    </row>
    <row r="7350" spans="1:3" x14ac:dyDescent="0.35">
      <c r="A7350" t="s">
        <v>223</v>
      </c>
      <c r="B7350" t="s">
        <v>234</v>
      </c>
      <c r="C7350" t="s">
        <v>7533</v>
      </c>
    </row>
    <row r="7351" spans="1:3" x14ac:dyDescent="0.35">
      <c r="A7351" t="s">
        <v>223</v>
      </c>
      <c r="B7351" t="s">
        <v>234</v>
      </c>
      <c r="C7351" t="s">
        <v>7534</v>
      </c>
    </row>
    <row r="7352" spans="1:3" x14ac:dyDescent="0.35">
      <c r="A7352" t="s">
        <v>223</v>
      </c>
      <c r="B7352" t="s">
        <v>234</v>
      </c>
      <c r="C7352" t="s">
        <v>7535</v>
      </c>
    </row>
    <row r="7353" spans="1:3" x14ac:dyDescent="0.35">
      <c r="A7353" t="s">
        <v>223</v>
      </c>
      <c r="B7353" t="s">
        <v>234</v>
      </c>
      <c r="C7353" t="s">
        <v>7536</v>
      </c>
    </row>
    <row r="7354" spans="1:3" x14ac:dyDescent="0.35">
      <c r="A7354" t="s">
        <v>223</v>
      </c>
      <c r="B7354" t="s">
        <v>234</v>
      </c>
      <c r="C7354" t="s">
        <v>7537</v>
      </c>
    </row>
    <row r="7355" spans="1:3" x14ac:dyDescent="0.35">
      <c r="A7355" t="s">
        <v>223</v>
      </c>
      <c r="B7355" t="s">
        <v>234</v>
      </c>
      <c r="C7355" t="s">
        <v>7538</v>
      </c>
    </row>
    <row r="7356" spans="1:3" x14ac:dyDescent="0.35">
      <c r="A7356" t="s">
        <v>223</v>
      </c>
      <c r="B7356" t="s">
        <v>234</v>
      </c>
      <c r="C7356" t="s">
        <v>7539</v>
      </c>
    </row>
    <row r="7357" spans="1:3" x14ac:dyDescent="0.35">
      <c r="A7357" t="s">
        <v>223</v>
      </c>
      <c r="B7357" t="s">
        <v>234</v>
      </c>
      <c r="C7357" t="s">
        <v>7540</v>
      </c>
    </row>
    <row r="7358" spans="1:3" x14ac:dyDescent="0.35">
      <c r="A7358" t="s">
        <v>223</v>
      </c>
      <c r="B7358" t="s">
        <v>234</v>
      </c>
      <c r="C7358" t="s">
        <v>7541</v>
      </c>
    </row>
    <row r="7359" spans="1:3" x14ac:dyDescent="0.35">
      <c r="A7359" t="s">
        <v>223</v>
      </c>
      <c r="B7359" t="s">
        <v>234</v>
      </c>
      <c r="C7359" t="s">
        <v>7542</v>
      </c>
    </row>
    <row r="7360" spans="1:3" x14ac:dyDescent="0.35">
      <c r="A7360" t="s">
        <v>223</v>
      </c>
      <c r="B7360" t="s">
        <v>234</v>
      </c>
      <c r="C7360" t="s">
        <v>7543</v>
      </c>
    </row>
    <row r="7361" spans="1:3" x14ac:dyDescent="0.35">
      <c r="A7361" t="s">
        <v>223</v>
      </c>
      <c r="B7361" t="s">
        <v>234</v>
      </c>
      <c r="C7361" t="s">
        <v>7544</v>
      </c>
    </row>
    <row r="7362" spans="1:3" x14ac:dyDescent="0.35">
      <c r="A7362" t="s">
        <v>223</v>
      </c>
      <c r="B7362" t="s">
        <v>234</v>
      </c>
      <c r="C7362" t="s">
        <v>7545</v>
      </c>
    </row>
    <row r="7363" spans="1:3" x14ac:dyDescent="0.35">
      <c r="A7363" t="s">
        <v>223</v>
      </c>
      <c r="B7363" t="s">
        <v>234</v>
      </c>
      <c r="C7363" t="s">
        <v>7546</v>
      </c>
    </row>
    <row r="7364" spans="1:3" x14ac:dyDescent="0.35">
      <c r="A7364" t="s">
        <v>223</v>
      </c>
      <c r="B7364" t="s">
        <v>234</v>
      </c>
      <c r="C7364" t="s">
        <v>7547</v>
      </c>
    </row>
    <row r="7365" spans="1:3" x14ac:dyDescent="0.35">
      <c r="A7365" t="s">
        <v>223</v>
      </c>
      <c r="B7365" t="s">
        <v>234</v>
      </c>
      <c r="C7365" t="s">
        <v>7548</v>
      </c>
    </row>
    <row r="7366" spans="1:3" x14ac:dyDescent="0.35">
      <c r="A7366" t="s">
        <v>223</v>
      </c>
      <c r="B7366" t="s">
        <v>234</v>
      </c>
      <c r="C7366" t="s">
        <v>7549</v>
      </c>
    </row>
    <row r="7367" spans="1:3" x14ac:dyDescent="0.35">
      <c r="A7367" t="s">
        <v>223</v>
      </c>
      <c r="B7367" t="s">
        <v>234</v>
      </c>
      <c r="C7367" t="s">
        <v>7550</v>
      </c>
    </row>
    <row r="7368" spans="1:3" x14ac:dyDescent="0.35">
      <c r="A7368" t="s">
        <v>223</v>
      </c>
      <c r="B7368" t="s">
        <v>234</v>
      </c>
      <c r="C7368" t="s">
        <v>7551</v>
      </c>
    </row>
    <row r="7369" spans="1:3" x14ac:dyDescent="0.35">
      <c r="A7369" t="s">
        <v>223</v>
      </c>
      <c r="B7369" t="s">
        <v>234</v>
      </c>
      <c r="C7369" t="s">
        <v>7552</v>
      </c>
    </row>
    <row r="7370" spans="1:3" x14ac:dyDescent="0.35">
      <c r="A7370" t="s">
        <v>223</v>
      </c>
      <c r="B7370" t="s">
        <v>234</v>
      </c>
      <c r="C7370" t="s">
        <v>7553</v>
      </c>
    </row>
    <row r="7371" spans="1:3" x14ac:dyDescent="0.35">
      <c r="A7371" t="s">
        <v>223</v>
      </c>
      <c r="B7371" t="s">
        <v>234</v>
      </c>
      <c r="C7371" t="s">
        <v>7554</v>
      </c>
    </row>
    <row r="7372" spans="1:3" x14ac:dyDescent="0.35">
      <c r="A7372" t="s">
        <v>223</v>
      </c>
      <c r="B7372" t="s">
        <v>234</v>
      </c>
      <c r="C7372" t="s">
        <v>7555</v>
      </c>
    </row>
    <row r="7373" spans="1:3" x14ac:dyDescent="0.35">
      <c r="A7373" t="s">
        <v>223</v>
      </c>
      <c r="B7373" t="s">
        <v>234</v>
      </c>
      <c r="C7373" t="s">
        <v>7556</v>
      </c>
    </row>
    <row r="7374" spans="1:3" x14ac:dyDescent="0.35">
      <c r="A7374" t="s">
        <v>223</v>
      </c>
      <c r="B7374" t="s">
        <v>234</v>
      </c>
      <c r="C7374" t="s">
        <v>7557</v>
      </c>
    </row>
    <row r="7375" spans="1:3" x14ac:dyDescent="0.35">
      <c r="A7375" t="s">
        <v>223</v>
      </c>
      <c r="B7375" t="s">
        <v>234</v>
      </c>
      <c r="C7375" t="s">
        <v>7558</v>
      </c>
    </row>
    <row r="7376" spans="1:3" x14ac:dyDescent="0.35">
      <c r="A7376" t="s">
        <v>223</v>
      </c>
      <c r="B7376" t="s">
        <v>234</v>
      </c>
      <c r="C7376" t="s">
        <v>7559</v>
      </c>
    </row>
    <row r="7377" spans="1:3" x14ac:dyDescent="0.35">
      <c r="A7377" t="s">
        <v>223</v>
      </c>
      <c r="B7377" t="s">
        <v>234</v>
      </c>
      <c r="C7377" t="s">
        <v>7560</v>
      </c>
    </row>
    <row r="7378" spans="1:3" x14ac:dyDescent="0.35">
      <c r="A7378" t="s">
        <v>223</v>
      </c>
      <c r="B7378" t="s">
        <v>234</v>
      </c>
      <c r="C7378" t="s">
        <v>7561</v>
      </c>
    </row>
    <row r="7379" spans="1:3" x14ac:dyDescent="0.35">
      <c r="A7379" t="s">
        <v>223</v>
      </c>
      <c r="B7379" t="s">
        <v>234</v>
      </c>
      <c r="C7379" t="s">
        <v>7562</v>
      </c>
    </row>
    <row r="7380" spans="1:3" x14ac:dyDescent="0.35">
      <c r="A7380" t="s">
        <v>223</v>
      </c>
      <c r="B7380" t="s">
        <v>234</v>
      </c>
      <c r="C7380" t="s">
        <v>7563</v>
      </c>
    </row>
    <row r="7381" spans="1:3" x14ac:dyDescent="0.35">
      <c r="A7381" t="s">
        <v>223</v>
      </c>
      <c r="B7381" t="s">
        <v>234</v>
      </c>
      <c r="C7381" t="s">
        <v>7564</v>
      </c>
    </row>
    <row r="7382" spans="1:3" x14ac:dyDescent="0.35">
      <c r="A7382" t="s">
        <v>223</v>
      </c>
      <c r="B7382" t="s">
        <v>234</v>
      </c>
      <c r="C7382" t="s">
        <v>7565</v>
      </c>
    </row>
    <row r="7383" spans="1:3" x14ac:dyDescent="0.35">
      <c r="A7383" t="s">
        <v>223</v>
      </c>
      <c r="B7383" t="s">
        <v>234</v>
      </c>
      <c r="C7383" t="s">
        <v>7566</v>
      </c>
    </row>
    <row r="7384" spans="1:3" x14ac:dyDescent="0.35">
      <c r="A7384" t="s">
        <v>223</v>
      </c>
      <c r="B7384" t="s">
        <v>234</v>
      </c>
      <c r="C7384" t="s">
        <v>7567</v>
      </c>
    </row>
    <row r="7385" spans="1:3" x14ac:dyDescent="0.35">
      <c r="A7385" t="s">
        <v>223</v>
      </c>
      <c r="B7385" t="s">
        <v>234</v>
      </c>
      <c r="C7385" t="s">
        <v>7568</v>
      </c>
    </row>
    <row r="7386" spans="1:3" x14ac:dyDescent="0.35">
      <c r="A7386" t="s">
        <v>223</v>
      </c>
      <c r="B7386" t="s">
        <v>234</v>
      </c>
      <c r="C7386" t="s">
        <v>7569</v>
      </c>
    </row>
    <row r="7387" spans="1:3" x14ac:dyDescent="0.35">
      <c r="A7387" t="s">
        <v>223</v>
      </c>
      <c r="B7387" t="s">
        <v>234</v>
      </c>
      <c r="C7387" t="s">
        <v>7570</v>
      </c>
    </row>
    <row r="7388" spans="1:3" x14ac:dyDescent="0.35">
      <c r="A7388" t="s">
        <v>223</v>
      </c>
      <c r="B7388" t="s">
        <v>234</v>
      </c>
      <c r="C7388" t="s">
        <v>7571</v>
      </c>
    </row>
    <row r="7389" spans="1:3" x14ac:dyDescent="0.35">
      <c r="A7389" t="s">
        <v>223</v>
      </c>
      <c r="B7389" t="s">
        <v>234</v>
      </c>
      <c r="C7389" t="s">
        <v>7572</v>
      </c>
    </row>
    <row r="7390" spans="1:3" x14ac:dyDescent="0.35">
      <c r="A7390" t="s">
        <v>223</v>
      </c>
      <c r="B7390" t="s">
        <v>234</v>
      </c>
      <c r="C7390" t="s">
        <v>7573</v>
      </c>
    </row>
    <row r="7391" spans="1:3" x14ac:dyDescent="0.35">
      <c r="A7391" t="s">
        <v>223</v>
      </c>
      <c r="B7391" t="s">
        <v>234</v>
      </c>
      <c r="C7391" t="s">
        <v>7574</v>
      </c>
    </row>
    <row r="7392" spans="1:3" x14ac:dyDescent="0.35">
      <c r="A7392" t="s">
        <v>223</v>
      </c>
      <c r="B7392" t="s">
        <v>234</v>
      </c>
      <c r="C7392" t="s">
        <v>7575</v>
      </c>
    </row>
    <row r="7393" spans="1:3" x14ac:dyDescent="0.35">
      <c r="A7393" t="s">
        <v>223</v>
      </c>
      <c r="B7393" t="s">
        <v>234</v>
      </c>
      <c r="C7393" t="s">
        <v>7576</v>
      </c>
    </row>
    <row r="7394" spans="1:3" x14ac:dyDescent="0.35">
      <c r="A7394" t="s">
        <v>223</v>
      </c>
      <c r="B7394" t="s">
        <v>234</v>
      </c>
      <c r="C7394" t="s">
        <v>7577</v>
      </c>
    </row>
    <row r="7395" spans="1:3" x14ac:dyDescent="0.35">
      <c r="A7395" t="s">
        <v>223</v>
      </c>
      <c r="B7395" t="s">
        <v>234</v>
      </c>
      <c r="C7395" t="s">
        <v>7578</v>
      </c>
    </row>
    <row r="7396" spans="1:3" x14ac:dyDescent="0.35">
      <c r="A7396" t="s">
        <v>223</v>
      </c>
      <c r="B7396" t="s">
        <v>234</v>
      </c>
      <c r="C7396" t="s">
        <v>7579</v>
      </c>
    </row>
    <row r="7397" spans="1:3" x14ac:dyDescent="0.35">
      <c r="A7397" t="s">
        <v>223</v>
      </c>
      <c r="B7397" t="s">
        <v>65</v>
      </c>
      <c r="C7397" t="s">
        <v>7580</v>
      </c>
    </row>
    <row r="7398" spans="1:3" x14ac:dyDescent="0.35">
      <c r="A7398" t="s">
        <v>223</v>
      </c>
      <c r="B7398" t="s">
        <v>65</v>
      </c>
      <c r="C7398" t="s">
        <v>7581</v>
      </c>
    </row>
    <row r="7399" spans="1:3" x14ac:dyDescent="0.35">
      <c r="A7399" t="s">
        <v>223</v>
      </c>
      <c r="B7399" t="s">
        <v>65</v>
      </c>
      <c r="C7399" t="s">
        <v>7582</v>
      </c>
    </row>
    <row r="7400" spans="1:3" x14ac:dyDescent="0.35">
      <c r="A7400" t="s">
        <v>223</v>
      </c>
      <c r="B7400" t="s">
        <v>65</v>
      </c>
      <c r="C7400" t="s">
        <v>7583</v>
      </c>
    </row>
    <row r="7401" spans="1:3" x14ac:dyDescent="0.35">
      <c r="A7401" t="s">
        <v>223</v>
      </c>
      <c r="B7401" t="s">
        <v>65</v>
      </c>
      <c r="C7401" t="s">
        <v>7584</v>
      </c>
    </row>
    <row r="7402" spans="1:3" x14ac:dyDescent="0.35">
      <c r="A7402" t="s">
        <v>223</v>
      </c>
      <c r="B7402" t="s">
        <v>65</v>
      </c>
      <c r="C7402" t="s">
        <v>7585</v>
      </c>
    </row>
    <row r="7403" spans="1:3" x14ac:dyDescent="0.35">
      <c r="A7403" t="s">
        <v>223</v>
      </c>
      <c r="B7403" t="s">
        <v>65</v>
      </c>
      <c r="C7403" t="s">
        <v>7586</v>
      </c>
    </row>
    <row r="7404" spans="1:3" x14ac:dyDescent="0.35">
      <c r="A7404" t="s">
        <v>223</v>
      </c>
      <c r="B7404" t="s">
        <v>65</v>
      </c>
      <c r="C7404" t="s">
        <v>7587</v>
      </c>
    </row>
    <row r="7405" spans="1:3" x14ac:dyDescent="0.35">
      <c r="A7405" t="s">
        <v>223</v>
      </c>
      <c r="B7405" t="s">
        <v>65</v>
      </c>
      <c r="C7405" t="s">
        <v>7588</v>
      </c>
    </row>
    <row r="7406" spans="1:3" x14ac:dyDescent="0.35">
      <c r="A7406" t="s">
        <v>223</v>
      </c>
      <c r="B7406" t="s">
        <v>65</v>
      </c>
      <c r="C7406" t="s">
        <v>7589</v>
      </c>
    </row>
    <row r="7407" spans="1:3" x14ac:dyDescent="0.35">
      <c r="A7407" t="s">
        <v>223</v>
      </c>
      <c r="B7407" t="s">
        <v>65</v>
      </c>
      <c r="C7407" t="s">
        <v>7590</v>
      </c>
    </row>
    <row r="7408" spans="1:3" x14ac:dyDescent="0.35">
      <c r="A7408" t="s">
        <v>223</v>
      </c>
      <c r="B7408" t="s">
        <v>65</v>
      </c>
      <c r="C7408" t="s">
        <v>7591</v>
      </c>
    </row>
    <row r="7409" spans="1:3" x14ac:dyDescent="0.35">
      <c r="A7409" t="s">
        <v>223</v>
      </c>
      <c r="B7409" t="s">
        <v>65</v>
      </c>
      <c r="C7409" t="s">
        <v>7592</v>
      </c>
    </row>
    <row r="7410" spans="1:3" x14ac:dyDescent="0.35">
      <c r="A7410" t="s">
        <v>223</v>
      </c>
      <c r="B7410" t="s">
        <v>65</v>
      </c>
      <c r="C7410" t="s">
        <v>7593</v>
      </c>
    </row>
    <row r="7411" spans="1:3" x14ac:dyDescent="0.35">
      <c r="A7411" t="s">
        <v>223</v>
      </c>
      <c r="B7411" t="s">
        <v>65</v>
      </c>
      <c r="C7411" t="s">
        <v>7594</v>
      </c>
    </row>
    <row r="7412" spans="1:3" x14ac:dyDescent="0.35">
      <c r="A7412" t="s">
        <v>223</v>
      </c>
      <c r="B7412" t="s">
        <v>65</v>
      </c>
      <c r="C7412" t="s">
        <v>7595</v>
      </c>
    </row>
    <row r="7413" spans="1:3" x14ac:dyDescent="0.35">
      <c r="A7413" t="s">
        <v>223</v>
      </c>
      <c r="B7413" t="s">
        <v>65</v>
      </c>
      <c r="C7413" t="s">
        <v>7596</v>
      </c>
    </row>
    <row r="7414" spans="1:3" x14ac:dyDescent="0.35">
      <c r="A7414" t="s">
        <v>223</v>
      </c>
      <c r="B7414" t="s">
        <v>65</v>
      </c>
      <c r="C7414" t="s">
        <v>7597</v>
      </c>
    </row>
    <row r="7415" spans="1:3" x14ac:dyDescent="0.35">
      <c r="A7415" t="s">
        <v>223</v>
      </c>
      <c r="B7415" t="s">
        <v>65</v>
      </c>
      <c r="C7415" t="s">
        <v>7598</v>
      </c>
    </row>
    <row r="7416" spans="1:3" x14ac:dyDescent="0.35">
      <c r="A7416" t="s">
        <v>223</v>
      </c>
      <c r="B7416" t="s">
        <v>65</v>
      </c>
      <c r="C7416" t="s">
        <v>7599</v>
      </c>
    </row>
    <row r="7417" spans="1:3" x14ac:dyDescent="0.35">
      <c r="A7417" t="s">
        <v>223</v>
      </c>
      <c r="B7417" t="s">
        <v>65</v>
      </c>
      <c r="C7417" t="s">
        <v>7600</v>
      </c>
    </row>
    <row r="7418" spans="1:3" x14ac:dyDescent="0.35">
      <c r="A7418" t="s">
        <v>223</v>
      </c>
      <c r="B7418" t="s">
        <v>65</v>
      </c>
      <c r="C7418" t="s">
        <v>7601</v>
      </c>
    </row>
    <row r="7419" spans="1:3" x14ac:dyDescent="0.35">
      <c r="A7419" t="s">
        <v>223</v>
      </c>
      <c r="B7419" t="s">
        <v>65</v>
      </c>
      <c r="C7419" t="s">
        <v>7602</v>
      </c>
    </row>
    <row r="7420" spans="1:3" x14ac:dyDescent="0.35">
      <c r="A7420" t="s">
        <v>223</v>
      </c>
      <c r="B7420" t="s">
        <v>65</v>
      </c>
      <c r="C7420" t="s">
        <v>7603</v>
      </c>
    </row>
    <row r="7421" spans="1:3" x14ac:dyDescent="0.35">
      <c r="A7421" t="s">
        <v>223</v>
      </c>
      <c r="B7421" t="s">
        <v>65</v>
      </c>
      <c r="C7421" t="s">
        <v>7604</v>
      </c>
    </row>
    <row r="7422" spans="1:3" x14ac:dyDescent="0.35">
      <c r="A7422" t="s">
        <v>223</v>
      </c>
      <c r="B7422" t="s">
        <v>65</v>
      </c>
      <c r="C7422" t="s">
        <v>7605</v>
      </c>
    </row>
    <row r="7423" spans="1:3" x14ac:dyDescent="0.35">
      <c r="A7423" t="s">
        <v>223</v>
      </c>
      <c r="B7423" t="s">
        <v>65</v>
      </c>
      <c r="C7423" t="s">
        <v>7606</v>
      </c>
    </row>
    <row r="7424" spans="1:3" x14ac:dyDescent="0.35">
      <c r="A7424" t="s">
        <v>223</v>
      </c>
      <c r="B7424" t="s">
        <v>65</v>
      </c>
      <c r="C7424" t="s">
        <v>7607</v>
      </c>
    </row>
    <row r="7425" spans="1:3" x14ac:dyDescent="0.35">
      <c r="A7425" t="s">
        <v>223</v>
      </c>
      <c r="B7425" t="s">
        <v>65</v>
      </c>
      <c r="C7425" t="s">
        <v>7608</v>
      </c>
    </row>
    <row r="7426" spans="1:3" x14ac:dyDescent="0.35">
      <c r="A7426" t="s">
        <v>223</v>
      </c>
      <c r="B7426" t="s">
        <v>65</v>
      </c>
      <c r="C7426" t="s">
        <v>7609</v>
      </c>
    </row>
    <row r="7427" spans="1:3" x14ac:dyDescent="0.35">
      <c r="A7427" t="s">
        <v>223</v>
      </c>
      <c r="B7427" t="s">
        <v>65</v>
      </c>
      <c r="C7427" t="s">
        <v>7610</v>
      </c>
    </row>
    <row r="7428" spans="1:3" x14ac:dyDescent="0.35">
      <c r="A7428" t="s">
        <v>223</v>
      </c>
      <c r="B7428" t="s">
        <v>65</v>
      </c>
      <c r="C7428" t="s">
        <v>7611</v>
      </c>
    </row>
    <row r="7429" spans="1:3" x14ac:dyDescent="0.35">
      <c r="A7429" t="s">
        <v>223</v>
      </c>
      <c r="B7429" t="s">
        <v>65</v>
      </c>
      <c r="C7429" t="s">
        <v>7612</v>
      </c>
    </row>
    <row r="7430" spans="1:3" x14ac:dyDescent="0.35">
      <c r="A7430" t="s">
        <v>223</v>
      </c>
      <c r="B7430" t="s">
        <v>65</v>
      </c>
      <c r="C7430" t="s">
        <v>7613</v>
      </c>
    </row>
    <row r="7431" spans="1:3" x14ac:dyDescent="0.35">
      <c r="A7431" t="s">
        <v>223</v>
      </c>
      <c r="B7431" t="s">
        <v>65</v>
      </c>
      <c r="C7431" t="s">
        <v>7614</v>
      </c>
    </row>
    <row r="7432" spans="1:3" x14ac:dyDescent="0.35">
      <c r="A7432" t="s">
        <v>223</v>
      </c>
      <c r="B7432" t="s">
        <v>65</v>
      </c>
      <c r="C7432" t="s">
        <v>7615</v>
      </c>
    </row>
    <row r="7433" spans="1:3" x14ac:dyDescent="0.35">
      <c r="A7433" t="s">
        <v>223</v>
      </c>
      <c r="B7433" t="s">
        <v>65</v>
      </c>
      <c r="C7433" t="s">
        <v>7616</v>
      </c>
    </row>
    <row r="7434" spans="1:3" x14ac:dyDescent="0.35">
      <c r="A7434" t="s">
        <v>223</v>
      </c>
      <c r="B7434" t="s">
        <v>65</v>
      </c>
      <c r="C7434" t="s">
        <v>7617</v>
      </c>
    </row>
    <row r="7435" spans="1:3" x14ac:dyDescent="0.35">
      <c r="A7435" t="s">
        <v>223</v>
      </c>
      <c r="B7435" t="s">
        <v>65</v>
      </c>
      <c r="C7435" t="s">
        <v>7618</v>
      </c>
    </row>
    <row r="7436" spans="1:3" x14ac:dyDescent="0.35">
      <c r="A7436" t="s">
        <v>223</v>
      </c>
      <c r="B7436" t="s">
        <v>65</v>
      </c>
      <c r="C7436" t="s">
        <v>7619</v>
      </c>
    </row>
    <row r="7437" spans="1:3" x14ac:dyDescent="0.35">
      <c r="A7437" t="s">
        <v>223</v>
      </c>
      <c r="B7437" t="s">
        <v>65</v>
      </c>
      <c r="C7437" t="s">
        <v>7620</v>
      </c>
    </row>
    <row r="7438" spans="1:3" x14ac:dyDescent="0.35">
      <c r="A7438" t="s">
        <v>223</v>
      </c>
      <c r="B7438" t="s">
        <v>65</v>
      </c>
      <c r="C7438" t="s">
        <v>7621</v>
      </c>
    </row>
    <row r="7439" spans="1:3" x14ac:dyDescent="0.35">
      <c r="A7439" t="s">
        <v>223</v>
      </c>
      <c r="B7439" t="s">
        <v>65</v>
      </c>
      <c r="C7439" t="s">
        <v>7622</v>
      </c>
    </row>
    <row r="7440" spans="1:3" x14ac:dyDescent="0.35">
      <c r="A7440" t="s">
        <v>223</v>
      </c>
      <c r="B7440" t="s">
        <v>65</v>
      </c>
      <c r="C7440" t="s">
        <v>7623</v>
      </c>
    </row>
    <row r="7441" spans="1:3" x14ac:dyDescent="0.35">
      <c r="A7441" t="s">
        <v>223</v>
      </c>
      <c r="B7441" t="s">
        <v>65</v>
      </c>
      <c r="C7441" t="s">
        <v>7624</v>
      </c>
    </row>
    <row r="7442" spans="1:3" x14ac:dyDescent="0.35">
      <c r="A7442" t="s">
        <v>223</v>
      </c>
      <c r="B7442" t="s">
        <v>65</v>
      </c>
      <c r="C7442" t="s">
        <v>7625</v>
      </c>
    </row>
    <row r="7443" spans="1:3" x14ac:dyDescent="0.35">
      <c r="A7443" t="s">
        <v>223</v>
      </c>
      <c r="B7443" t="s">
        <v>65</v>
      </c>
      <c r="C7443" t="s">
        <v>7626</v>
      </c>
    </row>
    <row r="7444" spans="1:3" x14ac:dyDescent="0.35">
      <c r="A7444" t="s">
        <v>223</v>
      </c>
      <c r="B7444" t="s">
        <v>65</v>
      </c>
      <c r="C7444" t="s">
        <v>7627</v>
      </c>
    </row>
    <row r="7445" spans="1:3" x14ac:dyDescent="0.35">
      <c r="A7445" t="s">
        <v>223</v>
      </c>
      <c r="B7445" t="s">
        <v>65</v>
      </c>
      <c r="C7445" t="s">
        <v>7628</v>
      </c>
    </row>
    <row r="7446" spans="1:3" x14ac:dyDescent="0.35">
      <c r="A7446" t="s">
        <v>223</v>
      </c>
      <c r="B7446" t="s">
        <v>65</v>
      </c>
      <c r="C7446" t="s">
        <v>7629</v>
      </c>
    </row>
    <row r="7447" spans="1:3" x14ac:dyDescent="0.35">
      <c r="A7447" t="s">
        <v>223</v>
      </c>
      <c r="B7447" t="s">
        <v>65</v>
      </c>
      <c r="C7447" t="s">
        <v>7630</v>
      </c>
    </row>
    <row r="7448" spans="1:3" x14ac:dyDescent="0.35">
      <c r="A7448" t="s">
        <v>223</v>
      </c>
      <c r="B7448" t="s">
        <v>65</v>
      </c>
      <c r="C7448" t="s">
        <v>7631</v>
      </c>
    </row>
    <row r="7449" spans="1:3" x14ac:dyDescent="0.35">
      <c r="A7449" t="s">
        <v>223</v>
      </c>
      <c r="B7449" t="s">
        <v>65</v>
      </c>
      <c r="C7449" t="s">
        <v>7632</v>
      </c>
    </row>
    <row r="7450" spans="1:3" x14ac:dyDescent="0.35">
      <c r="A7450" t="s">
        <v>223</v>
      </c>
      <c r="B7450" t="s">
        <v>65</v>
      </c>
      <c r="C7450" t="s">
        <v>7633</v>
      </c>
    </row>
    <row r="7451" spans="1:3" x14ac:dyDescent="0.35">
      <c r="A7451" t="s">
        <v>223</v>
      </c>
      <c r="B7451" t="s">
        <v>65</v>
      </c>
      <c r="C7451" t="s">
        <v>7634</v>
      </c>
    </row>
    <row r="7452" spans="1:3" x14ac:dyDescent="0.35">
      <c r="A7452" t="s">
        <v>223</v>
      </c>
      <c r="B7452" t="s">
        <v>65</v>
      </c>
      <c r="C7452" t="s">
        <v>7635</v>
      </c>
    </row>
    <row r="7453" spans="1:3" x14ac:dyDescent="0.35">
      <c r="A7453" t="s">
        <v>223</v>
      </c>
      <c r="B7453" t="s">
        <v>65</v>
      </c>
      <c r="C7453" t="s">
        <v>7636</v>
      </c>
    </row>
    <row r="7454" spans="1:3" x14ac:dyDescent="0.35">
      <c r="A7454" t="s">
        <v>223</v>
      </c>
      <c r="B7454" t="s">
        <v>65</v>
      </c>
      <c r="C7454" t="s">
        <v>65</v>
      </c>
    </row>
    <row r="7455" spans="1:3" x14ac:dyDescent="0.35">
      <c r="A7455" t="s">
        <v>223</v>
      </c>
      <c r="B7455" t="s">
        <v>65</v>
      </c>
      <c r="C7455" t="s">
        <v>7637</v>
      </c>
    </row>
    <row r="7456" spans="1:3" x14ac:dyDescent="0.35">
      <c r="A7456" t="s">
        <v>223</v>
      </c>
      <c r="B7456" t="s">
        <v>65</v>
      </c>
      <c r="C7456" t="s">
        <v>7638</v>
      </c>
    </row>
    <row r="7457" spans="1:3" x14ac:dyDescent="0.35">
      <c r="A7457" t="s">
        <v>223</v>
      </c>
      <c r="B7457" t="s">
        <v>65</v>
      </c>
      <c r="C7457" t="s">
        <v>7639</v>
      </c>
    </row>
    <row r="7458" spans="1:3" x14ac:dyDescent="0.35">
      <c r="A7458" t="s">
        <v>223</v>
      </c>
      <c r="B7458" t="s">
        <v>65</v>
      </c>
      <c r="C7458" t="s">
        <v>7640</v>
      </c>
    </row>
    <row r="7459" spans="1:3" x14ac:dyDescent="0.35">
      <c r="A7459" t="s">
        <v>223</v>
      </c>
      <c r="B7459" t="s">
        <v>65</v>
      </c>
      <c r="C7459" t="s">
        <v>7641</v>
      </c>
    </row>
    <row r="7460" spans="1:3" x14ac:dyDescent="0.35">
      <c r="A7460" t="s">
        <v>223</v>
      </c>
      <c r="B7460" t="s">
        <v>65</v>
      </c>
      <c r="C7460" t="s">
        <v>7642</v>
      </c>
    </row>
    <row r="7461" spans="1:3" x14ac:dyDescent="0.35">
      <c r="A7461" t="s">
        <v>223</v>
      </c>
      <c r="B7461" t="s">
        <v>65</v>
      </c>
      <c r="C7461" t="s">
        <v>7643</v>
      </c>
    </row>
    <row r="7462" spans="1:3" x14ac:dyDescent="0.35">
      <c r="A7462" t="s">
        <v>223</v>
      </c>
      <c r="B7462" t="s">
        <v>65</v>
      </c>
      <c r="C7462" t="s">
        <v>7644</v>
      </c>
    </row>
    <row r="7463" spans="1:3" x14ac:dyDescent="0.35">
      <c r="A7463" t="s">
        <v>223</v>
      </c>
      <c r="B7463" t="s">
        <v>65</v>
      </c>
      <c r="C7463" t="s">
        <v>7645</v>
      </c>
    </row>
    <row r="7464" spans="1:3" x14ac:dyDescent="0.35">
      <c r="A7464" t="s">
        <v>223</v>
      </c>
      <c r="B7464" t="s">
        <v>65</v>
      </c>
      <c r="C7464" t="s">
        <v>7646</v>
      </c>
    </row>
    <row r="7465" spans="1:3" x14ac:dyDescent="0.35">
      <c r="A7465" t="s">
        <v>223</v>
      </c>
      <c r="B7465" t="s">
        <v>65</v>
      </c>
      <c r="C7465" t="s">
        <v>7647</v>
      </c>
    </row>
    <row r="7466" spans="1:3" x14ac:dyDescent="0.35">
      <c r="A7466" t="s">
        <v>223</v>
      </c>
      <c r="B7466" t="s">
        <v>65</v>
      </c>
      <c r="C7466" t="s">
        <v>7648</v>
      </c>
    </row>
    <row r="7467" spans="1:3" x14ac:dyDescent="0.35">
      <c r="A7467" t="s">
        <v>223</v>
      </c>
      <c r="B7467" t="s">
        <v>65</v>
      </c>
      <c r="C7467" t="s">
        <v>7649</v>
      </c>
    </row>
    <row r="7468" spans="1:3" x14ac:dyDescent="0.35">
      <c r="A7468" t="s">
        <v>223</v>
      </c>
      <c r="B7468" t="s">
        <v>65</v>
      </c>
      <c r="C7468" t="s">
        <v>7650</v>
      </c>
    </row>
    <row r="7469" spans="1:3" x14ac:dyDescent="0.35">
      <c r="A7469" t="s">
        <v>223</v>
      </c>
      <c r="B7469" t="s">
        <v>65</v>
      </c>
      <c r="C7469" t="s">
        <v>7651</v>
      </c>
    </row>
    <row r="7470" spans="1:3" x14ac:dyDescent="0.35">
      <c r="A7470" t="s">
        <v>223</v>
      </c>
      <c r="B7470" t="s">
        <v>65</v>
      </c>
      <c r="C7470" t="s">
        <v>7652</v>
      </c>
    </row>
    <row r="7471" spans="1:3" x14ac:dyDescent="0.35">
      <c r="A7471" t="s">
        <v>223</v>
      </c>
      <c r="B7471" t="s">
        <v>65</v>
      </c>
      <c r="C7471" t="s">
        <v>7653</v>
      </c>
    </row>
    <row r="7472" spans="1:3" x14ac:dyDescent="0.35">
      <c r="A7472" t="s">
        <v>223</v>
      </c>
      <c r="B7472" t="s">
        <v>65</v>
      </c>
      <c r="C7472" t="s">
        <v>7654</v>
      </c>
    </row>
    <row r="7473" spans="1:3" x14ac:dyDescent="0.35">
      <c r="A7473" t="s">
        <v>223</v>
      </c>
      <c r="B7473" t="s">
        <v>65</v>
      </c>
      <c r="C7473" t="s">
        <v>7655</v>
      </c>
    </row>
    <row r="7474" spans="1:3" x14ac:dyDescent="0.35">
      <c r="A7474" t="s">
        <v>223</v>
      </c>
      <c r="B7474" t="s">
        <v>65</v>
      </c>
      <c r="C7474" t="s">
        <v>7656</v>
      </c>
    </row>
    <row r="7475" spans="1:3" x14ac:dyDescent="0.35">
      <c r="A7475" t="s">
        <v>223</v>
      </c>
      <c r="B7475" t="s">
        <v>65</v>
      </c>
      <c r="C7475" t="s">
        <v>7657</v>
      </c>
    </row>
    <row r="7476" spans="1:3" x14ac:dyDescent="0.35">
      <c r="A7476" t="s">
        <v>223</v>
      </c>
      <c r="B7476" t="s">
        <v>65</v>
      </c>
      <c r="C7476" t="s">
        <v>7658</v>
      </c>
    </row>
    <row r="7477" spans="1:3" x14ac:dyDescent="0.35">
      <c r="A7477" t="s">
        <v>223</v>
      </c>
      <c r="B7477" t="s">
        <v>65</v>
      </c>
      <c r="C7477" t="s">
        <v>7659</v>
      </c>
    </row>
    <row r="7478" spans="1:3" x14ac:dyDescent="0.35">
      <c r="A7478" t="s">
        <v>223</v>
      </c>
      <c r="B7478" t="s">
        <v>65</v>
      </c>
      <c r="C7478" t="s">
        <v>7660</v>
      </c>
    </row>
    <row r="7479" spans="1:3" x14ac:dyDescent="0.35">
      <c r="A7479" t="s">
        <v>223</v>
      </c>
      <c r="B7479" t="s">
        <v>65</v>
      </c>
      <c r="C7479" t="s">
        <v>7661</v>
      </c>
    </row>
    <row r="7480" spans="1:3" x14ac:dyDescent="0.35">
      <c r="A7480" t="s">
        <v>223</v>
      </c>
      <c r="B7480" t="s">
        <v>65</v>
      </c>
      <c r="C7480" t="s">
        <v>7662</v>
      </c>
    </row>
    <row r="7481" spans="1:3" x14ac:dyDescent="0.35">
      <c r="A7481" t="s">
        <v>223</v>
      </c>
      <c r="B7481" t="s">
        <v>65</v>
      </c>
      <c r="C7481" t="s">
        <v>7663</v>
      </c>
    </row>
    <row r="7482" spans="1:3" x14ac:dyDescent="0.35">
      <c r="A7482" t="s">
        <v>223</v>
      </c>
      <c r="B7482" t="s">
        <v>65</v>
      </c>
      <c r="C7482" t="s">
        <v>7664</v>
      </c>
    </row>
    <row r="7483" spans="1:3" x14ac:dyDescent="0.35">
      <c r="A7483" t="s">
        <v>223</v>
      </c>
      <c r="B7483" t="s">
        <v>65</v>
      </c>
      <c r="C7483" t="s">
        <v>7665</v>
      </c>
    </row>
    <row r="7484" spans="1:3" x14ac:dyDescent="0.35">
      <c r="A7484" t="s">
        <v>223</v>
      </c>
      <c r="B7484" t="s">
        <v>65</v>
      </c>
      <c r="C7484" t="s">
        <v>7666</v>
      </c>
    </row>
    <row r="7485" spans="1:3" x14ac:dyDescent="0.35">
      <c r="A7485" t="s">
        <v>223</v>
      </c>
      <c r="B7485" t="s">
        <v>65</v>
      </c>
      <c r="C7485" t="s">
        <v>7667</v>
      </c>
    </row>
    <row r="7486" spans="1:3" x14ac:dyDescent="0.35">
      <c r="A7486" t="s">
        <v>223</v>
      </c>
      <c r="B7486" t="s">
        <v>65</v>
      </c>
      <c r="C7486" t="s">
        <v>7668</v>
      </c>
    </row>
    <row r="7487" spans="1:3" x14ac:dyDescent="0.35">
      <c r="A7487" t="s">
        <v>223</v>
      </c>
      <c r="B7487" t="s">
        <v>65</v>
      </c>
      <c r="C7487" t="s">
        <v>7669</v>
      </c>
    </row>
    <row r="7488" spans="1:3" x14ac:dyDescent="0.35">
      <c r="A7488" t="s">
        <v>223</v>
      </c>
      <c r="B7488" t="s">
        <v>65</v>
      </c>
      <c r="C7488" t="s">
        <v>7670</v>
      </c>
    </row>
    <row r="7489" spans="1:3" x14ac:dyDescent="0.35">
      <c r="A7489" t="s">
        <v>223</v>
      </c>
      <c r="B7489" t="s">
        <v>65</v>
      </c>
      <c r="C7489" t="s">
        <v>7671</v>
      </c>
    </row>
    <row r="7490" spans="1:3" x14ac:dyDescent="0.35">
      <c r="A7490" t="s">
        <v>223</v>
      </c>
      <c r="B7490" t="s">
        <v>65</v>
      </c>
      <c r="C7490" t="s">
        <v>7672</v>
      </c>
    </row>
    <row r="7491" spans="1:3" x14ac:dyDescent="0.35">
      <c r="A7491" t="s">
        <v>223</v>
      </c>
      <c r="B7491" t="s">
        <v>65</v>
      </c>
      <c r="C7491" t="s">
        <v>7673</v>
      </c>
    </row>
    <row r="7492" spans="1:3" x14ac:dyDescent="0.35">
      <c r="A7492" t="s">
        <v>223</v>
      </c>
      <c r="B7492" t="s">
        <v>65</v>
      </c>
      <c r="C7492" t="s">
        <v>7674</v>
      </c>
    </row>
    <row r="7493" spans="1:3" x14ac:dyDescent="0.35">
      <c r="A7493" t="s">
        <v>223</v>
      </c>
      <c r="B7493" t="s">
        <v>65</v>
      </c>
      <c r="C7493" t="s">
        <v>7675</v>
      </c>
    </row>
    <row r="7494" spans="1:3" x14ac:dyDescent="0.35">
      <c r="A7494" t="s">
        <v>223</v>
      </c>
      <c r="B7494" t="s">
        <v>65</v>
      </c>
      <c r="C7494" t="s">
        <v>7676</v>
      </c>
    </row>
    <row r="7495" spans="1:3" x14ac:dyDescent="0.35">
      <c r="A7495" t="s">
        <v>223</v>
      </c>
      <c r="B7495" t="s">
        <v>65</v>
      </c>
      <c r="C7495" t="s">
        <v>7677</v>
      </c>
    </row>
    <row r="7496" spans="1:3" x14ac:dyDescent="0.35">
      <c r="A7496" t="s">
        <v>223</v>
      </c>
      <c r="B7496" t="s">
        <v>65</v>
      </c>
      <c r="C7496" t="s">
        <v>7678</v>
      </c>
    </row>
    <row r="7497" spans="1:3" x14ac:dyDescent="0.35">
      <c r="A7497" t="s">
        <v>223</v>
      </c>
      <c r="B7497" t="s">
        <v>65</v>
      </c>
      <c r="C7497" t="s">
        <v>7679</v>
      </c>
    </row>
    <row r="7498" spans="1:3" x14ac:dyDescent="0.35">
      <c r="A7498" t="s">
        <v>223</v>
      </c>
      <c r="B7498" t="s">
        <v>262</v>
      </c>
      <c r="C7498" t="s">
        <v>7680</v>
      </c>
    </row>
    <row r="7499" spans="1:3" x14ac:dyDescent="0.35">
      <c r="A7499" t="s">
        <v>223</v>
      </c>
      <c r="B7499" t="s">
        <v>262</v>
      </c>
      <c r="C7499" t="s">
        <v>7681</v>
      </c>
    </row>
    <row r="7500" spans="1:3" x14ac:dyDescent="0.35">
      <c r="A7500" t="s">
        <v>223</v>
      </c>
      <c r="B7500" t="s">
        <v>262</v>
      </c>
      <c r="C7500" t="s">
        <v>7682</v>
      </c>
    </row>
    <row r="7501" spans="1:3" x14ac:dyDescent="0.35">
      <c r="A7501" t="s">
        <v>223</v>
      </c>
      <c r="B7501" t="s">
        <v>262</v>
      </c>
      <c r="C7501" t="s">
        <v>7683</v>
      </c>
    </row>
    <row r="7502" spans="1:3" x14ac:dyDescent="0.35">
      <c r="A7502" t="s">
        <v>223</v>
      </c>
      <c r="B7502" t="s">
        <v>262</v>
      </c>
      <c r="C7502" t="s">
        <v>7684</v>
      </c>
    </row>
    <row r="7503" spans="1:3" x14ac:dyDescent="0.35">
      <c r="A7503" t="s">
        <v>223</v>
      </c>
      <c r="B7503" t="s">
        <v>262</v>
      </c>
      <c r="C7503" t="s">
        <v>7685</v>
      </c>
    </row>
    <row r="7504" spans="1:3" x14ac:dyDescent="0.35">
      <c r="A7504" t="s">
        <v>223</v>
      </c>
      <c r="B7504" t="s">
        <v>262</v>
      </c>
      <c r="C7504" t="s">
        <v>7686</v>
      </c>
    </row>
    <row r="7505" spans="1:3" x14ac:dyDescent="0.35">
      <c r="A7505" t="s">
        <v>223</v>
      </c>
      <c r="B7505" t="s">
        <v>262</v>
      </c>
      <c r="C7505" t="s">
        <v>7687</v>
      </c>
    </row>
    <row r="7506" spans="1:3" x14ac:dyDescent="0.35">
      <c r="A7506" t="s">
        <v>223</v>
      </c>
      <c r="B7506" t="s">
        <v>262</v>
      </c>
      <c r="C7506" t="s">
        <v>7688</v>
      </c>
    </row>
    <row r="7507" spans="1:3" x14ac:dyDescent="0.35">
      <c r="A7507" t="s">
        <v>223</v>
      </c>
      <c r="B7507" t="s">
        <v>262</v>
      </c>
      <c r="C7507" t="s">
        <v>7689</v>
      </c>
    </row>
    <row r="7508" spans="1:3" x14ac:dyDescent="0.35">
      <c r="A7508" t="s">
        <v>223</v>
      </c>
      <c r="B7508" t="s">
        <v>262</v>
      </c>
      <c r="C7508" t="s">
        <v>7690</v>
      </c>
    </row>
    <row r="7509" spans="1:3" x14ac:dyDescent="0.35">
      <c r="A7509" t="s">
        <v>223</v>
      </c>
      <c r="B7509" t="s">
        <v>262</v>
      </c>
      <c r="C7509" t="s">
        <v>7691</v>
      </c>
    </row>
    <row r="7510" spans="1:3" x14ac:dyDescent="0.35">
      <c r="A7510" t="s">
        <v>223</v>
      </c>
      <c r="B7510" t="s">
        <v>262</v>
      </c>
      <c r="C7510" t="s">
        <v>7692</v>
      </c>
    </row>
    <row r="7511" spans="1:3" x14ac:dyDescent="0.35">
      <c r="A7511" t="s">
        <v>223</v>
      </c>
      <c r="B7511" t="s">
        <v>262</v>
      </c>
      <c r="C7511" t="s">
        <v>7693</v>
      </c>
    </row>
    <row r="7512" spans="1:3" x14ac:dyDescent="0.35">
      <c r="A7512" t="s">
        <v>223</v>
      </c>
      <c r="B7512" t="s">
        <v>262</v>
      </c>
      <c r="C7512" t="s">
        <v>7694</v>
      </c>
    </row>
    <row r="7513" spans="1:3" x14ac:dyDescent="0.35">
      <c r="A7513" t="s">
        <v>223</v>
      </c>
      <c r="B7513" t="s">
        <v>262</v>
      </c>
      <c r="C7513" t="s">
        <v>7695</v>
      </c>
    </row>
    <row r="7514" spans="1:3" x14ac:dyDescent="0.35">
      <c r="A7514" t="s">
        <v>223</v>
      </c>
      <c r="B7514" t="s">
        <v>262</v>
      </c>
      <c r="C7514" t="s">
        <v>7696</v>
      </c>
    </row>
    <row r="7515" spans="1:3" x14ac:dyDescent="0.35">
      <c r="A7515" t="s">
        <v>223</v>
      </c>
      <c r="B7515" t="s">
        <v>262</v>
      </c>
      <c r="C7515" t="s">
        <v>7697</v>
      </c>
    </row>
    <row r="7516" spans="1:3" x14ac:dyDescent="0.35">
      <c r="A7516" t="s">
        <v>223</v>
      </c>
      <c r="B7516" t="s">
        <v>262</v>
      </c>
      <c r="C7516" t="s">
        <v>7698</v>
      </c>
    </row>
    <row r="7517" spans="1:3" x14ac:dyDescent="0.35">
      <c r="A7517" t="s">
        <v>223</v>
      </c>
      <c r="B7517" t="s">
        <v>262</v>
      </c>
      <c r="C7517" t="s">
        <v>7699</v>
      </c>
    </row>
    <row r="7518" spans="1:3" x14ac:dyDescent="0.35">
      <c r="A7518" t="s">
        <v>223</v>
      </c>
      <c r="B7518" t="s">
        <v>262</v>
      </c>
      <c r="C7518" t="s">
        <v>7700</v>
      </c>
    </row>
    <row r="7519" spans="1:3" x14ac:dyDescent="0.35">
      <c r="A7519" t="s">
        <v>223</v>
      </c>
      <c r="B7519" t="s">
        <v>262</v>
      </c>
      <c r="C7519" t="s">
        <v>7701</v>
      </c>
    </row>
    <row r="7520" spans="1:3" x14ac:dyDescent="0.35">
      <c r="A7520" t="s">
        <v>223</v>
      </c>
      <c r="B7520" t="s">
        <v>262</v>
      </c>
      <c r="C7520" t="s">
        <v>7702</v>
      </c>
    </row>
    <row r="7521" spans="1:3" x14ac:dyDescent="0.35">
      <c r="A7521" t="s">
        <v>223</v>
      </c>
      <c r="B7521" t="s">
        <v>262</v>
      </c>
      <c r="C7521" t="s">
        <v>7703</v>
      </c>
    </row>
    <row r="7522" spans="1:3" x14ac:dyDescent="0.35">
      <c r="A7522" t="s">
        <v>223</v>
      </c>
      <c r="B7522" t="s">
        <v>262</v>
      </c>
      <c r="C7522" t="s">
        <v>7704</v>
      </c>
    </row>
    <row r="7523" spans="1:3" x14ac:dyDescent="0.35">
      <c r="A7523" t="s">
        <v>223</v>
      </c>
      <c r="B7523" t="s">
        <v>262</v>
      </c>
      <c r="C7523" t="s">
        <v>7705</v>
      </c>
    </row>
    <row r="7524" spans="1:3" x14ac:dyDescent="0.35">
      <c r="A7524" t="s">
        <v>223</v>
      </c>
      <c r="B7524" t="s">
        <v>262</v>
      </c>
      <c r="C7524" t="s">
        <v>7706</v>
      </c>
    </row>
    <row r="7525" spans="1:3" x14ac:dyDescent="0.35">
      <c r="A7525" t="s">
        <v>223</v>
      </c>
      <c r="B7525" t="s">
        <v>262</v>
      </c>
      <c r="C7525" t="s">
        <v>7707</v>
      </c>
    </row>
    <row r="7526" spans="1:3" x14ac:dyDescent="0.35">
      <c r="A7526" t="s">
        <v>223</v>
      </c>
      <c r="B7526" t="s">
        <v>262</v>
      </c>
      <c r="C7526" t="s">
        <v>7708</v>
      </c>
    </row>
    <row r="7527" spans="1:3" x14ac:dyDescent="0.35">
      <c r="A7527" t="s">
        <v>223</v>
      </c>
      <c r="B7527" t="s">
        <v>262</v>
      </c>
      <c r="C7527" t="s">
        <v>7709</v>
      </c>
    </row>
    <row r="7528" spans="1:3" x14ac:dyDescent="0.35">
      <c r="A7528" t="s">
        <v>223</v>
      </c>
      <c r="B7528" t="s">
        <v>262</v>
      </c>
      <c r="C7528" t="s">
        <v>7710</v>
      </c>
    </row>
    <row r="7529" spans="1:3" x14ac:dyDescent="0.35">
      <c r="A7529" t="s">
        <v>223</v>
      </c>
      <c r="B7529" t="s">
        <v>262</v>
      </c>
      <c r="C7529" t="s">
        <v>7711</v>
      </c>
    </row>
    <row r="7530" spans="1:3" x14ac:dyDescent="0.35">
      <c r="A7530" t="s">
        <v>223</v>
      </c>
      <c r="B7530" t="s">
        <v>262</v>
      </c>
      <c r="C7530" t="s">
        <v>7712</v>
      </c>
    </row>
    <row r="7531" spans="1:3" x14ac:dyDescent="0.35">
      <c r="A7531" t="s">
        <v>223</v>
      </c>
      <c r="B7531" t="s">
        <v>262</v>
      </c>
      <c r="C7531" t="s">
        <v>7713</v>
      </c>
    </row>
    <row r="7532" spans="1:3" x14ac:dyDescent="0.35">
      <c r="A7532" t="s">
        <v>223</v>
      </c>
      <c r="B7532" t="s">
        <v>262</v>
      </c>
      <c r="C7532" t="s">
        <v>7714</v>
      </c>
    </row>
    <row r="7533" spans="1:3" x14ac:dyDescent="0.35">
      <c r="A7533" t="s">
        <v>223</v>
      </c>
      <c r="B7533" t="s">
        <v>262</v>
      </c>
      <c r="C7533" t="s">
        <v>7715</v>
      </c>
    </row>
    <row r="7534" spans="1:3" x14ac:dyDescent="0.35">
      <c r="A7534" t="s">
        <v>223</v>
      </c>
      <c r="B7534" t="s">
        <v>262</v>
      </c>
      <c r="C7534" t="s">
        <v>7716</v>
      </c>
    </row>
    <row r="7535" spans="1:3" x14ac:dyDescent="0.35">
      <c r="A7535" t="s">
        <v>223</v>
      </c>
      <c r="B7535" t="s">
        <v>262</v>
      </c>
      <c r="C7535" t="s">
        <v>7717</v>
      </c>
    </row>
    <row r="7536" spans="1:3" x14ac:dyDescent="0.35">
      <c r="A7536" t="s">
        <v>223</v>
      </c>
      <c r="B7536" t="s">
        <v>262</v>
      </c>
      <c r="C7536" t="s">
        <v>7718</v>
      </c>
    </row>
    <row r="7537" spans="1:3" x14ac:dyDescent="0.35">
      <c r="A7537" t="s">
        <v>223</v>
      </c>
      <c r="B7537" t="s">
        <v>262</v>
      </c>
      <c r="C7537" t="s">
        <v>262</v>
      </c>
    </row>
    <row r="7538" spans="1:3" x14ac:dyDescent="0.35">
      <c r="A7538" t="s">
        <v>223</v>
      </c>
      <c r="B7538" t="s">
        <v>262</v>
      </c>
      <c r="C7538" t="s">
        <v>7719</v>
      </c>
    </row>
    <row r="7539" spans="1:3" x14ac:dyDescent="0.35">
      <c r="A7539" t="s">
        <v>223</v>
      </c>
      <c r="B7539" t="s">
        <v>262</v>
      </c>
      <c r="C7539" t="s">
        <v>7720</v>
      </c>
    </row>
    <row r="7540" spans="1:3" x14ac:dyDescent="0.35">
      <c r="A7540" t="s">
        <v>223</v>
      </c>
      <c r="B7540" t="s">
        <v>262</v>
      </c>
      <c r="C7540" t="s">
        <v>7721</v>
      </c>
    </row>
    <row r="7541" spans="1:3" x14ac:dyDescent="0.35">
      <c r="A7541" t="s">
        <v>223</v>
      </c>
      <c r="B7541" t="s">
        <v>262</v>
      </c>
      <c r="C7541" t="s">
        <v>7722</v>
      </c>
    </row>
    <row r="7542" spans="1:3" x14ac:dyDescent="0.35">
      <c r="A7542" t="s">
        <v>223</v>
      </c>
      <c r="B7542" t="s">
        <v>262</v>
      </c>
      <c r="C7542" t="s">
        <v>7723</v>
      </c>
    </row>
    <row r="7543" spans="1:3" x14ac:dyDescent="0.35">
      <c r="A7543" t="s">
        <v>223</v>
      </c>
      <c r="B7543" t="s">
        <v>262</v>
      </c>
      <c r="C7543" t="s">
        <v>7724</v>
      </c>
    </row>
    <row r="7544" spans="1:3" x14ac:dyDescent="0.35">
      <c r="A7544" t="s">
        <v>223</v>
      </c>
      <c r="B7544" t="s">
        <v>262</v>
      </c>
      <c r="C7544" t="s">
        <v>7725</v>
      </c>
    </row>
    <row r="7545" spans="1:3" x14ac:dyDescent="0.35">
      <c r="A7545" t="s">
        <v>223</v>
      </c>
      <c r="B7545" t="s">
        <v>262</v>
      </c>
      <c r="C7545" t="s">
        <v>7726</v>
      </c>
    </row>
    <row r="7546" spans="1:3" x14ac:dyDescent="0.35">
      <c r="A7546" t="s">
        <v>223</v>
      </c>
      <c r="B7546" t="s">
        <v>262</v>
      </c>
      <c r="C7546" t="s">
        <v>7727</v>
      </c>
    </row>
    <row r="7547" spans="1:3" x14ac:dyDescent="0.35">
      <c r="A7547" t="s">
        <v>223</v>
      </c>
      <c r="B7547" t="s">
        <v>262</v>
      </c>
      <c r="C7547" t="s">
        <v>7728</v>
      </c>
    </row>
    <row r="7548" spans="1:3" x14ac:dyDescent="0.35">
      <c r="A7548" t="s">
        <v>223</v>
      </c>
      <c r="B7548" t="s">
        <v>77</v>
      </c>
      <c r="C7548" t="s">
        <v>7729</v>
      </c>
    </row>
    <row r="7549" spans="1:3" x14ac:dyDescent="0.35">
      <c r="A7549" t="s">
        <v>223</v>
      </c>
      <c r="B7549" t="s">
        <v>77</v>
      </c>
      <c r="C7549" t="s">
        <v>7730</v>
      </c>
    </row>
    <row r="7550" spans="1:3" x14ac:dyDescent="0.35">
      <c r="A7550" t="s">
        <v>223</v>
      </c>
      <c r="B7550" t="s">
        <v>77</v>
      </c>
      <c r="C7550" t="s">
        <v>7731</v>
      </c>
    </row>
    <row r="7551" spans="1:3" x14ac:dyDescent="0.35">
      <c r="A7551" t="s">
        <v>223</v>
      </c>
      <c r="B7551" t="s">
        <v>77</v>
      </c>
      <c r="C7551" t="s">
        <v>7732</v>
      </c>
    </row>
    <row r="7552" spans="1:3" x14ac:dyDescent="0.35">
      <c r="A7552" t="s">
        <v>223</v>
      </c>
      <c r="B7552" t="s">
        <v>77</v>
      </c>
      <c r="C7552" t="s">
        <v>7733</v>
      </c>
    </row>
    <row r="7553" spans="1:3" x14ac:dyDescent="0.35">
      <c r="A7553" t="s">
        <v>223</v>
      </c>
      <c r="B7553" t="s">
        <v>77</v>
      </c>
      <c r="C7553" t="s">
        <v>7734</v>
      </c>
    </row>
    <row r="7554" spans="1:3" x14ac:dyDescent="0.35">
      <c r="A7554" t="s">
        <v>223</v>
      </c>
      <c r="B7554" t="s">
        <v>77</v>
      </c>
      <c r="C7554" t="s">
        <v>7735</v>
      </c>
    </row>
    <row r="7555" spans="1:3" x14ac:dyDescent="0.35">
      <c r="A7555" t="s">
        <v>223</v>
      </c>
      <c r="B7555" t="s">
        <v>77</v>
      </c>
      <c r="C7555" t="s">
        <v>7736</v>
      </c>
    </row>
    <row r="7556" spans="1:3" x14ac:dyDescent="0.35">
      <c r="A7556" t="s">
        <v>223</v>
      </c>
      <c r="B7556" t="s">
        <v>77</v>
      </c>
      <c r="C7556" t="s">
        <v>7737</v>
      </c>
    </row>
    <row r="7557" spans="1:3" x14ac:dyDescent="0.35">
      <c r="A7557" t="s">
        <v>223</v>
      </c>
      <c r="B7557" t="s">
        <v>77</v>
      </c>
      <c r="C7557" t="s">
        <v>7738</v>
      </c>
    </row>
    <row r="7558" spans="1:3" x14ac:dyDescent="0.35">
      <c r="A7558" t="s">
        <v>223</v>
      </c>
      <c r="B7558" t="s">
        <v>77</v>
      </c>
      <c r="C7558" t="s">
        <v>7739</v>
      </c>
    </row>
    <row r="7559" spans="1:3" x14ac:dyDescent="0.35">
      <c r="A7559" t="s">
        <v>223</v>
      </c>
      <c r="B7559" t="s">
        <v>77</v>
      </c>
      <c r="C7559" t="s">
        <v>7740</v>
      </c>
    </row>
    <row r="7560" spans="1:3" x14ac:dyDescent="0.35">
      <c r="A7560" t="s">
        <v>223</v>
      </c>
      <c r="B7560" t="s">
        <v>77</v>
      </c>
      <c r="C7560" t="s">
        <v>7741</v>
      </c>
    </row>
    <row r="7561" spans="1:3" x14ac:dyDescent="0.35">
      <c r="A7561" t="s">
        <v>223</v>
      </c>
      <c r="B7561" t="s">
        <v>77</v>
      </c>
      <c r="C7561" t="s">
        <v>7742</v>
      </c>
    </row>
    <row r="7562" spans="1:3" x14ac:dyDescent="0.35">
      <c r="A7562" t="s">
        <v>223</v>
      </c>
      <c r="B7562" t="s">
        <v>77</v>
      </c>
      <c r="C7562" t="s">
        <v>7743</v>
      </c>
    </row>
    <row r="7563" spans="1:3" x14ac:dyDescent="0.35">
      <c r="A7563" t="s">
        <v>223</v>
      </c>
      <c r="B7563" t="s">
        <v>77</v>
      </c>
      <c r="C7563" t="s">
        <v>7744</v>
      </c>
    </row>
    <row r="7564" spans="1:3" x14ac:dyDescent="0.35">
      <c r="A7564" t="s">
        <v>223</v>
      </c>
      <c r="B7564" t="s">
        <v>77</v>
      </c>
      <c r="C7564" t="s">
        <v>7745</v>
      </c>
    </row>
    <row r="7565" spans="1:3" x14ac:dyDescent="0.35">
      <c r="A7565" t="s">
        <v>223</v>
      </c>
      <c r="B7565" t="s">
        <v>77</v>
      </c>
      <c r="C7565" t="s">
        <v>7746</v>
      </c>
    </row>
    <row r="7566" spans="1:3" x14ac:dyDescent="0.35">
      <c r="A7566" t="s">
        <v>223</v>
      </c>
      <c r="B7566" t="s">
        <v>77</v>
      </c>
      <c r="C7566" t="s">
        <v>7747</v>
      </c>
    </row>
    <row r="7567" spans="1:3" x14ac:dyDescent="0.35">
      <c r="A7567" t="s">
        <v>223</v>
      </c>
      <c r="B7567" t="s">
        <v>77</v>
      </c>
      <c r="C7567" t="s">
        <v>7748</v>
      </c>
    </row>
    <row r="7568" spans="1:3" x14ac:dyDescent="0.35">
      <c r="A7568" t="s">
        <v>223</v>
      </c>
      <c r="B7568" t="s">
        <v>77</v>
      </c>
      <c r="C7568" t="s">
        <v>7749</v>
      </c>
    </row>
    <row r="7569" spans="1:3" x14ac:dyDescent="0.35">
      <c r="A7569" t="s">
        <v>223</v>
      </c>
      <c r="B7569" t="s">
        <v>77</v>
      </c>
      <c r="C7569" t="s">
        <v>7750</v>
      </c>
    </row>
    <row r="7570" spans="1:3" x14ac:dyDescent="0.35">
      <c r="A7570" t="s">
        <v>223</v>
      </c>
      <c r="B7570" t="s">
        <v>77</v>
      </c>
      <c r="C7570" t="s">
        <v>7751</v>
      </c>
    </row>
    <row r="7571" spans="1:3" x14ac:dyDescent="0.35">
      <c r="A7571" t="s">
        <v>223</v>
      </c>
      <c r="B7571" t="s">
        <v>77</v>
      </c>
      <c r="C7571" t="s">
        <v>7752</v>
      </c>
    </row>
    <row r="7572" spans="1:3" x14ac:dyDescent="0.35">
      <c r="A7572" t="s">
        <v>223</v>
      </c>
      <c r="B7572" t="s">
        <v>77</v>
      </c>
      <c r="C7572" t="s">
        <v>7753</v>
      </c>
    </row>
    <row r="7573" spans="1:3" x14ac:dyDescent="0.35">
      <c r="A7573" t="s">
        <v>223</v>
      </c>
      <c r="B7573" t="s">
        <v>77</v>
      </c>
      <c r="C7573" t="s">
        <v>7754</v>
      </c>
    </row>
    <row r="7574" spans="1:3" x14ac:dyDescent="0.35">
      <c r="A7574" t="s">
        <v>223</v>
      </c>
      <c r="B7574" t="s">
        <v>77</v>
      </c>
      <c r="C7574" t="s">
        <v>7755</v>
      </c>
    </row>
    <row r="7575" spans="1:3" x14ac:dyDescent="0.35">
      <c r="A7575" t="s">
        <v>223</v>
      </c>
      <c r="B7575" t="s">
        <v>77</v>
      </c>
      <c r="C7575" t="s">
        <v>296</v>
      </c>
    </row>
    <row r="7576" spans="1:3" x14ac:dyDescent="0.35">
      <c r="A7576" t="s">
        <v>223</v>
      </c>
      <c r="B7576" t="s">
        <v>77</v>
      </c>
      <c r="C7576" t="s">
        <v>7756</v>
      </c>
    </row>
    <row r="7577" spans="1:3" x14ac:dyDescent="0.35">
      <c r="A7577" t="s">
        <v>223</v>
      </c>
      <c r="B7577" t="s">
        <v>77</v>
      </c>
      <c r="C7577" t="s">
        <v>7757</v>
      </c>
    </row>
    <row r="7578" spans="1:3" x14ac:dyDescent="0.35">
      <c r="A7578" t="s">
        <v>223</v>
      </c>
      <c r="B7578" t="s">
        <v>77</v>
      </c>
      <c r="C7578" t="s">
        <v>7758</v>
      </c>
    </row>
    <row r="7579" spans="1:3" x14ac:dyDescent="0.35">
      <c r="A7579" t="s">
        <v>223</v>
      </c>
      <c r="B7579" t="s">
        <v>77</v>
      </c>
      <c r="C7579" t="s">
        <v>7759</v>
      </c>
    </row>
    <row r="7580" spans="1:3" x14ac:dyDescent="0.35">
      <c r="A7580" t="s">
        <v>223</v>
      </c>
      <c r="B7580" t="s">
        <v>77</v>
      </c>
      <c r="C7580" t="s">
        <v>7760</v>
      </c>
    </row>
    <row r="7581" spans="1:3" x14ac:dyDescent="0.35">
      <c r="A7581" t="s">
        <v>223</v>
      </c>
      <c r="B7581" t="s">
        <v>77</v>
      </c>
      <c r="C7581" t="s">
        <v>7761</v>
      </c>
    </row>
    <row r="7582" spans="1:3" x14ac:dyDescent="0.35">
      <c r="A7582" t="s">
        <v>223</v>
      </c>
      <c r="B7582" t="s">
        <v>77</v>
      </c>
      <c r="C7582" t="s">
        <v>7762</v>
      </c>
    </row>
    <row r="7583" spans="1:3" x14ac:dyDescent="0.35">
      <c r="A7583" t="s">
        <v>223</v>
      </c>
      <c r="B7583" t="s">
        <v>77</v>
      </c>
      <c r="C7583" t="s">
        <v>7763</v>
      </c>
    </row>
    <row r="7584" spans="1:3" x14ac:dyDescent="0.35">
      <c r="A7584" t="s">
        <v>223</v>
      </c>
      <c r="B7584" t="s">
        <v>77</v>
      </c>
      <c r="C7584" t="s">
        <v>7764</v>
      </c>
    </row>
    <row r="7585" spans="1:3" x14ac:dyDescent="0.35">
      <c r="A7585" t="s">
        <v>223</v>
      </c>
      <c r="B7585" t="s">
        <v>77</v>
      </c>
      <c r="C7585" t="s">
        <v>7765</v>
      </c>
    </row>
    <row r="7586" spans="1:3" x14ac:dyDescent="0.35">
      <c r="A7586" t="s">
        <v>223</v>
      </c>
      <c r="B7586" t="s">
        <v>77</v>
      </c>
      <c r="C7586" t="s">
        <v>7766</v>
      </c>
    </row>
    <row r="7587" spans="1:3" x14ac:dyDescent="0.35">
      <c r="A7587" t="s">
        <v>223</v>
      </c>
      <c r="B7587" t="s">
        <v>77</v>
      </c>
      <c r="C7587" t="s">
        <v>7767</v>
      </c>
    </row>
    <row r="7588" spans="1:3" x14ac:dyDescent="0.35">
      <c r="A7588" t="s">
        <v>223</v>
      </c>
      <c r="B7588" t="s">
        <v>77</v>
      </c>
      <c r="C7588" t="s">
        <v>7768</v>
      </c>
    </row>
    <row r="7589" spans="1:3" x14ac:dyDescent="0.35">
      <c r="A7589" t="s">
        <v>223</v>
      </c>
      <c r="B7589" t="s">
        <v>77</v>
      </c>
      <c r="C7589" t="s">
        <v>7769</v>
      </c>
    </row>
    <row r="7590" spans="1:3" x14ac:dyDescent="0.35">
      <c r="A7590" t="s">
        <v>223</v>
      </c>
      <c r="B7590" t="s">
        <v>77</v>
      </c>
      <c r="C7590" t="s">
        <v>7770</v>
      </c>
    </row>
    <row r="7591" spans="1:3" x14ac:dyDescent="0.35">
      <c r="A7591" t="s">
        <v>223</v>
      </c>
      <c r="B7591" t="s">
        <v>77</v>
      </c>
      <c r="C7591" t="s">
        <v>7771</v>
      </c>
    </row>
    <row r="7592" spans="1:3" x14ac:dyDescent="0.35">
      <c r="A7592" t="s">
        <v>223</v>
      </c>
      <c r="B7592" t="s">
        <v>77</v>
      </c>
      <c r="C7592" t="s">
        <v>7772</v>
      </c>
    </row>
    <row r="7593" spans="1:3" x14ac:dyDescent="0.35">
      <c r="A7593" t="s">
        <v>223</v>
      </c>
      <c r="B7593" t="s">
        <v>77</v>
      </c>
      <c r="C7593" t="s">
        <v>7773</v>
      </c>
    </row>
    <row r="7594" spans="1:3" x14ac:dyDescent="0.35">
      <c r="A7594" t="s">
        <v>223</v>
      </c>
      <c r="B7594" t="s">
        <v>77</v>
      </c>
      <c r="C7594" t="s">
        <v>7774</v>
      </c>
    </row>
    <row r="7595" spans="1:3" x14ac:dyDescent="0.35">
      <c r="A7595" t="s">
        <v>223</v>
      </c>
      <c r="B7595" t="s">
        <v>77</v>
      </c>
      <c r="C7595" t="s">
        <v>7775</v>
      </c>
    </row>
    <row r="7596" spans="1:3" x14ac:dyDescent="0.35">
      <c r="A7596" t="s">
        <v>223</v>
      </c>
      <c r="B7596" t="s">
        <v>77</v>
      </c>
      <c r="C7596" t="s">
        <v>7776</v>
      </c>
    </row>
    <row r="7597" spans="1:3" x14ac:dyDescent="0.35">
      <c r="A7597" t="s">
        <v>223</v>
      </c>
      <c r="B7597" t="s">
        <v>77</v>
      </c>
      <c r="C7597" t="s">
        <v>7777</v>
      </c>
    </row>
    <row r="7598" spans="1:3" x14ac:dyDescent="0.35">
      <c r="A7598" t="s">
        <v>223</v>
      </c>
      <c r="B7598" t="s">
        <v>77</v>
      </c>
      <c r="C7598" t="s">
        <v>7778</v>
      </c>
    </row>
    <row r="7599" spans="1:3" x14ac:dyDescent="0.35">
      <c r="A7599" t="s">
        <v>223</v>
      </c>
      <c r="B7599" t="s">
        <v>77</v>
      </c>
      <c r="C7599" t="s">
        <v>7779</v>
      </c>
    </row>
    <row r="7600" spans="1:3" x14ac:dyDescent="0.35">
      <c r="A7600" t="s">
        <v>223</v>
      </c>
      <c r="B7600" t="s">
        <v>77</v>
      </c>
      <c r="C7600" t="s">
        <v>7780</v>
      </c>
    </row>
    <row r="7601" spans="1:3" x14ac:dyDescent="0.35">
      <c r="A7601" t="s">
        <v>223</v>
      </c>
      <c r="B7601" t="s">
        <v>77</v>
      </c>
      <c r="C7601" t="s">
        <v>7781</v>
      </c>
    </row>
    <row r="7602" spans="1:3" x14ac:dyDescent="0.35">
      <c r="A7602" t="s">
        <v>223</v>
      </c>
      <c r="B7602" t="s">
        <v>77</v>
      </c>
      <c r="C7602" t="s">
        <v>7782</v>
      </c>
    </row>
    <row r="7603" spans="1:3" x14ac:dyDescent="0.35">
      <c r="A7603" t="s">
        <v>223</v>
      </c>
      <c r="B7603" t="s">
        <v>77</v>
      </c>
      <c r="C7603" t="s">
        <v>7783</v>
      </c>
    </row>
    <row r="7604" spans="1:3" x14ac:dyDescent="0.35">
      <c r="A7604" t="s">
        <v>223</v>
      </c>
      <c r="B7604" t="s">
        <v>77</v>
      </c>
      <c r="C7604" t="s">
        <v>7784</v>
      </c>
    </row>
    <row r="7605" spans="1:3" x14ac:dyDescent="0.35">
      <c r="A7605" t="s">
        <v>223</v>
      </c>
      <c r="B7605" t="s">
        <v>77</v>
      </c>
      <c r="C7605" t="s">
        <v>7785</v>
      </c>
    </row>
    <row r="7606" spans="1:3" x14ac:dyDescent="0.35">
      <c r="A7606" t="s">
        <v>223</v>
      </c>
      <c r="B7606" t="s">
        <v>77</v>
      </c>
      <c r="C7606" t="s">
        <v>7786</v>
      </c>
    </row>
    <row r="7607" spans="1:3" x14ac:dyDescent="0.35">
      <c r="A7607" t="s">
        <v>223</v>
      </c>
      <c r="B7607" t="s">
        <v>77</v>
      </c>
      <c r="C7607" t="s">
        <v>7787</v>
      </c>
    </row>
    <row r="7608" spans="1:3" x14ac:dyDescent="0.35">
      <c r="A7608" t="s">
        <v>223</v>
      </c>
      <c r="B7608" t="s">
        <v>77</v>
      </c>
      <c r="C7608" t="s">
        <v>7788</v>
      </c>
    </row>
    <row r="7609" spans="1:3" x14ac:dyDescent="0.35">
      <c r="A7609" t="s">
        <v>223</v>
      </c>
      <c r="B7609" t="s">
        <v>77</v>
      </c>
      <c r="C7609" t="s">
        <v>7789</v>
      </c>
    </row>
    <row r="7610" spans="1:3" x14ac:dyDescent="0.35">
      <c r="A7610" t="s">
        <v>223</v>
      </c>
      <c r="B7610" t="s">
        <v>77</v>
      </c>
      <c r="C7610" t="s">
        <v>7790</v>
      </c>
    </row>
    <row r="7611" spans="1:3" x14ac:dyDescent="0.35">
      <c r="A7611" t="s">
        <v>223</v>
      </c>
      <c r="B7611" t="s">
        <v>77</v>
      </c>
      <c r="C7611" t="s">
        <v>7791</v>
      </c>
    </row>
    <row r="7612" spans="1:3" x14ac:dyDescent="0.35">
      <c r="A7612" t="s">
        <v>223</v>
      </c>
      <c r="B7612" t="s">
        <v>77</v>
      </c>
      <c r="C7612" t="s">
        <v>7792</v>
      </c>
    </row>
    <row r="7613" spans="1:3" x14ac:dyDescent="0.35">
      <c r="A7613" t="s">
        <v>223</v>
      </c>
      <c r="B7613" t="s">
        <v>77</v>
      </c>
      <c r="C7613" t="s">
        <v>7793</v>
      </c>
    </row>
    <row r="7614" spans="1:3" x14ac:dyDescent="0.35">
      <c r="A7614" t="s">
        <v>223</v>
      </c>
      <c r="B7614" t="s">
        <v>77</v>
      </c>
      <c r="C7614" t="s">
        <v>7794</v>
      </c>
    </row>
    <row r="7615" spans="1:3" x14ac:dyDescent="0.35">
      <c r="A7615" t="s">
        <v>223</v>
      </c>
      <c r="B7615" t="s">
        <v>77</v>
      </c>
      <c r="C7615" t="s">
        <v>7795</v>
      </c>
    </row>
    <row r="7616" spans="1:3" x14ac:dyDescent="0.35">
      <c r="A7616" t="s">
        <v>223</v>
      </c>
      <c r="B7616" t="s">
        <v>77</v>
      </c>
      <c r="C7616" t="s">
        <v>7796</v>
      </c>
    </row>
    <row r="7617" spans="1:3" x14ac:dyDescent="0.35">
      <c r="A7617" t="s">
        <v>223</v>
      </c>
      <c r="B7617" t="s">
        <v>77</v>
      </c>
      <c r="C7617" t="s">
        <v>7797</v>
      </c>
    </row>
    <row r="7618" spans="1:3" x14ac:dyDescent="0.35">
      <c r="A7618" t="s">
        <v>223</v>
      </c>
      <c r="B7618" t="s">
        <v>77</v>
      </c>
      <c r="C7618" t="s">
        <v>7798</v>
      </c>
    </row>
    <row r="7619" spans="1:3" x14ac:dyDescent="0.35">
      <c r="A7619" t="s">
        <v>223</v>
      </c>
      <c r="B7619" t="s">
        <v>77</v>
      </c>
      <c r="C7619" t="s">
        <v>7799</v>
      </c>
    </row>
    <row r="7620" spans="1:3" x14ac:dyDescent="0.35">
      <c r="A7620" t="s">
        <v>223</v>
      </c>
      <c r="B7620" t="s">
        <v>77</v>
      </c>
      <c r="C7620" t="s">
        <v>7800</v>
      </c>
    </row>
    <row r="7621" spans="1:3" x14ac:dyDescent="0.35">
      <c r="A7621" t="s">
        <v>223</v>
      </c>
      <c r="B7621" t="s">
        <v>77</v>
      </c>
      <c r="C7621" t="s">
        <v>7801</v>
      </c>
    </row>
    <row r="7622" spans="1:3" x14ac:dyDescent="0.35">
      <c r="A7622" t="s">
        <v>223</v>
      </c>
      <c r="B7622" t="s">
        <v>77</v>
      </c>
      <c r="C7622" t="s">
        <v>7802</v>
      </c>
    </row>
    <row r="7623" spans="1:3" x14ac:dyDescent="0.35">
      <c r="A7623" t="s">
        <v>223</v>
      </c>
      <c r="B7623" t="s">
        <v>77</v>
      </c>
      <c r="C7623" t="s">
        <v>7803</v>
      </c>
    </row>
    <row r="7624" spans="1:3" x14ac:dyDescent="0.35">
      <c r="A7624" t="s">
        <v>223</v>
      </c>
      <c r="B7624" t="s">
        <v>77</v>
      </c>
      <c r="C7624" t="s">
        <v>7804</v>
      </c>
    </row>
    <row r="7625" spans="1:3" x14ac:dyDescent="0.35">
      <c r="A7625" t="s">
        <v>223</v>
      </c>
      <c r="B7625" t="s">
        <v>77</v>
      </c>
      <c r="C7625" t="s">
        <v>7805</v>
      </c>
    </row>
    <row r="7626" spans="1:3" x14ac:dyDescent="0.35">
      <c r="A7626" t="s">
        <v>223</v>
      </c>
      <c r="B7626" t="s">
        <v>77</v>
      </c>
      <c r="C7626" t="s">
        <v>7806</v>
      </c>
    </row>
    <row r="7627" spans="1:3" x14ac:dyDescent="0.35">
      <c r="A7627" t="s">
        <v>223</v>
      </c>
      <c r="B7627" t="s">
        <v>77</v>
      </c>
      <c r="C7627" t="s">
        <v>7807</v>
      </c>
    </row>
    <row r="7628" spans="1:3" x14ac:dyDescent="0.35">
      <c r="A7628" t="s">
        <v>223</v>
      </c>
      <c r="B7628" t="s">
        <v>77</v>
      </c>
      <c r="C7628" t="s">
        <v>7808</v>
      </c>
    </row>
    <row r="7629" spans="1:3" x14ac:dyDescent="0.35">
      <c r="A7629" t="s">
        <v>223</v>
      </c>
      <c r="B7629" t="s">
        <v>77</v>
      </c>
      <c r="C7629" t="s">
        <v>7809</v>
      </c>
    </row>
    <row r="7630" spans="1:3" x14ac:dyDescent="0.35">
      <c r="A7630" t="s">
        <v>223</v>
      </c>
      <c r="B7630" t="s">
        <v>77</v>
      </c>
      <c r="C7630" t="s">
        <v>7810</v>
      </c>
    </row>
    <row r="7631" spans="1:3" x14ac:dyDescent="0.35">
      <c r="A7631" t="s">
        <v>223</v>
      </c>
      <c r="B7631" t="s">
        <v>77</v>
      </c>
      <c r="C7631" t="s">
        <v>7811</v>
      </c>
    </row>
    <row r="7632" spans="1:3" x14ac:dyDescent="0.35">
      <c r="A7632" t="s">
        <v>223</v>
      </c>
      <c r="B7632" t="s">
        <v>77</v>
      </c>
      <c r="C7632" t="s">
        <v>77</v>
      </c>
    </row>
    <row r="7633" spans="1:3" x14ac:dyDescent="0.35">
      <c r="A7633" t="s">
        <v>223</v>
      </c>
      <c r="B7633" t="s">
        <v>77</v>
      </c>
      <c r="C7633" t="s">
        <v>7812</v>
      </c>
    </row>
    <row r="7634" spans="1:3" x14ac:dyDescent="0.35">
      <c r="A7634" t="s">
        <v>223</v>
      </c>
      <c r="B7634" t="s">
        <v>77</v>
      </c>
      <c r="C7634" t="s">
        <v>7813</v>
      </c>
    </row>
    <row r="7635" spans="1:3" x14ac:dyDescent="0.35">
      <c r="A7635" t="s">
        <v>223</v>
      </c>
      <c r="B7635" t="s">
        <v>77</v>
      </c>
      <c r="C7635" t="s">
        <v>7814</v>
      </c>
    </row>
    <row r="7636" spans="1:3" x14ac:dyDescent="0.35">
      <c r="A7636" t="s">
        <v>223</v>
      </c>
      <c r="B7636" t="s">
        <v>77</v>
      </c>
      <c r="C7636" t="s">
        <v>7815</v>
      </c>
    </row>
    <row r="7637" spans="1:3" x14ac:dyDescent="0.35">
      <c r="A7637" t="s">
        <v>223</v>
      </c>
      <c r="B7637" t="s">
        <v>77</v>
      </c>
      <c r="C7637" t="s">
        <v>7816</v>
      </c>
    </row>
    <row r="7638" spans="1:3" x14ac:dyDescent="0.35">
      <c r="A7638" t="s">
        <v>223</v>
      </c>
      <c r="B7638" t="s">
        <v>77</v>
      </c>
      <c r="C7638" t="s">
        <v>7817</v>
      </c>
    </row>
    <row r="7639" spans="1:3" x14ac:dyDescent="0.35">
      <c r="A7639" t="s">
        <v>223</v>
      </c>
      <c r="B7639" t="s">
        <v>77</v>
      </c>
      <c r="C7639" t="s">
        <v>7818</v>
      </c>
    </row>
    <row r="7640" spans="1:3" x14ac:dyDescent="0.35">
      <c r="A7640" t="s">
        <v>223</v>
      </c>
      <c r="B7640" t="s">
        <v>77</v>
      </c>
      <c r="C7640" t="s">
        <v>7819</v>
      </c>
    </row>
    <row r="7641" spans="1:3" x14ac:dyDescent="0.35">
      <c r="A7641" t="s">
        <v>223</v>
      </c>
      <c r="B7641" t="s">
        <v>77</v>
      </c>
      <c r="C7641" t="s">
        <v>7820</v>
      </c>
    </row>
    <row r="7642" spans="1:3" x14ac:dyDescent="0.35">
      <c r="A7642" t="s">
        <v>223</v>
      </c>
      <c r="B7642" t="s">
        <v>79</v>
      </c>
      <c r="C7642" t="s">
        <v>7821</v>
      </c>
    </row>
    <row r="7643" spans="1:3" x14ac:dyDescent="0.35">
      <c r="A7643" t="s">
        <v>223</v>
      </c>
      <c r="B7643" t="s">
        <v>79</v>
      </c>
      <c r="C7643" t="s">
        <v>7822</v>
      </c>
    </row>
    <row r="7644" spans="1:3" x14ac:dyDescent="0.35">
      <c r="A7644" t="s">
        <v>223</v>
      </c>
      <c r="B7644" t="s">
        <v>79</v>
      </c>
      <c r="C7644" t="s">
        <v>7823</v>
      </c>
    </row>
    <row r="7645" spans="1:3" x14ac:dyDescent="0.35">
      <c r="A7645" t="s">
        <v>223</v>
      </c>
      <c r="B7645" t="s">
        <v>79</v>
      </c>
      <c r="C7645" t="s">
        <v>7824</v>
      </c>
    </row>
    <row r="7646" spans="1:3" x14ac:dyDescent="0.35">
      <c r="A7646" t="s">
        <v>223</v>
      </c>
      <c r="B7646" t="s">
        <v>79</v>
      </c>
      <c r="C7646" t="s">
        <v>7825</v>
      </c>
    </row>
    <row r="7647" spans="1:3" x14ac:dyDescent="0.35">
      <c r="A7647" t="s">
        <v>223</v>
      </c>
      <c r="B7647" t="s">
        <v>79</v>
      </c>
      <c r="C7647" t="s">
        <v>7826</v>
      </c>
    </row>
    <row r="7648" spans="1:3" x14ac:dyDescent="0.35">
      <c r="A7648" t="s">
        <v>223</v>
      </c>
      <c r="B7648" t="s">
        <v>79</v>
      </c>
      <c r="C7648" t="s">
        <v>7827</v>
      </c>
    </row>
    <row r="7649" spans="1:3" x14ac:dyDescent="0.35">
      <c r="A7649" t="s">
        <v>223</v>
      </c>
      <c r="B7649" t="s">
        <v>79</v>
      </c>
      <c r="C7649" t="s">
        <v>7828</v>
      </c>
    </row>
    <row r="7650" spans="1:3" x14ac:dyDescent="0.35">
      <c r="A7650" t="s">
        <v>223</v>
      </c>
      <c r="B7650" t="s">
        <v>79</v>
      </c>
      <c r="C7650" t="s">
        <v>7829</v>
      </c>
    </row>
    <row r="7651" spans="1:3" x14ac:dyDescent="0.35">
      <c r="A7651" t="s">
        <v>223</v>
      </c>
      <c r="B7651" t="s">
        <v>79</v>
      </c>
      <c r="C7651" t="s">
        <v>7830</v>
      </c>
    </row>
    <row r="7652" spans="1:3" x14ac:dyDescent="0.35">
      <c r="A7652" t="s">
        <v>223</v>
      </c>
      <c r="B7652" t="s">
        <v>79</v>
      </c>
      <c r="C7652" t="s">
        <v>7831</v>
      </c>
    </row>
    <row r="7653" spans="1:3" x14ac:dyDescent="0.35">
      <c r="A7653" t="s">
        <v>223</v>
      </c>
      <c r="B7653" t="s">
        <v>79</v>
      </c>
      <c r="C7653" t="s">
        <v>7832</v>
      </c>
    </row>
    <row r="7654" spans="1:3" x14ac:dyDescent="0.35">
      <c r="A7654" t="s">
        <v>223</v>
      </c>
      <c r="B7654" t="s">
        <v>79</v>
      </c>
      <c r="C7654" t="s">
        <v>7833</v>
      </c>
    </row>
    <row r="7655" spans="1:3" x14ac:dyDescent="0.35">
      <c r="A7655" t="s">
        <v>223</v>
      </c>
      <c r="B7655" t="s">
        <v>79</v>
      </c>
      <c r="C7655" t="s">
        <v>7834</v>
      </c>
    </row>
    <row r="7656" spans="1:3" x14ac:dyDescent="0.35">
      <c r="A7656" t="s">
        <v>223</v>
      </c>
      <c r="B7656" t="s">
        <v>79</v>
      </c>
      <c r="C7656" t="s">
        <v>7835</v>
      </c>
    </row>
    <row r="7657" spans="1:3" x14ac:dyDescent="0.35">
      <c r="A7657" t="s">
        <v>223</v>
      </c>
      <c r="B7657" t="s">
        <v>79</v>
      </c>
      <c r="C7657" t="s">
        <v>7836</v>
      </c>
    </row>
    <row r="7658" spans="1:3" x14ac:dyDescent="0.35">
      <c r="A7658" t="s">
        <v>223</v>
      </c>
      <c r="B7658" t="s">
        <v>79</v>
      </c>
      <c r="C7658" t="s">
        <v>7837</v>
      </c>
    </row>
    <row r="7659" spans="1:3" x14ac:dyDescent="0.35">
      <c r="A7659" t="s">
        <v>223</v>
      </c>
      <c r="B7659" t="s">
        <v>79</v>
      </c>
      <c r="C7659" t="s">
        <v>7838</v>
      </c>
    </row>
    <row r="7660" spans="1:3" x14ac:dyDescent="0.35">
      <c r="A7660" t="s">
        <v>223</v>
      </c>
      <c r="B7660" t="s">
        <v>79</v>
      </c>
      <c r="C7660" t="s">
        <v>7839</v>
      </c>
    </row>
    <row r="7661" spans="1:3" x14ac:dyDescent="0.35">
      <c r="A7661" t="s">
        <v>223</v>
      </c>
      <c r="B7661" t="s">
        <v>79</v>
      </c>
      <c r="C7661" t="s">
        <v>7840</v>
      </c>
    </row>
    <row r="7662" spans="1:3" x14ac:dyDescent="0.35">
      <c r="A7662" t="s">
        <v>223</v>
      </c>
      <c r="B7662" t="s">
        <v>79</v>
      </c>
      <c r="C7662" t="s">
        <v>7841</v>
      </c>
    </row>
    <row r="7663" spans="1:3" x14ac:dyDescent="0.35">
      <c r="A7663" t="s">
        <v>223</v>
      </c>
      <c r="B7663" t="s">
        <v>79</v>
      </c>
      <c r="C7663" t="s">
        <v>7842</v>
      </c>
    </row>
    <row r="7664" spans="1:3" x14ac:dyDescent="0.35">
      <c r="A7664" t="s">
        <v>223</v>
      </c>
      <c r="B7664" t="s">
        <v>79</v>
      </c>
      <c r="C7664" t="s">
        <v>7843</v>
      </c>
    </row>
    <row r="7665" spans="1:3" x14ac:dyDescent="0.35">
      <c r="A7665" t="s">
        <v>223</v>
      </c>
      <c r="B7665" t="s">
        <v>79</v>
      </c>
      <c r="C7665" t="s">
        <v>7844</v>
      </c>
    </row>
    <row r="7666" spans="1:3" x14ac:dyDescent="0.35">
      <c r="A7666" t="s">
        <v>223</v>
      </c>
      <c r="B7666" t="s">
        <v>79</v>
      </c>
      <c r="C7666" t="s">
        <v>7845</v>
      </c>
    </row>
    <row r="7667" spans="1:3" x14ac:dyDescent="0.35">
      <c r="A7667" t="s">
        <v>223</v>
      </c>
      <c r="B7667" t="s">
        <v>79</v>
      </c>
      <c r="C7667" t="s">
        <v>7846</v>
      </c>
    </row>
    <row r="7668" spans="1:3" x14ac:dyDescent="0.35">
      <c r="A7668" t="s">
        <v>223</v>
      </c>
      <c r="B7668" t="s">
        <v>79</v>
      </c>
      <c r="C7668" t="s">
        <v>7847</v>
      </c>
    </row>
    <row r="7669" spans="1:3" x14ac:dyDescent="0.35">
      <c r="A7669" t="s">
        <v>223</v>
      </c>
      <c r="B7669" t="s">
        <v>79</v>
      </c>
      <c r="C7669" t="s">
        <v>7848</v>
      </c>
    </row>
    <row r="7670" spans="1:3" x14ac:dyDescent="0.35">
      <c r="A7670" t="s">
        <v>223</v>
      </c>
      <c r="B7670" t="s">
        <v>79</v>
      </c>
      <c r="C7670" t="s">
        <v>7849</v>
      </c>
    </row>
    <row r="7671" spans="1:3" x14ac:dyDescent="0.35">
      <c r="A7671" t="s">
        <v>223</v>
      </c>
      <c r="B7671" t="s">
        <v>79</v>
      </c>
      <c r="C7671" t="s">
        <v>7850</v>
      </c>
    </row>
    <row r="7672" spans="1:3" x14ac:dyDescent="0.35">
      <c r="A7672" t="s">
        <v>223</v>
      </c>
      <c r="B7672" t="s">
        <v>79</v>
      </c>
      <c r="C7672" t="s">
        <v>7851</v>
      </c>
    </row>
    <row r="7673" spans="1:3" x14ac:dyDescent="0.35">
      <c r="A7673" t="s">
        <v>223</v>
      </c>
      <c r="B7673" t="s">
        <v>79</v>
      </c>
      <c r="C7673" t="s">
        <v>7852</v>
      </c>
    </row>
    <row r="7674" spans="1:3" x14ac:dyDescent="0.35">
      <c r="A7674" t="s">
        <v>223</v>
      </c>
      <c r="B7674" t="s">
        <v>79</v>
      </c>
      <c r="C7674" t="s">
        <v>7853</v>
      </c>
    </row>
    <row r="7675" spans="1:3" x14ac:dyDescent="0.35">
      <c r="A7675" t="s">
        <v>223</v>
      </c>
      <c r="B7675" t="s">
        <v>79</v>
      </c>
      <c r="C7675" t="s">
        <v>7854</v>
      </c>
    </row>
    <row r="7676" spans="1:3" x14ac:dyDescent="0.35">
      <c r="A7676" t="s">
        <v>223</v>
      </c>
      <c r="B7676" t="s">
        <v>79</v>
      </c>
      <c r="C7676" t="s">
        <v>7855</v>
      </c>
    </row>
    <row r="7677" spans="1:3" x14ac:dyDescent="0.35">
      <c r="A7677" t="s">
        <v>223</v>
      </c>
      <c r="B7677" t="s">
        <v>79</v>
      </c>
      <c r="C7677" t="s">
        <v>7856</v>
      </c>
    </row>
    <row r="7678" spans="1:3" x14ac:dyDescent="0.35">
      <c r="A7678" t="s">
        <v>223</v>
      </c>
      <c r="B7678" t="s">
        <v>79</v>
      </c>
      <c r="C7678" t="s">
        <v>7857</v>
      </c>
    </row>
    <row r="7679" spans="1:3" x14ac:dyDescent="0.35">
      <c r="A7679" t="s">
        <v>223</v>
      </c>
      <c r="B7679" t="s">
        <v>79</v>
      </c>
      <c r="C7679" t="s">
        <v>7858</v>
      </c>
    </row>
    <row r="7680" spans="1:3" x14ac:dyDescent="0.35">
      <c r="A7680" t="s">
        <v>223</v>
      </c>
      <c r="B7680" t="s">
        <v>79</v>
      </c>
      <c r="C7680" t="s">
        <v>7859</v>
      </c>
    </row>
    <row r="7681" spans="1:3" x14ac:dyDescent="0.35">
      <c r="A7681" t="s">
        <v>223</v>
      </c>
      <c r="B7681" t="s">
        <v>79</v>
      </c>
      <c r="C7681" t="s">
        <v>7860</v>
      </c>
    </row>
    <row r="7682" spans="1:3" x14ac:dyDescent="0.35">
      <c r="A7682" t="s">
        <v>223</v>
      </c>
      <c r="B7682" t="s">
        <v>79</v>
      </c>
      <c r="C7682" t="s">
        <v>7861</v>
      </c>
    </row>
    <row r="7683" spans="1:3" x14ac:dyDescent="0.35">
      <c r="A7683" t="s">
        <v>223</v>
      </c>
      <c r="B7683" t="s">
        <v>79</v>
      </c>
      <c r="C7683" t="s">
        <v>7862</v>
      </c>
    </row>
    <row r="7684" spans="1:3" x14ac:dyDescent="0.35">
      <c r="A7684" t="s">
        <v>223</v>
      </c>
      <c r="B7684" t="s">
        <v>79</v>
      </c>
      <c r="C7684" t="s">
        <v>79</v>
      </c>
    </row>
    <row r="7685" spans="1:3" x14ac:dyDescent="0.35">
      <c r="A7685" t="s">
        <v>223</v>
      </c>
      <c r="B7685" t="s">
        <v>79</v>
      </c>
      <c r="C7685" t="s">
        <v>7863</v>
      </c>
    </row>
    <row r="7686" spans="1:3" x14ac:dyDescent="0.35">
      <c r="A7686" t="s">
        <v>223</v>
      </c>
      <c r="B7686" t="s">
        <v>80</v>
      </c>
      <c r="C7686" t="s">
        <v>7864</v>
      </c>
    </row>
    <row r="7687" spans="1:3" x14ac:dyDescent="0.35">
      <c r="A7687" t="s">
        <v>223</v>
      </c>
      <c r="B7687" t="s">
        <v>80</v>
      </c>
      <c r="C7687" t="s">
        <v>7865</v>
      </c>
    </row>
    <row r="7688" spans="1:3" x14ac:dyDescent="0.35">
      <c r="A7688" t="s">
        <v>223</v>
      </c>
      <c r="B7688" t="s">
        <v>80</v>
      </c>
      <c r="C7688" t="s">
        <v>7866</v>
      </c>
    </row>
    <row r="7689" spans="1:3" x14ac:dyDescent="0.35">
      <c r="A7689" t="s">
        <v>223</v>
      </c>
      <c r="B7689" t="s">
        <v>80</v>
      </c>
      <c r="C7689" t="s">
        <v>7867</v>
      </c>
    </row>
    <row r="7690" spans="1:3" x14ac:dyDescent="0.35">
      <c r="A7690" t="s">
        <v>223</v>
      </c>
      <c r="B7690" t="s">
        <v>80</v>
      </c>
      <c r="C7690" t="s">
        <v>7868</v>
      </c>
    </row>
    <row r="7691" spans="1:3" x14ac:dyDescent="0.35">
      <c r="A7691" t="s">
        <v>223</v>
      </c>
      <c r="B7691" t="s">
        <v>80</v>
      </c>
      <c r="C7691" t="s">
        <v>7869</v>
      </c>
    </row>
    <row r="7692" spans="1:3" x14ac:dyDescent="0.35">
      <c r="A7692" t="s">
        <v>223</v>
      </c>
      <c r="B7692" t="s">
        <v>80</v>
      </c>
      <c r="C7692" t="s">
        <v>7870</v>
      </c>
    </row>
    <row r="7693" spans="1:3" x14ac:dyDescent="0.35">
      <c r="A7693" t="s">
        <v>223</v>
      </c>
      <c r="B7693" t="s">
        <v>80</v>
      </c>
      <c r="C7693" t="s">
        <v>7871</v>
      </c>
    </row>
    <row r="7694" spans="1:3" x14ac:dyDescent="0.35">
      <c r="A7694" t="s">
        <v>223</v>
      </c>
      <c r="B7694" t="s">
        <v>80</v>
      </c>
      <c r="C7694" t="s">
        <v>7872</v>
      </c>
    </row>
    <row r="7695" spans="1:3" x14ac:dyDescent="0.35">
      <c r="A7695" t="s">
        <v>223</v>
      </c>
      <c r="B7695" t="s">
        <v>80</v>
      </c>
      <c r="C7695" t="s">
        <v>7873</v>
      </c>
    </row>
    <row r="7696" spans="1:3" x14ac:dyDescent="0.35">
      <c r="A7696" t="s">
        <v>223</v>
      </c>
      <c r="B7696" t="s">
        <v>80</v>
      </c>
      <c r="C7696" t="s">
        <v>7874</v>
      </c>
    </row>
    <row r="7697" spans="1:3" x14ac:dyDescent="0.35">
      <c r="A7697" t="s">
        <v>223</v>
      </c>
      <c r="B7697" t="s">
        <v>80</v>
      </c>
      <c r="C7697" t="s">
        <v>7875</v>
      </c>
    </row>
    <row r="7698" spans="1:3" x14ac:dyDescent="0.35">
      <c r="A7698" t="s">
        <v>223</v>
      </c>
      <c r="B7698" t="s">
        <v>80</v>
      </c>
      <c r="C7698" t="s">
        <v>7876</v>
      </c>
    </row>
    <row r="7699" spans="1:3" x14ac:dyDescent="0.35">
      <c r="A7699" t="s">
        <v>223</v>
      </c>
      <c r="B7699" t="s">
        <v>80</v>
      </c>
      <c r="C7699" t="s">
        <v>7877</v>
      </c>
    </row>
    <row r="7700" spans="1:3" x14ac:dyDescent="0.35">
      <c r="A7700" t="s">
        <v>223</v>
      </c>
      <c r="B7700" t="s">
        <v>80</v>
      </c>
      <c r="C7700" t="s">
        <v>7878</v>
      </c>
    </row>
    <row r="7701" spans="1:3" x14ac:dyDescent="0.35">
      <c r="A7701" t="s">
        <v>223</v>
      </c>
      <c r="B7701" t="s">
        <v>80</v>
      </c>
      <c r="C7701" t="s">
        <v>7879</v>
      </c>
    </row>
    <row r="7702" spans="1:3" x14ac:dyDescent="0.35">
      <c r="A7702" t="s">
        <v>223</v>
      </c>
      <c r="B7702" t="s">
        <v>80</v>
      </c>
      <c r="C7702" t="s">
        <v>7880</v>
      </c>
    </row>
    <row r="7703" spans="1:3" x14ac:dyDescent="0.35">
      <c r="A7703" t="s">
        <v>223</v>
      </c>
      <c r="B7703" t="s">
        <v>80</v>
      </c>
      <c r="C7703" t="s">
        <v>7881</v>
      </c>
    </row>
    <row r="7704" spans="1:3" x14ac:dyDescent="0.35">
      <c r="A7704" t="s">
        <v>223</v>
      </c>
      <c r="B7704" t="s">
        <v>80</v>
      </c>
      <c r="C7704" t="s">
        <v>7882</v>
      </c>
    </row>
    <row r="7705" spans="1:3" x14ac:dyDescent="0.35">
      <c r="A7705" t="s">
        <v>223</v>
      </c>
      <c r="B7705" t="s">
        <v>80</v>
      </c>
      <c r="C7705" t="s">
        <v>7883</v>
      </c>
    </row>
    <row r="7706" spans="1:3" x14ac:dyDescent="0.35">
      <c r="A7706" t="s">
        <v>223</v>
      </c>
      <c r="B7706" t="s">
        <v>80</v>
      </c>
      <c r="C7706" t="s">
        <v>7884</v>
      </c>
    </row>
    <row r="7707" spans="1:3" x14ac:dyDescent="0.35">
      <c r="A7707" t="s">
        <v>223</v>
      </c>
      <c r="B7707" t="s">
        <v>80</v>
      </c>
      <c r="C7707" t="s">
        <v>7885</v>
      </c>
    </row>
    <row r="7708" spans="1:3" x14ac:dyDescent="0.35">
      <c r="A7708" t="s">
        <v>223</v>
      </c>
      <c r="B7708" t="s">
        <v>80</v>
      </c>
      <c r="C7708" t="s">
        <v>7886</v>
      </c>
    </row>
    <row r="7709" spans="1:3" x14ac:dyDescent="0.35">
      <c r="A7709" t="s">
        <v>223</v>
      </c>
      <c r="B7709" t="s">
        <v>80</v>
      </c>
      <c r="C7709" t="s">
        <v>7887</v>
      </c>
    </row>
    <row r="7710" spans="1:3" x14ac:dyDescent="0.35">
      <c r="A7710" t="s">
        <v>223</v>
      </c>
      <c r="B7710" t="s">
        <v>80</v>
      </c>
      <c r="C7710" t="s">
        <v>7888</v>
      </c>
    </row>
    <row r="7711" spans="1:3" x14ac:dyDescent="0.35">
      <c r="A7711" t="s">
        <v>223</v>
      </c>
      <c r="B7711" t="s">
        <v>80</v>
      </c>
      <c r="C7711" t="s">
        <v>7889</v>
      </c>
    </row>
    <row r="7712" spans="1:3" x14ac:dyDescent="0.35">
      <c r="A7712" t="s">
        <v>223</v>
      </c>
      <c r="B7712" t="s">
        <v>80</v>
      </c>
      <c r="C7712" t="s">
        <v>7890</v>
      </c>
    </row>
    <row r="7713" spans="1:3" x14ac:dyDescent="0.35">
      <c r="A7713" t="s">
        <v>223</v>
      </c>
      <c r="B7713" t="s">
        <v>80</v>
      </c>
      <c r="C7713" t="s">
        <v>7891</v>
      </c>
    </row>
    <row r="7714" spans="1:3" x14ac:dyDescent="0.35">
      <c r="A7714" t="s">
        <v>223</v>
      </c>
      <c r="B7714" t="s">
        <v>80</v>
      </c>
      <c r="C7714" t="s">
        <v>7892</v>
      </c>
    </row>
    <row r="7715" spans="1:3" x14ac:dyDescent="0.35">
      <c r="A7715" t="s">
        <v>223</v>
      </c>
      <c r="B7715" t="s">
        <v>80</v>
      </c>
      <c r="C7715" t="s">
        <v>7893</v>
      </c>
    </row>
    <row r="7716" spans="1:3" x14ac:dyDescent="0.35">
      <c r="A7716" t="s">
        <v>223</v>
      </c>
      <c r="B7716" t="s">
        <v>80</v>
      </c>
      <c r="C7716" t="s">
        <v>7894</v>
      </c>
    </row>
    <row r="7717" spans="1:3" x14ac:dyDescent="0.35">
      <c r="A7717" t="s">
        <v>223</v>
      </c>
      <c r="B7717" t="s">
        <v>80</v>
      </c>
      <c r="C7717" t="s">
        <v>7895</v>
      </c>
    </row>
    <row r="7718" spans="1:3" x14ac:dyDescent="0.35">
      <c r="A7718" t="s">
        <v>223</v>
      </c>
      <c r="B7718" t="s">
        <v>80</v>
      </c>
      <c r="C7718" t="s">
        <v>7896</v>
      </c>
    </row>
    <row r="7719" spans="1:3" x14ac:dyDescent="0.35">
      <c r="A7719" t="s">
        <v>223</v>
      </c>
      <c r="B7719" t="s">
        <v>80</v>
      </c>
      <c r="C7719" t="s">
        <v>7897</v>
      </c>
    </row>
    <row r="7720" spans="1:3" x14ac:dyDescent="0.35">
      <c r="A7720" t="s">
        <v>223</v>
      </c>
      <c r="B7720" t="s">
        <v>80</v>
      </c>
      <c r="C7720" t="s">
        <v>7898</v>
      </c>
    </row>
    <row r="7721" spans="1:3" x14ac:dyDescent="0.35">
      <c r="A7721" t="s">
        <v>223</v>
      </c>
      <c r="B7721" t="s">
        <v>80</v>
      </c>
      <c r="C7721" t="s">
        <v>7899</v>
      </c>
    </row>
    <row r="7722" spans="1:3" x14ac:dyDescent="0.35">
      <c r="A7722" t="s">
        <v>223</v>
      </c>
      <c r="B7722" t="s">
        <v>80</v>
      </c>
      <c r="C7722" t="s">
        <v>7900</v>
      </c>
    </row>
    <row r="7723" spans="1:3" x14ac:dyDescent="0.35">
      <c r="A7723" t="s">
        <v>223</v>
      </c>
      <c r="B7723" t="s">
        <v>80</v>
      </c>
      <c r="C7723" t="s">
        <v>7901</v>
      </c>
    </row>
    <row r="7724" spans="1:3" x14ac:dyDescent="0.35">
      <c r="A7724" t="s">
        <v>223</v>
      </c>
      <c r="B7724" t="s">
        <v>80</v>
      </c>
      <c r="C7724" t="s">
        <v>7902</v>
      </c>
    </row>
    <row r="7725" spans="1:3" x14ac:dyDescent="0.35">
      <c r="A7725" t="s">
        <v>223</v>
      </c>
      <c r="B7725" t="s">
        <v>80</v>
      </c>
      <c r="C7725" t="s">
        <v>7903</v>
      </c>
    </row>
    <row r="7726" spans="1:3" x14ac:dyDescent="0.35">
      <c r="A7726" t="s">
        <v>223</v>
      </c>
      <c r="B7726" t="s">
        <v>80</v>
      </c>
      <c r="C7726" t="s">
        <v>7904</v>
      </c>
    </row>
    <row r="7727" spans="1:3" x14ac:dyDescent="0.35">
      <c r="A7727" t="s">
        <v>223</v>
      </c>
      <c r="B7727" t="s">
        <v>80</v>
      </c>
      <c r="C7727" t="s">
        <v>7905</v>
      </c>
    </row>
    <row r="7728" spans="1:3" x14ac:dyDescent="0.35">
      <c r="A7728" t="s">
        <v>223</v>
      </c>
      <c r="B7728" t="s">
        <v>80</v>
      </c>
      <c r="C7728" t="s">
        <v>7906</v>
      </c>
    </row>
    <row r="7729" spans="1:3" x14ac:dyDescent="0.35">
      <c r="A7729" t="s">
        <v>223</v>
      </c>
      <c r="B7729" t="s">
        <v>80</v>
      </c>
      <c r="C7729" t="s">
        <v>7907</v>
      </c>
    </row>
    <row r="7730" spans="1:3" x14ac:dyDescent="0.35">
      <c r="A7730" t="s">
        <v>223</v>
      </c>
      <c r="B7730" t="s">
        <v>80</v>
      </c>
      <c r="C7730" t="s">
        <v>7908</v>
      </c>
    </row>
    <row r="7731" spans="1:3" x14ac:dyDescent="0.35">
      <c r="A7731" t="s">
        <v>223</v>
      </c>
      <c r="B7731" t="s">
        <v>80</v>
      </c>
      <c r="C7731" t="s">
        <v>7909</v>
      </c>
    </row>
    <row r="7732" spans="1:3" x14ac:dyDescent="0.35">
      <c r="A7732" t="s">
        <v>223</v>
      </c>
      <c r="B7732" t="s">
        <v>80</v>
      </c>
      <c r="C7732" t="s">
        <v>7910</v>
      </c>
    </row>
    <row r="7733" spans="1:3" x14ac:dyDescent="0.35">
      <c r="A7733" t="s">
        <v>223</v>
      </c>
      <c r="B7733" t="s">
        <v>80</v>
      </c>
      <c r="C7733" t="s">
        <v>7911</v>
      </c>
    </row>
    <row r="7734" spans="1:3" x14ac:dyDescent="0.35">
      <c r="A7734" t="s">
        <v>223</v>
      </c>
      <c r="B7734" t="s">
        <v>80</v>
      </c>
      <c r="C7734" t="s">
        <v>7912</v>
      </c>
    </row>
    <row r="7735" spans="1:3" x14ac:dyDescent="0.35">
      <c r="A7735" t="s">
        <v>223</v>
      </c>
      <c r="B7735" t="s">
        <v>80</v>
      </c>
      <c r="C7735" t="s">
        <v>7913</v>
      </c>
    </row>
    <row r="7736" spans="1:3" x14ac:dyDescent="0.35">
      <c r="A7736" t="s">
        <v>223</v>
      </c>
      <c r="B7736" t="s">
        <v>80</v>
      </c>
      <c r="C7736" t="s">
        <v>7914</v>
      </c>
    </row>
    <row r="7737" spans="1:3" x14ac:dyDescent="0.35">
      <c r="A7737" t="s">
        <v>223</v>
      </c>
      <c r="B7737" t="s">
        <v>80</v>
      </c>
      <c r="C7737" t="s">
        <v>7915</v>
      </c>
    </row>
    <row r="7738" spans="1:3" x14ac:dyDescent="0.35">
      <c r="A7738" t="s">
        <v>223</v>
      </c>
      <c r="B7738" t="s">
        <v>80</v>
      </c>
      <c r="C7738" t="s">
        <v>7916</v>
      </c>
    </row>
    <row r="7739" spans="1:3" x14ac:dyDescent="0.35">
      <c r="A7739" t="s">
        <v>223</v>
      </c>
      <c r="B7739" t="s">
        <v>80</v>
      </c>
      <c r="C7739" t="s">
        <v>7917</v>
      </c>
    </row>
    <row r="7740" spans="1:3" x14ac:dyDescent="0.35">
      <c r="A7740" t="s">
        <v>223</v>
      </c>
      <c r="B7740" t="s">
        <v>80</v>
      </c>
      <c r="C7740" t="s">
        <v>7918</v>
      </c>
    </row>
    <row r="7741" spans="1:3" x14ac:dyDescent="0.35">
      <c r="A7741" t="s">
        <v>223</v>
      </c>
      <c r="B7741" t="s">
        <v>80</v>
      </c>
      <c r="C7741" t="s">
        <v>7919</v>
      </c>
    </row>
    <row r="7742" spans="1:3" x14ac:dyDescent="0.35">
      <c r="A7742" t="s">
        <v>223</v>
      </c>
      <c r="B7742" t="s">
        <v>80</v>
      </c>
      <c r="C7742" t="s">
        <v>7920</v>
      </c>
    </row>
    <row r="7743" spans="1:3" x14ac:dyDescent="0.35">
      <c r="A7743" t="s">
        <v>223</v>
      </c>
      <c r="B7743" t="s">
        <v>80</v>
      </c>
      <c r="C7743" t="s">
        <v>7921</v>
      </c>
    </row>
    <row r="7744" spans="1:3" x14ac:dyDescent="0.35">
      <c r="A7744" t="s">
        <v>223</v>
      </c>
      <c r="B7744" t="s">
        <v>80</v>
      </c>
      <c r="C7744" t="s">
        <v>7922</v>
      </c>
    </row>
    <row r="7745" spans="1:3" x14ac:dyDescent="0.35">
      <c r="A7745" t="s">
        <v>223</v>
      </c>
      <c r="B7745" t="s">
        <v>80</v>
      </c>
      <c r="C7745" t="s">
        <v>7923</v>
      </c>
    </row>
    <row r="7746" spans="1:3" x14ac:dyDescent="0.35">
      <c r="A7746" t="s">
        <v>223</v>
      </c>
      <c r="B7746" t="s">
        <v>80</v>
      </c>
      <c r="C7746" t="s">
        <v>7924</v>
      </c>
    </row>
    <row r="7747" spans="1:3" x14ac:dyDescent="0.35">
      <c r="A7747" t="s">
        <v>223</v>
      </c>
      <c r="B7747" t="s">
        <v>80</v>
      </c>
      <c r="C7747" t="s">
        <v>7925</v>
      </c>
    </row>
    <row r="7748" spans="1:3" x14ac:dyDescent="0.35">
      <c r="A7748" t="s">
        <v>223</v>
      </c>
      <c r="B7748" t="s">
        <v>80</v>
      </c>
      <c r="C7748" t="s">
        <v>7926</v>
      </c>
    </row>
    <row r="7749" spans="1:3" x14ac:dyDescent="0.35">
      <c r="A7749" t="s">
        <v>223</v>
      </c>
      <c r="B7749" t="s">
        <v>80</v>
      </c>
      <c r="C7749" t="s">
        <v>7927</v>
      </c>
    </row>
    <row r="7750" spans="1:3" x14ac:dyDescent="0.35">
      <c r="A7750" t="s">
        <v>223</v>
      </c>
      <c r="B7750" t="s">
        <v>80</v>
      </c>
      <c r="C7750" t="s">
        <v>7928</v>
      </c>
    </row>
    <row r="7751" spans="1:3" x14ac:dyDescent="0.35">
      <c r="A7751" t="s">
        <v>223</v>
      </c>
      <c r="B7751" t="s">
        <v>80</v>
      </c>
      <c r="C7751" t="s">
        <v>7929</v>
      </c>
    </row>
    <row r="7752" spans="1:3" x14ac:dyDescent="0.35">
      <c r="A7752" t="s">
        <v>223</v>
      </c>
      <c r="B7752" t="s">
        <v>80</v>
      </c>
      <c r="C7752" t="s">
        <v>7930</v>
      </c>
    </row>
    <row r="7753" spans="1:3" x14ac:dyDescent="0.35">
      <c r="A7753" t="s">
        <v>223</v>
      </c>
      <c r="B7753" t="s">
        <v>80</v>
      </c>
      <c r="C7753" t="s">
        <v>7931</v>
      </c>
    </row>
    <row r="7754" spans="1:3" x14ac:dyDescent="0.35">
      <c r="A7754" t="s">
        <v>223</v>
      </c>
      <c r="B7754" t="s">
        <v>80</v>
      </c>
      <c r="C7754" t="s">
        <v>7932</v>
      </c>
    </row>
    <row r="7755" spans="1:3" x14ac:dyDescent="0.35">
      <c r="A7755" t="s">
        <v>223</v>
      </c>
      <c r="B7755" t="s">
        <v>80</v>
      </c>
      <c r="C7755" t="s">
        <v>7933</v>
      </c>
    </row>
    <row r="7756" spans="1:3" x14ac:dyDescent="0.35">
      <c r="A7756" t="s">
        <v>223</v>
      </c>
      <c r="B7756" t="s">
        <v>80</v>
      </c>
      <c r="C7756" t="s">
        <v>7934</v>
      </c>
    </row>
    <row r="7757" spans="1:3" x14ac:dyDescent="0.35">
      <c r="A7757" t="s">
        <v>223</v>
      </c>
      <c r="B7757" t="s">
        <v>80</v>
      </c>
      <c r="C7757" t="s">
        <v>7935</v>
      </c>
    </row>
    <row r="7758" spans="1:3" x14ac:dyDescent="0.35">
      <c r="A7758" t="s">
        <v>223</v>
      </c>
      <c r="B7758" t="s">
        <v>80</v>
      </c>
      <c r="C7758" t="s">
        <v>7936</v>
      </c>
    </row>
    <row r="7759" spans="1:3" x14ac:dyDescent="0.35">
      <c r="A7759" t="s">
        <v>223</v>
      </c>
      <c r="B7759" t="s">
        <v>80</v>
      </c>
      <c r="C7759" t="s">
        <v>7937</v>
      </c>
    </row>
    <row r="7760" spans="1:3" x14ac:dyDescent="0.35">
      <c r="A7760" t="s">
        <v>223</v>
      </c>
      <c r="B7760" t="s">
        <v>80</v>
      </c>
      <c r="C7760" t="s">
        <v>7938</v>
      </c>
    </row>
    <row r="7761" spans="1:3" x14ac:dyDescent="0.35">
      <c r="A7761" t="s">
        <v>223</v>
      </c>
      <c r="B7761" t="s">
        <v>80</v>
      </c>
      <c r="C7761" t="s">
        <v>7939</v>
      </c>
    </row>
    <row r="7762" spans="1:3" x14ac:dyDescent="0.35">
      <c r="A7762" t="s">
        <v>223</v>
      </c>
      <c r="B7762" t="s">
        <v>80</v>
      </c>
      <c r="C7762" t="s">
        <v>7940</v>
      </c>
    </row>
    <row r="7763" spans="1:3" x14ac:dyDescent="0.35">
      <c r="A7763" t="s">
        <v>223</v>
      </c>
      <c r="B7763" t="s">
        <v>80</v>
      </c>
      <c r="C7763" t="s">
        <v>7941</v>
      </c>
    </row>
    <row r="7764" spans="1:3" x14ac:dyDescent="0.35">
      <c r="A7764" t="s">
        <v>223</v>
      </c>
      <c r="B7764" t="s">
        <v>80</v>
      </c>
      <c r="C7764" t="s">
        <v>7942</v>
      </c>
    </row>
    <row r="7765" spans="1:3" x14ac:dyDescent="0.35">
      <c r="A7765" t="s">
        <v>223</v>
      </c>
      <c r="B7765" t="s">
        <v>80</v>
      </c>
      <c r="C7765" t="s">
        <v>7943</v>
      </c>
    </row>
    <row r="7766" spans="1:3" x14ac:dyDescent="0.35">
      <c r="A7766" t="s">
        <v>223</v>
      </c>
      <c r="B7766" t="s">
        <v>80</v>
      </c>
      <c r="C7766" t="s">
        <v>7944</v>
      </c>
    </row>
    <row r="7767" spans="1:3" x14ac:dyDescent="0.35">
      <c r="A7767" t="s">
        <v>223</v>
      </c>
      <c r="B7767" t="s">
        <v>80</v>
      </c>
      <c r="C7767" t="s">
        <v>7945</v>
      </c>
    </row>
    <row r="7768" spans="1:3" x14ac:dyDescent="0.35">
      <c r="A7768" t="s">
        <v>223</v>
      </c>
      <c r="B7768" t="s">
        <v>80</v>
      </c>
      <c r="C7768" t="s">
        <v>7946</v>
      </c>
    </row>
    <row r="7769" spans="1:3" x14ac:dyDescent="0.35">
      <c r="A7769" t="s">
        <v>223</v>
      </c>
      <c r="B7769" t="s">
        <v>80</v>
      </c>
      <c r="C7769" t="s">
        <v>7947</v>
      </c>
    </row>
    <row r="7770" spans="1:3" x14ac:dyDescent="0.35">
      <c r="A7770" t="s">
        <v>223</v>
      </c>
      <c r="B7770" t="s">
        <v>80</v>
      </c>
      <c r="C7770" t="s">
        <v>7948</v>
      </c>
    </row>
    <row r="7771" spans="1:3" x14ac:dyDescent="0.35">
      <c r="A7771" t="s">
        <v>223</v>
      </c>
      <c r="B7771" t="s">
        <v>80</v>
      </c>
      <c r="C7771" t="s">
        <v>7949</v>
      </c>
    </row>
    <row r="7772" spans="1:3" x14ac:dyDescent="0.35">
      <c r="A7772" t="s">
        <v>223</v>
      </c>
      <c r="B7772" t="s">
        <v>80</v>
      </c>
      <c r="C7772" t="s">
        <v>7950</v>
      </c>
    </row>
    <row r="7773" spans="1:3" x14ac:dyDescent="0.35">
      <c r="A7773" t="s">
        <v>223</v>
      </c>
      <c r="B7773" t="s">
        <v>80</v>
      </c>
      <c r="C7773" t="s">
        <v>7951</v>
      </c>
    </row>
    <row r="7774" spans="1:3" x14ac:dyDescent="0.35">
      <c r="A7774" t="s">
        <v>223</v>
      </c>
      <c r="B7774" t="s">
        <v>80</v>
      </c>
      <c r="C7774" t="s">
        <v>7952</v>
      </c>
    </row>
    <row r="7775" spans="1:3" x14ac:dyDescent="0.35">
      <c r="A7775" t="s">
        <v>223</v>
      </c>
      <c r="B7775" t="s">
        <v>80</v>
      </c>
      <c r="C7775" t="s">
        <v>7953</v>
      </c>
    </row>
    <row r="7776" spans="1:3" x14ac:dyDescent="0.35">
      <c r="A7776" t="s">
        <v>223</v>
      </c>
      <c r="B7776" t="s">
        <v>80</v>
      </c>
      <c r="C7776" t="s">
        <v>80</v>
      </c>
    </row>
    <row r="7777" spans="1:3" x14ac:dyDescent="0.35">
      <c r="A7777" t="s">
        <v>223</v>
      </c>
      <c r="B7777" t="s">
        <v>80</v>
      </c>
      <c r="C7777" t="s">
        <v>7954</v>
      </c>
    </row>
    <row r="7778" spans="1:3" x14ac:dyDescent="0.35">
      <c r="A7778" t="s">
        <v>223</v>
      </c>
      <c r="B7778" t="s">
        <v>80</v>
      </c>
      <c r="C7778" t="s">
        <v>7955</v>
      </c>
    </row>
    <row r="7779" spans="1:3" x14ac:dyDescent="0.35">
      <c r="A7779" t="s">
        <v>223</v>
      </c>
      <c r="B7779" t="s">
        <v>80</v>
      </c>
      <c r="C7779" t="s">
        <v>7956</v>
      </c>
    </row>
    <row r="7780" spans="1:3" x14ac:dyDescent="0.35">
      <c r="A7780" t="s">
        <v>223</v>
      </c>
      <c r="B7780" t="s">
        <v>80</v>
      </c>
      <c r="C7780" t="s">
        <v>7957</v>
      </c>
    </row>
    <row r="7781" spans="1:3" x14ac:dyDescent="0.35">
      <c r="A7781" t="s">
        <v>223</v>
      </c>
      <c r="B7781" t="s">
        <v>80</v>
      </c>
      <c r="C7781" t="s">
        <v>7958</v>
      </c>
    </row>
    <row r="7782" spans="1:3" x14ac:dyDescent="0.35">
      <c r="A7782" t="s">
        <v>223</v>
      </c>
      <c r="B7782" t="s">
        <v>80</v>
      </c>
      <c r="C7782" t="s">
        <v>7959</v>
      </c>
    </row>
    <row r="7783" spans="1:3" x14ac:dyDescent="0.35">
      <c r="A7783" t="s">
        <v>223</v>
      </c>
      <c r="B7783" t="s">
        <v>80</v>
      </c>
      <c r="C7783" t="s">
        <v>7960</v>
      </c>
    </row>
    <row r="7784" spans="1:3" x14ac:dyDescent="0.35">
      <c r="A7784" t="s">
        <v>223</v>
      </c>
      <c r="B7784" t="s">
        <v>286</v>
      </c>
      <c r="C7784" t="s">
        <v>7961</v>
      </c>
    </row>
    <row r="7785" spans="1:3" x14ac:dyDescent="0.35">
      <c r="A7785" t="s">
        <v>223</v>
      </c>
      <c r="B7785" t="s">
        <v>286</v>
      </c>
      <c r="C7785" t="s">
        <v>7962</v>
      </c>
    </row>
    <row r="7786" spans="1:3" x14ac:dyDescent="0.35">
      <c r="A7786" t="s">
        <v>223</v>
      </c>
      <c r="B7786" t="s">
        <v>286</v>
      </c>
      <c r="C7786" t="s">
        <v>7963</v>
      </c>
    </row>
    <row r="7787" spans="1:3" x14ac:dyDescent="0.35">
      <c r="A7787" t="s">
        <v>223</v>
      </c>
      <c r="B7787" t="s">
        <v>286</v>
      </c>
      <c r="C7787" t="s">
        <v>7964</v>
      </c>
    </row>
    <row r="7788" spans="1:3" x14ac:dyDescent="0.35">
      <c r="A7788" t="s">
        <v>223</v>
      </c>
      <c r="B7788" t="s">
        <v>286</v>
      </c>
      <c r="C7788" t="s">
        <v>7965</v>
      </c>
    </row>
    <row r="7789" spans="1:3" x14ac:dyDescent="0.35">
      <c r="A7789" t="s">
        <v>223</v>
      </c>
      <c r="B7789" t="s">
        <v>286</v>
      </c>
      <c r="C7789" t="s">
        <v>7966</v>
      </c>
    </row>
    <row r="7790" spans="1:3" x14ac:dyDescent="0.35">
      <c r="A7790" t="s">
        <v>223</v>
      </c>
      <c r="B7790" t="s">
        <v>286</v>
      </c>
      <c r="C7790" t="s">
        <v>7967</v>
      </c>
    </row>
    <row r="7791" spans="1:3" x14ac:dyDescent="0.35">
      <c r="A7791" t="s">
        <v>223</v>
      </c>
      <c r="B7791" t="s">
        <v>286</v>
      </c>
      <c r="C7791" t="s">
        <v>7968</v>
      </c>
    </row>
    <row r="7792" spans="1:3" x14ac:dyDescent="0.35">
      <c r="A7792" t="s">
        <v>223</v>
      </c>
      <c r="B7792" t="s">
        <v>286</v>
      </c>
      <c r="C7792" t="s">
        <v>7969</v>
      </c>
    </row>
    <row r="7793" spans="1:3" x14ac:dyDescent="0.35">
      <c r="A7793" t="s">
        <v>223</v>
      </c>
      <c r="B7793" t="s">
        <v>286</v>
      </c>
      <c r="C7793" t="s">
        <v>7970</v>
      </c>
    </row>
    <row r="7794" spans="1:3" x14ac:dyDescent="0.35">
      <c r="A7794" t="s">
        <v>223</v>
      </c>
      <c r="B7794" t="s">
        <v>286</v>
      </c>
      <c r="C7794" t="s">
        <v>7971</v>
      </c>
    </row>
    <row r="7795" spans="1:3" x14ac:dyDescent="0.35">
      <c r="A7795" t="s">
        <v>223</v>
      </c>
      <c r="B7795" t="s">
        <v>286</v>
      </c>
      <c r="C7795" t="s">
        <v>7972</v>
      </c>
    </row>
    <row r="7796" spans="1:3" x14ac:dyDescent="0.35">
      <c r="A7796" t="s">
        <v>223</v>
      </c>
      <c r="B7796" t="s">
        <v>286</v>
      </c>
      <c r="C7796" t="s">
        <v>7973</v>
      </c>
    </row>
    <row r="7797" spans="1:3" x14ac:dyDescent="0.35">
      <c r="A7797" t="s">
        <v>223</v>
      </c>
      <c r="B7797" t="s">
        <v>286</v>
      </c>
      <c r="C7797" t="s">
        <v>7974</v>
      </c>
    </row>
    <row r="7798" spans="1:3" x14ac:dyDescent="0.35">
      <c r="A7798" t="s">
        <v>223</v>
      </c>
      <c r="B7798" t="s">
        <v>286</v>
      </c>
      <c r="C7798" t="s">
        <v>7975</v>
      </c>
    </row>
    <row r="7799" spans="1:3" x14ac:dyDescent="0.35">
      <c r="A7799" t="s">
        <v>223</v>
      </c>
      <c r="B7799" t="s">
        <v>286</v>
      </c>
      <c r="C7799" t="s">
        <v>7976</v>
      </c>
    </row>
    <row r="7800" spans="1:3" x14ac:dyDescent="0.35">
      <c r="A7800" t="s">
        <v>223</v>
      </c>
      <c r="B7800" t="s">
        <v>286</v>
      </c>
      <c r="C7800" t="s">
        <v>7977</v>
      </c>
    </row>
    <row r="7801" spans="1:3" x14ac:dyDescent="0.35">
      <c r="A7801" t="s">
        <v>223</v>
      </c>
      <c r="B7801" t="s">
        <v>286</v>
      </c>
      <c r="C7801" t="s">
        <v>7978</v>
      </c>
    </row>
    <row r="7802" spans="1:3" x14ac:dyDescent="0.35">
      <c r="A7802" t="s">
        <v>223</v>
      </c>
      <c r="B7802" t="s">
        <v>286</v>
      </c>
      <c r="C7802" t="s">
        <v>7979</v>
      </c>
    </row>
    <row r="7803" spans="1:3" x14ac:dyDescent="0.35">
      <c r="A7803" t="s">
        <v>223</v>
      </c>
      <c r="B7803" t="s">
        <v>286</v>
      </c>
      <c r="C7803" t="s">
        <v>7980</v>
      </c>
    </row>
    <row r="7804" spans="1:3" x14ac:dyDescent="0.35">
      <c r="A7804" t="s">
        <v>223</v>
      </c>
      <c r="B7804" t="s">
        <v>286</v>
      </c>
      <c r="C7804" t="s">
        <v>7981</v>
      </c>
    </row>
    <row r="7805" spans="1:3" x14ac:dyDescent="0.35">
      <c r="A7805" t="s">
        <v>223</v>
      </c>
      <c r="B7805" t="s">
        <v>286</v>
      </c>
      <c r="C7805" t="s">
        <v>7982</v>
      </c>
    </row>
    <row r="7806" spans="1:3" x14ac:dyDescent="0.35">
      <c r="A7806" t="s">
        <v>223</v>
      </c>
      <c r="B7806" t="s">
        <v>286</v>
      </c>
      <c r="C7806" t="s">
        <v>7983</v>
      </c>
    </row>
    <row r="7807" spans="1:3" x14ac:dyDescent="0.35">
      <c r="A7807" t="s">
        <v>223</v>
      </c>
      <c r="B7807" t="s">
        <v>286</v>
      </c>
      <c r="C7807" t="s">
        <v>7984</v>
      </c>
    </row>
    <row r="7808" spans="1:3" x14ac:dyDescent="0.35">
      <c r="A7808" t="s">
        <v>223</v>
      </c>
      <c r="B7808" t="s">
        <v>286</v>
      </c>
      <c r="C7808" t="s">
        <v>7985</v>
      </c>
    </row>
    <row r="7809" spans="1:3" x14ac:dyDescent="0.35">
      <c r="A7809" t="s">
        <v>223</v>
      </c>
      <c r="B7809" t="s">
        <v>286</v>
      </c>
      <c r="C7809" t="s">
        <v>7986</v>
      </c>
    </row>
    <row r="7810" spans="1:3" x14ac:dyDescent="0.35">
      <c r="A7810" t="s">
        <v>223</v>
      </c>
      <c r="B7810" t="s">
        <v>286</v>
      </c>
      <c r="C7810" t="s">
        <v>7987</v>
      </c>
    </row>
    <row r="7811" spans="1:3" x14ac:dyDescent="0.35">
      <c r="A7811" t="s">
        <v>223</v>
      </c>
      <c r="B7811" t="s">
        <v>286</v>
      </c>
      <c r="C7811" t="s">
        <v>7988</v>
      </c>
    </row>
    <row r="7812" spans="1:3" x14ac:dyDescent="0.35">
      <c r="A7812" t="s">
        <v>223</v>
      </c>
      <c r="B7812" t="s">
        <v>286</v>
      </c>
      <c r="C7812" t="s">
        <v>7989</v>
      </c>
    </row>
    <row r="7813" spans="1:3" x14ac:dyDescent="0.35">
      <c r="A7813" t="s">
        <v>223</v>
      </c>
      <c r="B7813" t="s">
        <v>286</v>
      </c>
      <c r="C7813" t="s">
        <v>7990</v>
      </c>
    </row>
    <row r="7814" spans="1:3" x14ac:dyDescent="0.35">
      <c r="A7814" t="s">
        <v>223</v>
      </c>
      <c r="B7814" t="s">
        <v>286</v>
      </c>
      <c r="C7814" t="s">
        <v>7991</v>
      </c>
    </row>
    <row r="7815" spans="1:3" x14ac:dyDescent="0.35">
      <c r="A7815" t="s">
        <v>223</v>
      </c>
      <c r="B7815" t="s">
        <v>286</v>
      </c>
      <c r="C7815" t="s">
        <v>7992</v>
      </c>
    </row>
    <row r="7816" spans="1:3" x14ac:dyDescent="0.35">
      <c r="A7816" t="s">
        <v>223</v>
      </c>
      <c r="B7816" t="s">
        <v>286</v>
      </c>
      <c r="C7816" t="s">
        <v>7993</v>
      </c>
    </row>
    <row r="7817" spans="1:3" x14ac:dyDescent="0.35">
      <c r="A7817" t="s">
        <v>223</v>
      </c>
      <c r="B7817" t="s">
        <v>286</v>
      </c>
      <c r="C7817" t="s">
        <v>7994</v>
      </c>
    </row>
    <row r="7818" spans="1:3" x14ac:dyDescent="0.35">
      <c r="A7818" t="s">
        <v>223</v>
      </c>
      <c r="B7818" t="s">
        <v>286</v>
      </c>
      <c r="C7818" t="s">
        <v>7995</v>
      </c>
    </row>
    <row r="7819" spans="1:3" x14ac:dyDescent="0.35">
      <c r="A7819" t="s">
        <v>223</v>
      </c>
      <c r="B7819" t="s">
        <v>286</v>
      </c>
      <c r="C7819" t="s">
        <v>7996</v>
      </c>
    </row>
    <row r="7820" spans="1:3" x14ac:dyDescent="0.35">
      <c r="A7820" t="s">
        <v>223</v>
      </c>
      <c r="B7820" t="s">
        <v>286</v>
      </c>
      <c r="C7820" t="s">
        <v>7997</v>
      </c>
    </row>
    <row r="7821" spans="1:3" x14ac:dyDescent="0.35">
      <c r="A7821" t="s">
        <v>223</v>
      </c>
      <c r="B7821" t="s">
        <v>286</v>
      </c>
      <c r="C7821" t="s">
        <v>7998</v>
      </c>
    </row>
    <row r="7822" spans="1:3" x14ac:dyDescent="0.35">
      <c r="A7822" t="s">
        <v>223</v>
      </c>
      <c r="B7822" t="s">
        <v>286</v>
      </c>
      <c r="C7822" t="s">
        <v>7999</v>
      </c>
    </row>
    <row r="7823" spans="1:3" x14ac:dyDescent="0.35">
      <c r="A7823" t="s">
        <v>223</v>
      </c>
      <c r="B7823" t="s">
        <v>286</v>
      </c>
      <c r="C7823" t="s">
        <v>8000</v>
      </c>
    </row>
    <row r="7824" spans="1:3" x14ac:dyDescent="0.35">
      <c r="A7824" t="s">
        <v>223</v>
      </c>
      <c r="B7824" t="s">
        <v>286</v>
      </c>
      <c r="C7824" t="s">
        <v>8001</v>
      </c>
    </row>
    <row r="7825" spans="1:3" x14ac:dyDescent="0.35">
      <c r="A7825" t="s">
        <v>223</v>
      </c>
      <c r="B7825" t="s">
        <v>286</v>
      </c>
      <c r="C7825" t="s">
        <v>8002</v>
      </c>
    </row>
    <row r="7826" spans="1:3" x14ac:dyDescent="0.35">
      <c r="A7826" t="s">
        <v>223</v>
      </c>
      <c r="B7826" t="s">
        <v>286</v>
      </c>
      <c r="C7826" t="s">
        <v>8003</v>
      </c>
    </row>
    <row r="7827" spans="1:3" x14ac:dyDescent="0.35">
      <c r="A7827" t="s">
        <v>223</v>
      </c>
      <c r="B7827" t="s">
        <v>286</v>
      </c>
      <c r="C7827" t="s">
        <v>8004</v>
      </c>
    </row>
    <row r="7828" spans="1:3" x14ac:dyDescent="0.35">
      <c r="A7828" t="s">
        <v>223</v>
      </c>
      <c r="B7828" t="s">
        <v>286</v>
      </c>
      <c r="C7828" t="s">
        <v>8005</v>
      </c>
    </row>
    <row r="7829" spans="1:3" x14ac:dyDescent="0.35">
      <c r="A7829" t="s">
        <v>223</v>
      </c>
      <c r="B7829" t="s">
        <v>286</v>
      </c>
      <c r="C7829" t="s">
        <v>8006</v>
      </c>
    </row>
    <row r="7830" spans="1:3" x14ac:dyDescent="0.35">
      <c r="A7830" t="s">
        <v>223</v>
      </c>
      <c r="B7830" t="s">
        <v>286</v>
      </c>
      <c r="C7830" t="s">
        <v>8007</v>
      </c>
    </row>
    <row r="7831" spans="1:3" x14ac:dyDescent="0.35">
      <c r="A7831" t="s">
        <v>223</v>
      </c>
      <c r="B7831" t="s">
        <v>286</v>
      </c>
      <c r="C7831" t="s">
        <v>8008</v>
      </c>
    </row>
    <row r="7832" spans="1:3" x14ac:dyDescent="0.35">
      <c r="A7832" t="s">
        <v>223</v>
      </c>
      <c r="B7832" t="s">
        <v>286</v>
      </c>
      <c r="C7832" t="s">
        <v>8009</v>
      </c>
    </row>
    <row r="7833" spans="1:3" x14ac:dyDescent="0.35">
      <c r="A7833" t="s">
        <v>223</v>
      </c>
      <c r="B7833" t="s">
        <v>286</v>
      </c>
      <c r="C7833" t="s">
        <v>8010</v>
      </c>
    </row>
    <row r="7834" spans="1:3" x14ac:dyDescent="0.35">
      <c r="A7834" t="s">
        <v>223</v>
      </c>
      <c r="B7834" t="s">
        <v>286</v>
      </c>
      <c r="C7834" t="s">
        <v>8011</v>
      </c>
    </row>
    <row r="7835" spans="1:3" x14ac:dyDescent="0.35">
      <c r="A7835" t="s">
        <v>223</v>
      </c>
      <c r="B7835" t="s">
        <v>286</v>
      </c>
      <c r="C7835" t="s">
        <v>8012</v>
      </c>
    </row>
    <row r="7836" spans="1:3" x14ac:dyDescent="0.35">
      <c r="A7836" t="s">
        <v>223</v>
      </c>
      <c r="B7836" t="s">
        <v>286</v>
      </c>
      <c r="C7836" t="s">
        <v>8013</v>
      </c>
    </row>
    <row r="7837" spans="1:3" x14ac:dyDescent="0.35">
      <c r="A7837" t="s">
        <v>223</v>
      </c>
      <c r="B7837" t="s">
        <v>286</v>
      </c>
      <c r="C7837" t="s">
        <v>8014</v>
      </c>
    </row>
    <row r="7838" spans="1:3" x14ac:dyDescent="0.35">
      <c r="A7838" t="s">
        <v>223</v>
      </c>
      <c r="B7838" t="s">
        <v>286</v>
      </c>
      <c r="C7838" t="s">
        <v>8015</v>
      </c>
    </row>
    <row r="7839" spans="1:3" x14ac:dyDescent="0.35">
      <c r="A7839" t="s">
        <v>223</v>
      </c>
      <c r="B7839" t="s">
        <v>286</v>
      </c>
      <c r="C7839" t="s">
        <v>8016</v>
      </c>
    </row>
    <row r="7840" spans="1:3" x14ac:dyDescent="0.35">
      <c r="A7840" t="s">
        <v>223</v>
      </c>
      <c r="B7840" t="s">
        <v>286</v>
      </c>
      <c r="C7840" t="s">
        <v>8017</v>
      </c>
    </row>
    <row r="7841" spans="1:3" x14ac:dyDescent="0.35">
      <c r="A7841" t="s">
        <v>223</v>
      </c>
      <c r="B7841" t="s">
        <v>286</v>
      </c>
      <c r="C7841" t="s">
        <v>8018</v>
      </c>
    </row>
    <row r="7842" spans="1:3" x14ac:dyDescent="0.35">
      <c r="A7842" t="s">
        <v>223</v>
      </c>
      <c r="B7842" t="s">
        <v>286</v>
      </c>
      <c r="C7842" t="s">
        <v>8019</v>
      </c>
    </row>
    <row r="7843" spans="1:3" x14ac:dyDescent="0.35">
      <c r="A7843" t="s">
        <v>223</v>
      </c>
      <c r="B7843" t="s">
        <v>286</v>
      </c>
      <c r="C7843" t="s">
        <v>8020</v>
      </c>
    </row>
    <row r="7844" spans="1:3" x14ac:dyDescent="0.35">
      <c r="A7844" t="s">
        <v>223</v>
      </c>
      <c r="B7844" t="s">
        <v>286</v>
      </c>
      <c r="C7844" t="s">
        <v>8021</v>
      </c>
    </row>
    <row r="7845" spans="1:3" x14ac:dyDescent="0.35">
      <c r="A7845" t="s">
        <v>223</v>
      </c>
      <c r="B7845" t="s">
        <v>286</v>
      </c>
      <c r="C7845" t="s">
        <v>8022</v>
      </c>
    </row>
    <row r="7846" spans="1:3" x14ac:dyDescent="0.35">
      <c r="A7846" t="s">
        <v>223</v>
      </c>
      <c r="B7846" t="s">
        <v>286</v>
      </c>
      <c r="C7846" t="s">
        <v>8023</v>
      </c>
    </row>
    <row r="7847" spans="1:3" x14ac:dyDescent="0.35">
      <c r="A7847" t="s">
        <v>223</v>
      </c>
      <c r="B7847" t="s">
        <v>286</v>
      </c>
      <c r="C7847" t="s">
        <v>8024</v>
      </c>
    </row>
    <row r="7848" spans="1:3" x14ac:dyDescent="0.35">
      <c r="A7848" t="s">
        <v>223</v>
      </c>
      <c r="B7848" t="s">
        <v>286</v>
      </c>
      <c r="C7848" t="s">
        <v>8025</v>
      </c>
    </row>
    <row r="7849" spans="1:3" x14ac:dyDescent="0.35">
      <c r="A7849" t="s">
        <v>223</v>
      </c>
      <c r="B7849" t="s">
        <v>286</v>
      </c>
      <c r="C7849" t="s">
        <v>8026</v>
      </c>
    </row>
    <row r="7850" spans="1:3" x14ac:dyDescent="0.35">
      <c r="A7850" t="s">
        <v>223</v>
      </c>
      <c r="B7850" t="s">
        <v>286</v>
      </c>
      <c r="C7850" t="s">
        <v>8027</v>
      </c>
    </row>
    <row r="7851" spans="1:3" x14ac:dyDescent="0.35">
      <c r="A7851" t="s">
        <v>223</v>
      </c>
      <c r="B7851" t="s">
        <v>286</v>
      </c>
      <c r="C7851" t="s">
        <v>8028</v>
      </c>
    </row>
    <row r="7852" spans="1:3" x14ac:dyDescent="0.35">
      <c r="A7852" t="s">
        <v>223</v>
      </c>
      <c r="B7852" t="s">
        <v>286</v>
      </c>
      <c r="C7852" t="s">
        <v>8029</v>
      </c>
    </row>
    <row r="7853" spans="1:3" x14ac:dyDescent="0.35">
      <c r="A7853" t="s">
        <v>223</v>
      </c>
      <c r="B7853" t="s">
        <v>286</v>
      </c>
      <c r="C7853" t="s">
        <v>8030</v>
      </c>
    </row>
    <row r="7854" spans="1:3" x14ac:dyDescent="0.35">
      <c r="A7854" t="s">
        <v>223</v>
      </c>
      <c r="B7854" t="s">
        <v>286</v>
      </c>
      <c r="C7854" t="s">
        <v>8031</v>
      </c>
    </row>
    <row r="7855" spans="1:3" x14ac:dyDescent="0.35">
      <c r="A7855" t="s">
        <v>223</v>
      </c>
      <c r="B7855" t="s">
        <v>286</v>
      </c>
      <c r="C7855" t="s">
        <v>8032</v>
      </c>
    </row>
    <row r="7856" spans="1:3" x14ac:dyDescent="0.35">
      <c r="A7856" t="s">
        <v>223</v>
      </c>
      <c r="B7856" t="s">
        <v>286</v>
      </c>
      <c r="C7856" t="s">
        <v>8033</v>
      </c>
    </row>
    <row r="7857" spans="1:3" x14ac:dyDescent="0.35">
      <c r="A7857" t="s">
        <v>223</v>
      </c>
      <c r="B7857" t="s">
        <v>286</v>
      </c>
      <c r="C7857" t="s">
        <v>8034</v>
      </c>
    </row>
    <row r="7858" spans="1:3" x14ac:dyDescent="0.35">
      <c r="A7858" t="s">
        <v>223</v>
      </c>
      <c r="B7858" t="s">
        <v>286</v>
      </c>
      <c r="C7858" t="s">
        <v>8035</v>
      </c>
    </row>
    <row r="7859" spans="1:3" x14ac:dyDescent="0.35">
      <c r="A7859" t="s">
        <v>223</v>
      </c>
      <c r="B7859" t="s">
        <v>286</v>
      </c>
      <c r="C7859" t="s">
        <v>8036</v>
      </c>
    </row>
    <row r="7860" spans="1:3" x14ac:dyDescent="0.35">
      <c r="A7860" t="s">
        <v>223</v>
      </c>
      <c r="B7860" t="s">
        <v>286</v>
      </c>
      <c r="C7860" t="s">
        <v>8037</v>
      </c>
    </row>
    <row r="7861" spans="1:3" x14ac:dyDescent="0.35">
      <c r="A7861" t="s">
        <v>223</v>
      </c>
      <c r="B7861" t="s">
        <v>286</v>
      </c>
      <c r="C7861" t="s">
        <v>8038</v>
      </c>
    </row>
    <row r="7862" spans="1:3" x14ac:dyDescent="0.35">
      <c r="A7862" t="s">
        <v>223</v>
      </c>
      <c r="B7862" t="s">
        <v>286</v>
      </c>
      <c r="C7862" t="s">
        <v>8039</v>
      </c>
    </row>
    <row r="7863" spans="1:3" x14ac:dyDescent="0.35">
      <c r="A7863" t="s">
        <v>223</v>
      </c>
      <c r="B7863" t="s">
        <v>286</v>
      </c>
      <c r="C7863" t="s">
        <v>8040</v>
      </c>
    </row>
    <row r="7864" spans="1:3" x14ac:dyDescent="0.35">
      <c r="A7864" t="s">
        <v>223</v>
      </c>
      <c r="B7864" t="s">
        <v>286</v>
      </c>
      <c r="C7864" t="s">
        <v>8041</v>
      </c>
    </row>
    <row r="7865" spans="1:3" x14ac:dyDescent="0.35">
      <c r="A7865" t="s">
        <v>223</v>
      </c>
      <c r="B7865" t="s">
        <v>286</v>
      </c>
      <c r="C7865" t="s">
        <v>8042</v>
      </c>
    </row>
    <row r="7866" spans="1:3" x14ac:dyDescent="0.35">
      <c r="A7866" t="s">
        <v>223</v>
      </c>
      <c r="B7866" t="s">
        <v>286</v>
      </c>
      <c r="C7866" t="s">
        <v>8043</v>
      </c>
    </row>
    <row r="7867" spans="1:3" x14ac:dyDescent="0.35">
      <c r="A7867" t="s">
        <v>223</v>
      </c>
      <c r="B7867" t="s">
        <v>286</v>
      </c>
      <c r="C7867" t="s">
        <v>8044</v>
      </c>
    </row>
    <row r="7868" spans="1:3" x14ac:dyDescent="0.35">
      <c r="A7868" t="s">
        <v>223</v>
      </c>
      <c r="B7868" t="s">
        <v>286</v>
      </c>
      <c r="C7868" t="s">
        <v>8045</v>
      </c>
    </row>
    <row r="7869" spans="1:3" x14ac:dyDescent="0.35">
      <c r="A7869" t="s">
        <v>223</v>
      </c>
      <c r="B7869" t="s">
        <v>286</v>
      </c>
      <c r="C7869" t="s">
        <v>8046</v>
      </c>
    </row>
    <row r="7870" spans="1:3" x14ac:dyDescent="0.35">
      <c r="A7870" t="s">
        <v>223</v>
      </c>
      <c r="B7870" t="s">
        <v>286</v>
      </c>
      <c r="C7870" t="s">
        <v>8047</v>
      </c>
    </row>
    <row r="7871" spans="1:3" x14ac:dyDescent="0.35">
      <c r="A7871" t="s">
        <v>223</v>
      </c>
      <c r="B7871" t="s">
        <v>286</v>
      </c>
      <c r="C7871" t="s">
        <v>8048</v>
      </c>
    </row>
    <row r="7872" spans="1:3" x14ac:dyDescent="0.35">
      <c r="A7872" t="s">
        <v>223</v>
      </c>
      <c r="B7872" t="s">
        <v>286</v>
      </c>
      <c r="C7872" t="s">
        <v>8049</v>
      </c>
    </row>
    <row r="7873" spans="1:3" x14ac:dyDescent="0.35">
      <c r="A7873" t="s">
        <v>223</v>
      </c>
      <c r="B7873" t="s">
        <v>286</v>
      </c>
      <c r="C7873" t="s">
        <v>8050</v>
      </c>
    </row>
    <row r="7874" spans="1:3" x14ac:dyDescent="0.35">
      <c r="A7874" t="s">
        <v>223</v>
      </c>
      <c r="B7874" t="s">
        <v>286</v>
      </c>
      <c r="C7874" t="s">
        <v>8051</v>
      </c>
    </row>
    <row r="7875" spans="1:3" x14ac:dyDescent="0.35">
      <c r="A7875" t="s">
        <v>223</v>
      </c>
      <c r="B7875" t="s">
        <v>286</v>
      </c>
      <c r="C7875" t="s">
        <v>8052</v>
      </c>
    </row>
    <row r="7876" spans="1:3" x14ac:dyDescent="0.35">
      <c r="A7876" t="s">
        <v>223</v>
      </c>
      <c r="B7876" t="s">
        <v>286</v>
      </c>
      <c r="C7876" t="s">
        <v>8053</v>
      </c>
    </row>
    <row r="7877" spans="1:3" x14ac:dyDescent="0.35">
      <c r="A7877" t="s">
        <v>223</v>
      </c>
      <c r="B7877" t="s">
        <v>286</v>
      </c>
      <c r="C7877" t="s">
        <v>8054</v>
      </c>
    </row>
    <row r="7878" spans="1:3" x14ac:dyDescent="0.35">
      <c r="A7878" t="s">
        <v>223</v>
      </c>
      <c r="B7878" t="s">
        <v>286</v>
      </c>
      <c r="C7878" t="s">
        <v>8055</v>
      </c>
    </row>
    <row r="7879" spans="1:3" x14ac:dyDescent="0.35">
      <c r="A7879" t="s">
        <v>223</v>
      </c>
      <c r="B7879" t="s">
        <v>286</v>
      </c>
      <c r="C7879" t="s">
        <v>8056</v>
      </c>
    </row>
    <row r="7880" spans="1:3" x14ac:dyDescent="0.35">
      <c r="A7880" t="s">
        <v>223</v>
      </c>
      <c r="B7880" t="s">
        <v>286</v>
      </c>
      <c r="C7880" t="s">
        <v>8057</v>
      </c>
    </row>
    <row r="7881" spans="1:3" x14ac:dyDescent="0.35">
      <c r="A7881" t="s">
        <v>223</v>
      </c>
      <c r="B7881" t="s">
        <v>286</v>
      </c>
      <c r="C7881" t="s">
        <v>8058</v>
      </c>
    </row>
    <row r="7882" spans="1:3" x14ac:dyDescent="0.35">
      <c r="A7882" t="s">
        <v>223</v>
      </c>
      <c r="B7882" t="s">
        <v>286</v>
      </c>
      <c r="C7882" t="s">
        <v>8059</v>
      </c>
    </row>
    <row r="7883" spans="1:3" x14ac:dyDescent="0.35">
      <c r="A7883" t="s">
        <v>223</v>
      </c>
      <c r="B7883" t="s">
        <v>286</v>
      </c>
      <c r="C7883" t="s">
        <v>8060</v>
      </c>
    </row>
    <row r="7884" spans="1:3" x14ac:dyDescent="0.35">
      <c r="A7884" t="s">
        <v>223</v>
      </c>
      <c r="B7884" t="s">
        <v>286</v>
      </c>
      <c r="C7884" t="s">
        <v>8061</v>
      </c>
    </row>
    <row r="7885" spans="1:3" x14ac:dyDescent="0.35">
      <c r="A7885" t="s">
        <v>223</v>
      </c>
      <c r="B7885" t="s">
        <v>286</v>
      </c>
      <c r="C7885" t="s">
        <v>8062</v>
      </c>
    </row>
    <row r="7886" spans="1:3" x14ac:dyDescent="0.35">
      <c r="A7886" t="s">
        <v>223</v>
      </c>
      <c r="B7886" t="s">
        <v>286</v>
      </c>
      <c r="C7886" t="s">
        <v>8063</v>
      </c>
    </row>
    <row r="7887" spans="1:3" x14ac:dyDescent="0.35">
      <c r="A7887" t="s">
        <v>223</v>
      </c>
      <c r="B7887" t="s">
        <v>286</v>
      </c>
      <c r="C7887" t="s">
        <v>8064</v>
      </c>
    </row>
    <row r="7888" spans="1:3" x14ac:dyDescent="0.35">
      <c r="A7888" t="s">
        <v>223</v>
      </c>
      <c r="B7888" t="s">
        <v>286</v>
      </c>
      <c r="C7888" t="s">
        <v>8065</v>
      </c>
    </row>
    <row r="7889" spans="1:3" x14ac:dyDescent="0.35">
      <c r="A7889" t="s">
        <v>223</v>
      </c>
      <c r="B7889" t="s">
        <v>286</v>
      </c>
      <c r="C7889" t="s">
        <v>8066</v>
      </c>
    </row>
    <row r="7890" spans="1:3" x14ac:dyDescent="0.35">
      <c r="A7890" t="s">
        <v>223</v>
      </c>
      <c r="B7890" t="s">
        <v>286</v>
      </c>
      <c r="C7890" t="s">
        <v>286</v>
      </c>
    </row>
    <row r="7891" spans="1:3" x14ac:dyDescent="0.35">
      <c r="A7891" t="s">
        <v>223</v>
      </c>
      <c r="B7891" t="s">
        <v>286</v>
      </c>
      <c r="C7891" t="s">
        <v>8067</v>
      </c>
    </row>
    <row r="7892" spans="1:3" x14ac:dyDescent="0.35">
      <c r="A7892" t="s">
        <v>223</v>
      </c>
      <c r="B7892" t="s">
        <v>286</v>
      </c>
      <c r="C7892" t="s">
        <v>8068</v>
      </c>
    </row>
    <row r="7893" spans="1:3" x14ac:dyDescent="0.35">
      <c r="A7893" t="s">
        <v>223</v>
      </c>
      <c r="B7893" t="s">
        <v>286</v>
      </c>
      <c r="C7893" t="s">
        <v>8069</v>
      </c>
    </row>
    <row r="7894" spans="1:3" x14ac:dyDescent="0.35">
      <c r="A7894" t="s">
        <v>223</v>
      </c>
      <c r="B7894" t="s">
        <v>286</v>
      </c>
      <c r="C7894" t="s">
        <v>8070</v>
      </c>
    </row>
    <row r="7895" spans="1:3" x14ac:dyDescent="0.35">
      <c r="A7895" t="s">
        <v>223</v>
      </c>
      <c r="B7895" t="s">
        <v>286</v>
      </c>
      <c r="C7895" t="s">
        <v>8071</v>
      </c>
    </row>
    <row r="7896" spans="1:3" x14ac:dyDescent="0.35">
      <c r="A7896" t="s">
        <v>223</v>
      </c>
      <c r="B7896" t="s">
        <v>286</v>
      </c>
      <c r="C7896" t="s">
        <v>8072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146</v>
      </c>
      <c r="B1" t="s">
        <v>231</v>
      </c>
      <c r="C1" t="s">
        <v>229</v>
      </c>
      <c r="D1" t="s">
        <v>232</v>
      </c>
      <c r="E1" t="s">
        <v>242</v>
      </c>
      <c r="F1" t="s">
        <v>244</v>
      </c>
      <c r="G1" t="s">
        <v>227</v>
      </c>
      <c r="H1" t="s">
        <v>30</v>
      </c>
      <c r="I1" t="s">
        <v>245</v>
      </c>
      <c r="J1" t="s">
        <v>234</v>
      </c>
      <c r="K1" t="s">
        <v>237</v>
      </c>
      <c r="L1" t="s">
        <v>35</v>
      </c>
      <c r="M1" t="s">
        <v>258</v>
      </c>
      <c r="N1" t="s">
        <v>39</v>
      </c>
      <c r="O1" t="s">
        <v>233</v>
      </c>
      <c r="P1" t="s">
        <v>46</v>
      </c>
      <c r="Q1" t="s">
        <v>259</v>
      </c>
      <c r="R1" t="s">
        <v>50</v>
      </c>
      <c r="S1" t="s">
        <v>247</v>
      </c>
      <c r="T1" t="s">
        <v>230</v>
      </c>
      <c r="U1" t="s">
        <v>251</v>
      </c>
      <c r="V1" t="s">
        <v>3</v>
      </c>
      <c r="W1" t="s">
        <v>226</v>
      </c>
      <c r="X1" t="s">
        <v>224</v>
      </c>
      <c r="Y1" t="s">
        <v>256</v>
      </c>
      <c r="Z1" t="s">
        <v>52</v>
      </c>
      <c r="AA1" t="s">
        <v>268</v>
      </c>
      <c r="AB1" t="s">
        <v>250</v>
      </c>
      <c r="AC1" t="s">
        <v>53</v>
      </c>
      <c r="AD1" t="s">
        <v>159</v>
      </c>
      <c r="AE1" t="s">
        <v>257</v>
      </c>
      <c r="AF1" t="s">
        <v>238</v>
      </c>
      <c r="AG1" t="s">
        <v>54</v>
      </c>
      <c r="AH1" t="s">
        <v>270</v>
      </c>
      <c r="AI1" t="s">
        <v>252</v>
      </c>
      <c r="AJ1" t="s">
        <v>55</v>
      </c>
      <c r="AK1" t="s">
        <v>56</v>
      </c>
      <c r="AL1" t="s">
        <v>228</v>
      </c>
      <c r="AM1" t="s">
        <v>261</v>
      </c>
      <c r="AN1" t="s">
        <v>241</v>
      </c>
      <c r="AO1" t="s">
        <v>243</v>
      </c>
      <c r="AP1" t="s">
        <v>235</v>
      </c>
      <c r="AQ1" t="s">
        <v>255</v>
      </c>
      <c r="AR1" t="s">
        <v>240</v>
      </c>
      <c r="AS1" t="s">
        <v>275</v>
      </c>
      <c r="AT1" t="s">
        <v>57</v>
      </c>
      <c r="AU1" t="s">
        <v>58</v>
      </c>
      <c r="AV1" t="s">
        <v>279</v>
      </c>
      <c r="AW1" t="s">
        <v>59</v>
      </c>
      <c r="AX1" t="s">
        <v>269</v>
      </c>
      <c r="AY1" t="s">
        <v>283</v>
      </c>
      <c r="AZ1" t="s">
        <v>281</v>
      </c>
      <c r="BA1" t="s">
        <v>225</v>
      </c>
      <c r="BB1" t="s">
        <v>277</v>
      </c>
      <c r="BC1" t="s">
        <v>288</v>
      </c>
      <c r="BD1" t="s">
        <v>265</v>
      </c>
      <c r="BE1" t="s">
        <v>291</v>
      </c>
      <c r="BF1" t="s">
        <v>64</v>
      </c>
      <c r="BG1" t="s">
        <v>274</v>
      </c>
      <c r="BH1" t="s">
        <v>246</v>
      </c>
      <c r="BI1" t="s">
        <v>260</v>
      </c>
      <c r="BJ1" t="s">
        <v>65</v>
      </c>
      <c r="BK1" t="s">
        <v>141</v>
      </c>
      <c r="BL1" t="s">
        <v>66</v>
      </c>
      <c r="BM1" t="s">
        <v>293</v>
      </c>
      <c r="BN1" t="s">
        <v>67</v>
      </c>
      <c r="BO1" t="s">
        <v>273</v>
      </c>
      <c r="BP1" t="s">
        <v>249</v>
      </c>
      <c r="BQ1" t="s">
        <v>278</v>
      </c>
      <c r="BR1" t="s">
        <v>285</v>
      </c>
      <c r="BS1" t="s">
        <v>290</v>
      </c>
      <c r="BT1" t="s">
        <v>239</v>
      </c>
      <c r="BU1" t="s">
        <v>236</v>
      </c>
      <c r="BV1" t="s">
        <v>292</v>
      </c>
      <c r="BW1" t="s">
        <v>180</v>
      </c>
      <c r="BX1" t="s">
        <v>282</v>
      </c>
      <c r="BY1" t="s">
        <v>264</v>
      </c>
      <c r="BZ1" t="s">
        <v>287</v>
      </c>
      <c r="CA1" t="s">
        <v>254</v>
      </c>
      <c r="CB1" t="s">
        <v>68</v>
      </c>
      <c r="CC1" t="s">
        <v>266</v>
      </c>
      <c r="CD1" t="s">
        <v>262</v>
      </c>
      <c r="CE1" t="s">
        <v>71</v>
      </c>
      <c r="CF1" t="s">
        <v>72</v>
      </c>
      <c r="CG1" t="s">
        <v>267</v>
      </c>
      <c r="CH1" t="s">
        <v>294</v>
      </c>
      <c r="CI1" t="s">
        <v>122</v>
      </c>
      <c r="CJ1" t="s">
        <v>74</v>
      </c>
      <c r="CK1" t="s">
        <v>276</v>
      </c>
      <c r="CL1" t="s">
        <v>280</v>
      </c>
      <c r="CM1" t="s">
        <v>263</v>
      </c>
      <c r="CN1" t="s">
        <v>248</v>
      </c>
      <c r="CO1" t="s">
        <v>75</v>
      </c>
      <c r="CP1" t="s">
        <v>130</v>
      </c>
      <c r="CQ1" t="s">
        <v>76</v>
      </c>
      <c r="CR1" t="s">
        <v>77</v>
      </c>
      <c r="CS1" t="s">
        <v>253</v>
      </c>
      <c r="CT1" t="s">
        <v>78</v>
      </c>
      <c r="CU1" t="s">
        <v>222</v>
      </c>
      <c r="CV1" t="s">
        <v>295</v>
      </c>
      <c r="CW1" t="s">
        <v>79</v>
      </c>
      <c r="CX1" t="s">
        <v>284</v>
      </c>
      <c r="CY1" t="s">
        <v>289</v>
      </c>
      <c r="CZ1" t="s">
        <v>80</v>
      </c>
      <c r="DA1" t="s">
        <v>271</v>
      </c>
      <c r="DB1" t="s">
        <v>286</v>
      </c>
      <c r="DC1" t="s">
        <v>272</v>
      </c>
    </row>
    <row r="2" spans="1:107" x14ac:dyDescent="0.35">
      <c r="A2" t="s">
        <v>146</v>
      </c>
      <c r="B2" t="s">
        <v>4652</v>
      </c>
      <c r="C2" t="s">
        <v>4299</v>
      </c>
      <c r="D2" t="s">
        <v>6815</v>
      </c>
      <c r="E2" t="s">
        <v>4345</v>
      </c>
      <c r="F2" t="s">
        <v>4838</v>
      </c>
      <c r="G2" t="s">
        <v>1129</v>
      </c>
      <c r="H2" t="s">
        <v>5824</v>
      </c>
      <c r="I2" t="s">
        <v>5864</v>
      </c>
      <c r="J2" t="s">
        <v>7521</v>
      </c>
      <c r="K2" t="s">
        <v>1246</v>
      </c>
      <c r="L2" t="s">
        <v>2808</v>
      </c>
      <c r="M2" t="s">
        <v>4954</v>
      </c>
      <c r="N2" t="s">
        <v>1674</v>
      </c>
      <c r="O2" t="s">
        <v>7079</v>
      </c>
      <c r="P2" t="s">
        <v>3050</v>
      </c>
      <c r="Q2" t="s">
        <v>259</v>
      </c>
      <c r="R2" t="s">
        <v>6075</v>
      </c>
      <c r="S2" t="s">
        <v>6488</v>
      </c>
      <c r="T2" t="s">
        <v>4519</v>
      </c>
      <c r="U2" t="s">
        <v>1323</v>
      </c>
      <c r="V2" t="s">
        <v>6509</v>
      </c>
      <c r="W2" t="s">
        <v>729</v>
      </c>
      <c r="X2" t="s">
        <v>297</v>
      </c>
      <c r="Y2" t="s">
        <v>3254</v>
      </c>
      <c r="Z2" t="s">
        <v>808</v>
      </c>
      <c r="AA2" t="s">
        <v>3400</v>
      </c>
      <c r="AB2" t="s">
        <v>957</v>
      </c>
      <c r="AC2" t="s">
        <v>5027</v>
      </c>
      <c r="AD2" t="s">
        <v>6561</v>
      </c>
      <c r="AE2" t="s">
        <v>4377</v>
      </c>
      <c r="AF2" t="s">
        <v>1728</v>
      </c>
      <c r="AG2" t="s">
        <v>6850</v>
      </c>
      <c r="AH2" t="s">
        <v>5893</v>
      </c>
      <c r="AI2" t="s">
        <v>1748</v>
      </c>
      <c r="AJ2" t="s">
        <v>2206</v>
      </c>
      <c r="AK2" t="s">
        <v>2579</v>
      </c>
      <c r="AL2" t="s">
        <v>1995</v>
      </c>
      <c r="AM2" t="s">
        <v>6890</v>
      </c>
      <c r="AN2" t="s">
        <v>2645</v>
      </c>
      <c r="AO2" t="s">
        <v>4601</v>
      </c>
      <c r="AP2" t="s">
        <v>402</v>
      </c>
      <c r="AQ2" t="s">
        <v>2710</v>
      </c>
      <c r="AR2" t="s">
        <v>2296</v>
      </c>
      <c r="AS2" t="s">
        <v>5953</v>
      </c>
      <c r="AT2" t="s">
        <v>3512</v>
      </c>
      <c r="AU2" t="s">
        <v>6917</v>
      </c>
      <c r="AV2" t="s">
        <v>3595</v>
      </c>
      <c r="AW2" t="s">
        <v>6935</v>
      </c>
      <c r="AX2" t="s">
        <v>4416</v>
      </c>
      <c r="AY2" t="s">
        <v>3654</v>
      </c>
      <c r="AZ2" t="s">
        <v>6967</v>
      </c>
      <c r="BA2" t="s">
        <v>600</v>
      </c>
      <c r="BB2" t="s">
        <v>6579</v>
      </c>
      <c r="BC2" t="s">
        <v>3717</v>
      </c>
      <c r="BD2" t="s">
        <v>1778</v>
      </c>
      <c r="BE2" t="s">
        <v>3849</v>
      </c>
      <c r="BF2" t="s">
        <v>1426</v>
      </c>
      <c r="BG2" t="s">
        <v>5273</v>
      </c>
      <c r="BH2" t="s">
        <v>6091</v>
      </c>
      <c r="BI2" t="s">
        <v>6164</v>
      </c>
      <c r="BJ2" t="s">
        <v>7580</v>
      </c>
      <c r="BK2" t="s">
        <v>6685</v>
      </c>
      <c r="BL2" t="s">
        <v>1823</v>
      </c>
      <c r="BM2" t="s">
        <v>3904</v>
      </c>
      <c r="BN2" t="s">
        <v>7357</v>
      </c>
      <c r="BO2" t="s">
        <v>4470</v>
      </c>
      <c r="BP2" t="s">
        <v>509</v>
      </c>
      <c r="BQ2" t="s">
        <v>1866</v>
      </c>
      <c r="BR2" t="s">
        <v>6984</v>
      </c>
      <c r="BS2" t="s">
        <v>7020</v>
      </c>
      <c r="BT2" t="s">
        <v>2019</v>
      </c>
      <c r="BU2" t="s">
        <v>630</v>
      </c>
      <c r="BV2" t="s">
        <v>7039</v>
      </c>
      <c r="BW2" t="s">
        <v>6763</v>
      </c>
      <c r="BX2" t="s">
        <v>1911</v>
      </c>
      <c r="BY2" t="s">
        <v>983</v>
      </c>
      <c r="BZ2" t="s">
        <v>1928</v>
      </c>
      <c r="CA2" t="s">
        <v>2328</v>
      </c>
      <c r="CB2" t="s">
        <v>1969</v>
      </c>
      <c r="CC2" t="s">
        <v>2400</v>
      </c>
      <c r="CD2" t="s">
        <v>7680</v>
      </c>
      <c r="CE2" t="s">
        <v>1517</v>
      </c>
      <c r="CF2" t="s">
        <v>6250</v>
      </c>
      <c r="CG2" t="s">
        <v>2741</v>
      </c>
      <c r="CH2" t="s">
        <v>7045</v>
      </c>
      <c r="CI2" t="s">
        <v>6774</v>
      </c>
      <c r="CJ2" t="s">
        <v>4088</v>
      </c>
      <c r="CK2" t="s">
        <v>6341</v>
      </c>
      <c r="CL2" t="s">
        <v>6047</v>
      </c>
      <c r="CM2" t="s">
        <v>554</v>
      </c>
      <c r="CN2" t="s">
        <v>7415</v>
      </c>
      <c r="CO2" t="s">
        <v>5359</v>
      </c>
      <c r="CP2" t="s">
        <v>6793</v>
      </c>
      <c r="CQ2" t="s">
        <v>7194</v>
      </c>
      <c r="CR2" t="s">
        <v>7729</v>
      </c>
      <c r="CS2" t="s">
        <v>2068</v>
      </c>
      <c r="CT2" t="s">
        <v>2073</v>
      </c>
      <c r="CU2" t="s">
        <v>7447</v>
      </c>
      <c r="CV2" t="s">
        <v>4164</v>
      </c>
      <c r="CW2" t="s">
        <v>7821</v>
      </c>
      <c r="CX2" t="s">
        <v>5669</v>
      </c>
      <c r="CY2" t="s">
        <v>5743</v>
      </c>
      <c r="CZ2" t="s">
        <v>7864</v>
      </c>
      <c r="DA2" t="s">
        <v>1080</v>
      </c>
      <c r="DB2" t="s">
        <v>7961</v>
      </c>
      <c r="DC2" t="s">
        <v>2520</v>
      </c>
    </row>
    <row r="3" spans="1:107" x14ac:dyDescent="0.35">
      <c r="A3" t="s">
        <v>6448</v>
      </c>
      <c r="B3" t="s">
        <v>4653</v>
      </c>
      <c r="C3" t="s">
        <v>229</v>
      </c>
      <c r="D3" t="s">
        <v>232</v>
      </c>
      <c r="E3" t="s">
        <v>4346</v>
      </c>
      <c r="F3" t="s">
        <v>4839</v>
      </c>
      <c r="G3" t="s">
        <v>1130</v>
      </c>
      <c r="H3" t="s">
        <v>5825</v>
      </c>
      <c r="I3" t="s">
        <v>5865</v>
      </c>
      <c r="J3" t="s">
        <v>7522</v>
      </c>
      <c r="K3" t="s">
        <v>1247</v>
      </c>
      <c r="L3" t="s">
        <v>2809</v>
      </c>
      <c r="M3" t="s">
        <v>4955</v>
      </c>
      <c r="N3" t="s">
        <v>1675</v>
      </c>
      <c r="O3" t="s">
        <v>7080</v>
      </c>
      <c r="P3" t="s">
        <v>3051</v>
      </c>
      <c r="Q3" t="s">
        <v>5874</v>
      </c>
      <c r="R3" t="s">
        <v>50</v>
      </c>
      <c r="S3" t="s">
        <v>6489</v>
      </c>
      <c r="T3" t="s">
        <v>4520</v>
      </c>
      <c r="U3" t="s">
        <v>1324</v>
      </c>
      <c r="V3" t="s">
        <v>6510</v>
      </c>
      <c r="W3" t="s">
        <v>730</v>
      </c>
      <c r="X3" t="s">
        <v>299</v>
      </c>
      <c r="Y3" t="s">
        <v>3255</v>
      </c>
      <c r="Z3" t="s">
        <v>809</v>
      </c>
      <c r="AA3" t="s">
        <v>3401</v>
      </c>
      <c r="AB3" t="s">
        <v>958</v>
      </c>
      <c r="AC3" t="s">
        <v>5028</v>
      </c>
      <c r="AD3" t="s">
        <v>160</v>
      </c>
      <c r="AE3" t="s">
        <v>4378</v>
      </c>
      <c r="AF3" t="s">
        <v>1729</v>
      </c>
      <c r="AG3" t="s">
        <v>6851</v>
      </c>
      <c r="AH3" t="s">
        <v>5894</v>
      </c>
      <c r="AI3" t="s">
        <v>1749</v>
      </c>
      <c r="AJ3" t="s">
        <v>2207</v>
      </c>
      <c r="AK3" t="s">
        <v>2580</v>
      </c>
      <c r="AL3" t="s">
        <v>1996</v>
      </c>
      <c r="AM3" t="s">
        <v>6891</v>
      </c>
      <c r="AN3" t="s">
        <v>2646</v>
      </c>
      <c r="AO3" t="s">
        <v>4602</v>
      </c>
      <c r="AP3" t="s">
        <v>403</v>
      </c>
      <c r="AQ3" t="s">
        <v>2711</v>
      </c>
      <c r="AR3" t="s">
        <v>2297</v>
      </c>
      <c r="AS3" t="s">
        <v>5954</v>
      </c>
      <c r="AT3" t="s">
        <v>3513</v>
      </c>
      <c r="AU3" t="s">
        <v>6918</v>
      </c>
      <c r="AV3" t="s">
        <v>3596</v>
      </c>
      <c r="AW3" t="s">
        <v>6936</v>
      </c>
      <c r="AX3" t="s">
        <v>4417</v>
      </c>
      <c r="AY3" t="s">
        <v>3655</v>
      </c>
      <c r="AZ3" t="s">
        <v>6968</v>
      </c>
      <c r="BA3" t="s">
        <v>601</v>
      </c>
      <c r="BB3" t="s">
        <v>6580</v>
      </c>
      <c r="BC3" t="s">
        <v>3718</v>
      </c>
      <c r="BD3" t="s">
        <v>1779</v>
      </c>
      <c r="BE3" t="s">
        <v>3850</v>
      </c>
      <c r="BF3" t="s">
        <v>1427</v>
      </c>
      <c r="BG3" t="s">
        <v>5274</v>
      </c>
      <c r="BH3" t="s">
        <v>6092</v>
      </c>
      <c r="BI3" t="s">
        <v>6165</v>
      </c>
      <c r="BJ3" t="s">
        <v>7581</v>
      </c>
      <c r="BK3" t="s">
        <v>6686</v>
      </c>
      <c r="BL3" t="s">
        <v>1824</v>
      </c>
      <c r="BM3" t="s">
        <v>3905</v>
      </c>
      <c r="BN3" t="s">
        <v>7358</v>
      </c>
      <c r="BO3" t="s">
        <v>4471</v>
      </c>
      <c r="BP3" t="s">
        <v>510</v>
      </c>
      <c r="BQ3" t="s">
        <v>1867</v>
      </c>
      <c r="BR3" t="s">
        <v>6985</v>
      </c>
      <c r="BS3" t="s">
        <v>7021</v>
      </c>
      <c r="BT3" t="s">
        <v>2020</v>
      </c>
      <c r="BU3" t="s">
        <v>631</v>
      </c>
      <c r="BV3" t="s">
        <v>7040</v>
      </c>
      <c r="BW3" t="s">
        <v>6764</v>
      </c>
      <c r="BX3" t="s">
        <v>1912</v>
      </c>
      <c r="BY3" t="s">
        <v>984</v>
      </c>
      <c r="BZ3" t="s">
        <v>1929</v>
      </c>
      <c r="CA3" t="s">
        <v>2329</v>
      </c>
      <c r="CB3" t="s">
        <v>1970</v>
      </c>
      <c r="CC3" t="s">
        <v>2401</v>
      </c>
      <c r="CD3" t="s">
        <v>7681</v>
      </c>
      <c r="CE3" t="s">
        <v>1518</v>
      </c>
      <c r="CF3" t="s">
        <v>6251</v>
      </c>
      <c r="CG3" t="s">
        <v>24</v>
      </c>
      <c r="CH3" t="s">
        <v>7046</v>
      </c>
      <c r="CI3" t="s">
        <v>6775</v>
      </c>
      <c r="CJ3" t="s">
        <v>4089</v>
      </c>
      <c r="CK3" t="s">
        <v>6342</v>
      </c>
      <c r="CL3" t="s">
        <v>6048</v>
      </c>
      <c r="CM3" t="s">
        <v>555</v>
      </c>
      <c r="CN3" t="s">
        <v>7416</v>
      </c>
      <c r="CO3" t="s">
        <v>5360</v>
      </c>
      <c r="CP3" t="s">
        <v>131</v>
      </c>
      <c r="CQ3" t="s">
        <v>7195</v>
      </c>
      <c r="CR3" t="s">
        <v>7730</v>
      </c>
      <c r="CS3" t="s">
        <v>2069</v>
      </c>
      <c r="CT3" t="s">
        <v>2074</v>
      </c>
      <c r="CU3" t="s">
        <v>7448</v>
      </c>
      <c r="CV3" t="s">
        <v>4165</v>
      </c>
      <c r="CW3" t="s">
        <v>7822</v>
      </c>
      <c r="CX3" t="s">
        <v>5670</v>
      </c>
      <c r="CY3" t="s">
        <v>5744</v>
      </c>
      <c r="CZ3" t="s">
        <v>7865</v>
      </c>
      <c r="DA3" t="s">
        <v>1081</v>
      </c>
      <c r="DB3" t="s">
        <v>7962</v>
      </c>
      <c r="DC3" t="s">
        <v>2521</v>
      </c>
    </row>
    <row r="4" spans="1:107" x14ac:dyDescent="0.35">
      <c r="A4" t="s">
        <v>6449</v>
      </c>
      <c r="B4" t="s">
        <v>231</v>
      </c>
      <c r="C4" t="s">
        <v>4300</v>
      </c>
      <c r="D4" t="s">
        <v>6816</v>
      </c>
      <c r="E4" t="s">
        <v>4347</v>
      </c>
      <c r="F4" t="s">
        <v>4840</v>
      </c>
      <c r="G4" t="s">
        <v>1131</v>
      </c>
      <c r="H4" t="s">
        <v>5826</v>
      </c>
      <c r="I4" t="s">
        <v>5866</v>
      </c>
      <c r="J4" t="s">
        <v>7523</v>
      </c>
      <c r="K4" t="s">
        <v>1248</v>
      </c>
      <c r="L4" t="s">
        <v>2810</v>
      </c>
      <c r="M4" t="s">
        <v>4956</v>
      </c>
      <c r="N4" t="s">
        <v>1676</v>
      </c>
      <c r="O4" t="s">
        <v>7081</v>
      </c>
      <c r="P4" t="s">
        <v>3052</v>
      </c>
      <c r="Q4" t="s">
        <v>5875</v>
      </c>
      <c r="R4" t="s">
        <v>6076</v>
      </c>
      <c r="S4" t="s">
        <v>6490</v>
      </c>
      <c r="T4" t="s">
        <v>4521</v>
      </c>
      <c r="U4" t="s">
        <v>1325</v>
      </c>
      <c r="V4" t="s">
        <v>6511</v>
      </c>
      <c r="W4" t="s">
        <v>731</v>
      </c>
      <c r="X4" t="s">
        <v>301</v>
      </c>
      <c r="Y4" t="s">
        <v>3256</v>
      </c>
      <c r="Z4" t="s">
        <v>810</v>
      </c>
      <c r="AA4" t="s">
        <v>3402</v>
      </c>
      <c r="AB4" t="s">
        <v>959</v>
      </c>
      <c r="AC4" t="s">
        <v>5029</v>
      </c>
      <c r="AD4" t="s">
        <v>6562</v>
      </c>
      <c r="AE4" t="s">
        <v>4379</v>
      </c>
      <c r="AF4" t="s">
        <v>1730</v>
      </c>
      <c r="AG4" t="s">
        <v>6852</v>
      </c>
      <c r="AH4" t="s">
        <v>5895</v>
      </c>
      <c r="AI4" t="s">
        <v>1750</v>
      </c>
      <c r="AJ4" t="s">
        <v>2208</v>
      </c>
      <c r="AK4" t="s">
        <v>2581</v>
      </c>
      <c r="AL4" t="s">
        <v>1997</v>
      </c>
      <c r="AM4" t="s">
        <v>6892</v>
      </c>
      <c r="AN4" t="s">
        <v>2647</v>
      </c>
      <c r="AO4" t="s">
        <v>4603</v>
      </c>
      <c r="AP4" t="s">
        <v>404</v>
      </c>
      <c r="AQ4" t="s">
        <v>2712</v>
      </c>
      <c r="AR4" t="s">
        <v>2298</v>
      </c>
      <c r="AS4" t="s">
        <v>5955</v>
      </c>
      <c r="AT4" t="s">
        <v>3514</v>
      </c>
      <c r="AU4" t="s">
        <v>6919</v>
      </c>
      <c r="AV4" t="s">
        <v>3597</v>
      </c>
      <c r="AW4" t="s">
        <v>6937</v>
      </c>
      <c r="AX4" t="s">
        <v>4418</v>
      </c>
      <c r="AY4" t="s">
        <v>3656</v>
      </c>
      <c r="AZ4" t="s">
        <v>6969</v>
      </c>
      <c r="BA4" t="s">
        <v>602</v>
      </c>
      <c r="BB4" t="s">
        <v>6581</v>
      </c>
      <c r="BC4" t="s">
        <v>3719</v>
      </c>
      <c r="BD4" t="s">
        <v>1780</v>
      </c>
      <c r="BE4" t="s">
        <v>3851</v>
      </c>
      <c r="BF4" t="s">
        <v>1428</v>
      </c>
      <c r="BG4" t="s">
        <v>5275</v>
      </c>
      <c r="BH4" t="s">
        <v>6093</v>
      </c>
      <c r="BI4" t="s">
        <v>6166</v>
      </c>
      <c r="BJ4" t="s">
        <v>7582</v>
      </c>
      <c r="BK4" t="s">
        <v>6687</v>
      </c>
      <c r="BL4" t="s">
        <v>1825</v>
      </c>
      <c r="BM4" t="s">
        <v>3906</v>
      </c>
      <c r="BN4" t="s">
        <v>7359</v>
      </c>
      <c r="BO4" t="s">
        <v>4472</v>
      </c>
      <c r="BP4" t="s">
        <v>511</v>
      </c>
      <c r="BQ4" t="s">
        <v>1868</v>
      </c>
      <c r="BR4" t="s">
        <v>6986</v>
      </c>
      <c r="BS4" t="s">
        <v>7022</v>
      </c>
      <c r="BT4" t="s">
        <v>2021</v>
      </c>
      <c r="BU4" t="s">
        <v>632</v>
      </c>
      <c r="BV4" t="s">
        <v>7041</v>
      </c>
      <c r="BW4" t="s">
        <v>6765</v>
      </c>
      <c r="BX4" t="s">
        <v>1913</v>
      </c>
      <c r="BY4" t="s">
        <v>985</v>
      </c>
      <c r="BZ4" t="s">
        <v>1930</v>
      </c>
      <c r="CA4" t="s">
        <v>2330</v>
      </c>
      <c r="CB4" t="s">
        <v>1971</v>
      </c>
      <c r="CC4" t="s">
        <v>2402</v>
      </c>
      <c r="CD4" t="s">
        <v>7682</v>
      </c>
      <c r="CE4" t="s">
        <v>1519</v>
      </c>
      <c r="CF4" t="s">
        <v>6252</v>
      </c>
      <c r="CG4" t="s">
        <v>2742</v>
      </c>
      <c r="CH4" t="s">
        <v>7047</v>
      </c>
      <c r="CI4" t="s">
        <v>6776</v>
      </c>
      <c r="CJ4" t="s">
        <v>4090</v>
      </c>
      <c r="CK4" t="s">
        <v>6343</v>
      </c>
      <c r="CL4" t="s">
        <v>6049</v>
      </c>
      <c r="CM4" t="s">
        <v>556</v>
      </c>
      <c r="CN4" t="s">
        <v>7417</v>
      </c>
      <c r="CO4" t="s">
        <v>5361</v>
      </c>
      <c r="CP4" t="s">
        <v>6794</v>
      </c>
      <c r="CQ4" t="s">
        <v>7196</v>
      </c>
      <c r="CR4" t="s">
        <v>7731</v>
      </c>
      <c r="CS4" t="s">
        <v>2070</v>
      </c>
      <c r="CT4" t="s">
        <v>2075</v>
      </c>
      <c r="CU4" t="s">
        <v>7449</v>
      </c>
      <c r="CV4" t="s">
        <v>4166</v>
      </c>
      <c r="CW4" t="s">
        <v>7823</v>
      </c>
      <c r="CX4" t="s">
        <v>5671</v>
      </c>
      <c r="CY4" t="s">
        <v>5745</v>
      </c>
      <c r="CZ4" t="s">
        <v>7866</v>
      </c>
      <c r="DA4" t="s">
        <v>1082</v>
      </c>
      <c r="DB4" t="s">
        <v>7963</v>
      </c>
      <c r="DC4" t="s">
        <v>2522</v>
      </c>
    </row>
    <row r="5" spans="1:107" x14ac:dyDescent="0.35">
      <c r="A5" t="s">
        <v>6450</v>
      </c>
      <c r="B5" t="s">
        <v>4654</v>
      </c>
      <c r="C5" t="s">
        <v>4301</v>
      </c>
      <c r="D5" t="s">
        <v>6817</v>
      </c>
      <c r="E5" t="s">
        <v>4348</v>
      </c>
      <c r="F5" t="s">
        <v>4841</v>
      </c>
      <c r="G5" t="s">
        <v>1132</v>
      </c>
      <c r="H5" t="s">
        <v>5827</v>
      </c>
      <c r="I5" t="s">
        <v>5867</v>
      </c>
      <c r="J5" t="s">
        <v>7524</v>
      </c>
      <c r="K5" t="s">
        <v>1249</v>
      </c>
      <c r="L5" t="s">
        <v>2811</v>
      </c>
      <c r="M5" t="s">
        <v>258</v>
      </c>
      <c r="N5" t="s">
        <v>1677</v>
      </c>
      <c r="O5" t="s">
        <v>7082</v>
      </c>
      <c r="P5" t="s">
        <v>3053</v>
      </c>
      <c r="Q5" t="s">
        <v>5876</v>
      </c>
      <c r="R5" t="s">
        <v>6077</v>
      </c>
      <c r="S5" t="s">
        <v>247</v>
      </c>
      <c r="T5" t="s">
        <v>4522</v>
      </c>
      <c r="U5" t="s">
        <v>1326</v>
      </c>
      <c r="V5" t="s">
        <v>6512</v>
      </c>
      <c r="W5" t="s">
        <v>732</v>
      </c>
      <c r="X5" t="s">
        <v>302</v>
      </c>
      <c r="Y5" t="s">
        <v>3257</v>
      </c>
      <c r="Z5" t="s">
        <v>811</v>
      </c>
      <c r="AA5" t="s">
        <v>3403</v>
      </c>
      <c r="AB5" t="s">
        <v>960</v>
      </c>
      <c r="AC5" t="s">
        <v>5030</v>
      </c>
      <c r="AD5" t="s">
        <v>6563</v>
      </c>
      <c r="AE5" t="s">
        <v>4380</v>
      </c>
      <c r="AF5" t="s">
        <v>1731</v>
      </c>
      <c r="AG5" t="s">
        <v>6853</v>
      </c>
      <c r="AH5" t="s">
        <v>5896</v>
      </c>
      <c r="AI5" t="s">
        <v>1751</v>
      </c>
      <c r="AJ5" t="s">
        <v>2209</v>
      </c>
      <c r="AK5" t="s">
        <v>2582</v>
      </c>
      <c r="AL5" t="s">
        <v>1998</v>
      </c>
      <c r="AM5" t="s">
        <v>6893</v>
      </c>
      <c r="AN5" t="s">
        <v>2648</v>
      </c>
      <c r="AO5" t="s">
        <v>4604</v>
      </c>
      <c r="AP5" t="s">
        <v>405</v>
      </c>
      <c r="AQ5" t="s">
        <v>2713</v>
      </c>
      <c r="AR5" t="s">
        <v>2299</v>
      </c>
      <c r="AS5" t="s">
        <v>5956</v>
      </c>
      <c r="AT5" t="s">
        <v>3515</v>
      </c>
      <c r="AU5" t="s">
        <v>6920</v>
      </c>
      <c r="AV5" t="s">
        <v>3598</v>
      </c>
      <c r="AW5" t="s">
        <v>6938</v>
      </c>
      <c r="AX5" t="s">
        <v>4419</v>
      </c>
      <c r="AY5" t="s">
        <v>3657</v>
      </c>
      <c r="AZ5" t="s">
        <v>6970</v>
      </c>
      <c r="BA5" t="s">
        <v>603</v>
      </c>
      <c r="BB5" t="s">
        <v>6582</v>
      </c>
      <c r="BC5" t="s">
        <v>3720</v>
      </c>
      <c r="BD5" t="s">
        <v>1781</v>
      </c>
      <c r="BE5" t="s">
        <v>3852</v>
      </c>
      <c r="BF5" t="s">
        <v>1429</v>
      </c>
      <c r="BG5" t="s">
        <v>5276</v>
      </c>
      <c r="BH5" t="s">
        <v>6094</v>
      </c>
      <c r="BI5" t="s">
        <v>6167</v>
      </c>
      <c r="BJ5" t="s">
        <v>7583</v>
      </c>
      <c r="BK5" t="s">
        <v>6688</v>
      </c>
      <c r="BL5" t="s">
        <v>1826</v>
      </c>
      <c r="BM5" t="s">
        <v>3907</v>
      </c>
      <c r="BN5" t="s">
        <v>7360</v>
      </c>
      <c r="BO5" t="s">
        <v>4473</v>
      </c>
      <c r="BP5" t="s">
        <v>512</v>
      </c>
      <c r="BQ5" t="s">
        <v>1869</v>
      </c>
      <c r="BR5" t="s">
        <v>6987</v>
      </c>
      <c r="BS5" t="s">
        <v>7023</v>
      </c>
      <c r="BT5" t="s">
        <v>2022</v>
      </c>
      <c r="BU5" t="s">
        <v>633</v>
      </c>
      <c r="BV5" t="s">
        <v>7042</v>
      </c>
      <c r="BW5" t="s">
        <v>6766</v>
      </c>
      <c r="BX5" t="s">
        <v>1914</v>
      </c>
      <c r="BY5" t="s">
        <v>986</v>
      </c>
      <c r="BZ5" t="s">
        <v>1931</v>
      </c>
      <c r="CA5" t="s">
        <v>2331</v>
      </c>
      <c r="CB5" t="s">
        <v>1972</v>
      </c>
      <c r="CC5" t="s">
        <v>2403</v>
      </c>
      <c r="CD5" t="s">
        <v>7683</v>
      </c>
      <c r="CE5" t="s">
        <v>1520</v>
      </c>
      <c r="CF5" t="s">
        <v>6253</v>
      </c>
      <c r="CG5" t="s">
        <v>2743</v>
      </c>
      <c r="CH5" t="s">
        <v>7048</v>
      </c>
      <c r="CI5" t="s">
        <v>6777</v>
      </c>
      <c r="CJ5" t="s">
        <v>4091</v>
      </c>
      <c r="CK5" t="s">
        <v>6344</v>
      </c>
      <c r="CL5" t="s">
        <v>6050</v>
      </c>
      <c r="CM5" t="s">
        <v>557</v>
      </c>
      <c r="CN5" t="s">
        <v>7418</v>
      </c>
      <c r="CO5" t="s">
        <v>5362</v>
      </c>
      <c r="CP5" t="s">
        <v>6795</v>
      </c>
      <c r="CQ5" t="s">
        <v>7197</v>
      </c>
      <c r="CR5" t="s">
        <v>7732</v>
      </c>
      <c r="CS5" t="s">
        <v>2071</v>
      </c>
      <c r="CT5" t="s">
        <v>2076</v>
      </c>
      <c r="CU5" t="s">
        <v>7450</v>
      </c>
      <c r="CV5" t="s">
        <v>4167</v>
      </c>
      <c r="CW5" t="s">
        <v>7824</v>
      </c>
      <c r="CX5" t="s">
        <v>5672</v>
      </c>
      <c r="CY5" t="s">
        <v>5746</v>
      </c>
      <c r="CZ5" t="s">
        <v>7867</v>
      </c>
      <c r="DA5" t="s">
        <v>1083</v>
      </c>
      <c r="DB5" t="s">
        <v>7964</v>
      </c>
      <c r="DC5" t="s">
        <v>2523</v>
      </c>
    </row>
    <row r="6" spans="1:107" x14ac:dyDescent="0.35">
      <c r="A6" t="s">
        <v>6451</v>
      </c>
      <c r="B6" t="s">
        <v>4655</v>
      </c>
      <c r="C6" t="s">
        <v>4302</v>
      </c>
      <c r="D6" t="s">
        <v>6818</v>
      </c>
      <c r="E6" t="s">
        <v>242</v>
      </c>
      <c r="F6" t="s">
        <v>244</v>
      </c>
      <c r="G6" t="s">
        <v>1133</v>
      </c>
      <c r="H6" t="s">
        <v>30</v>
      </c>
      <c r="I6" t="s">
        <v>5868</v>
      </c>
      <c r="J6" t="s">
        <v>7525</v>
      </c>
      <c r="K6" t="s">
        <v>1250</v>
      </c>
      <c r="L6" t="s">
        <v>2812</v>
      </c>
      <c r="M6" t="s">
        <v>4957</v>
      </c>
      <c r="N6" t="s">
        <v>1678</v>
      </c>
      <c r="O6" t="s">
        <v>7083</v>
      </c>
      <c r="P6" t="s">
        <v>3054</v>
      </c>
      <c r="Q6" t="s">
        <v>5877</v>
      </c>
      <c r="R6" t="s">
        <v>6078</v>
      </c>
      <c r="S6" t="s">
        <v>6491</v>
      </c>
      <c r="T6" t="s">
        <v>4523</v>
      </c>
      <c r="U6" t="s">
        <v>1327</v>
      </c>
      <c r="V6" t="s">
        <v>6513</v>
      </c>
      <c r="W6" t="s">
        <v>733</v>
      </c>
      <c r="X6" t="s">
        <v>303</v>
      </c>
      <c r="Y6" t="s">
        <v>3258</v>
      </c>
      <c r="Z6" t="s">
        <v>812</v>
      </c>
      <c r="AA6" t="s">
        <v>3404</v>
      </c>
      <c r="AB6" t="s">
        <v>961</v>
      </c>
      <c r="AC6" t="s">
        <v>5031</v>
      </c>
      <c r="AD6" t="s">
        <v>6564</v>
      </c>
      <c r="AE6" t="s">
        <v>4381</v>
      </c>
      <c r="AF6" t="s">
        <v>1732</v>
      </c>
      <c r="AG6" t="s">
        <v>6854</v>
      </c>
      <c r="AH6" t="s">
        <v>5897</v>
      </c>
      <c r="AI6" t="s">
        <v>1752</v>
      </c>
      <c r="AJ6" t="s">
        <v>2210</v>
      </c>
      <c r="AK6" t="s">
        <v>2583</v>
      </c>
      <c r="AL6" t="s">
        <v>1999</v>
      </c>
      <c r="AM6" t="s">
        <v>6894</v>
      </c>
      <c r="AN6" t="s">
        <v>2649</v>
      </c>
      <c r="AO6" t="s">
        <v>4605</v>
      </c>
      <c r="AP6" t="s">
        <v>406</v>
      </c>
      <c r="AQ6" t="s">
        <v>2714</v>
      </c>
      <c r="AR6" t="s">
        <v>2300</v>
      </c>
      <c r="AS6" t="s">
        <v>5957</v>
      </c>
      <c r="AT6" t="s">
        <v>3516</v>
      </c>
      <c r="AU6" t="s">
        <v>6921</v>
      </c>
      <c r="AV6" t="s">
        <v>3599</v>
      </c>
      <c r="AW6" t="s">
        <v>6939</v>
      </c>
      <c r="AX6" t="s">
        <v>4420</v>
      </c>
      <c r="AY6" t="s">
        <v>3658</v>
      </c>
      <c r="AZ6" t="s">
        <v>6971</v>
      </c>
      <c r="BA6" t="s">
        <v>604</v>
      </c>
      <c r="BB6" t="s">
        <v>6583</v>
      </c>
      <c r="BC6" t="s">
        <v>3721</v>
      </c>
      <c r="BD6" t="s">
        <v>1782</v>
      </c>
      <c r="BE6" t="s">
        <v>3853</v>
      </c>
      <c r="BF6" t="s">
        <v>1430</v>
      </c>
      <c r="BG6" t="s">
        <v>5277</v>
      </c>
      <c r="BH6" t="s">
        <v>6095</v>
      </c>
      <c r="BI6" t="s">
        <v>6168</v>
      </c>
      <c r="BJ6" t="s">
        <v>7584</v>
      </c>
      <c r="BK6" t="s">
        <v>6689</v>
      </c>
      <c r="BL6" t="s">
        <v>1827</v>
      </c>
      <c r="BM6" t="s">
        <v>3908</v>
      </c>
      <c r="BN6" t="s">
        <v>7361</v>
      </c>
      <c r="BO6" t="s">
        <v>4474</v>
      </c>
      <c r="BP6" t="s">
        <v>513</v>
      </c>
      <c r="BQ6" t="s">
        <v>1870</v>
      </c>
      <c r="BR6" t="s">
        <v>6988</v>
      </c>
      <c r="BS6" t="s">
        <v>7024</v>
      </c>
      <c r="BT6" t="s">
        <v>2023</v>
      </c>
      <c r="BU6" t="s">
        <v>634</v>
      </c>
      <c r="BV6" t="s">
        <v>292</v>
      </c>
      <c r="BW6" t="s">
        <v>6767</v>
      </c>
      <c r="BX6" t="s">
        <v>1915</v>
      </c>
      <c r="BY6" t="s">
        <v>987</v>
      </c>
      <c r="BZ6" t="s">
        <v>1932</v>
      </c>
      <c r="CA6" t="s">
        <v>2332</v>
      </c>
      <c r="CB6" t="s">
        <v>1973</v>
      </c>
      <c r="CC6" t="s">
        <v>2404</v>
      </c>
      <c r="CD6" t="s">
        <v>7684</v>
      </c>
      <c r="CE6" t="s">
        <v>1521</v>
      </c>
      <c r="CF6" t="s">
        <v>6254</v>
      </c>
      <c r="CG6" t="s">
        <v>2744</v>
      </c>
      <c r="CH6" t="s">
        <v>7049</v>
      </c>
      <c r="CI6" t="s">
        <v>6778</v>
      </c>
      <c r="CJ6" t="s">
        <v>4092</v>
      </c>
      <c r="CK6" t="s">
        <v>6345</v>
      </c>
      <c r="CL6" t="s">
        <v>6051</v>
      </c>
      <c r="CM6" t="s">
        <v>558</v>
      </c>
      <c r="CN6" t="s">
        <v>7419</v>
      </c>
      <c r="CO6" t="s">
        <v>5363</v>
      </c>
      <c r="CP6" t="s">
        <v>6796</v>
      </c>
      <c r="CQ6" t="s">
        <v>7198</v>
      </c>
      <c r="CR6" t="s">
        <v>7733</v>
      </c>
      <c r="CS6" t="s">
        <v>2072</v>
      </c>
      <c r="CT6" t="s">
        <v>2077</v>
      </c>
      <c r="CU6" t="s">
        <v>7451</v>
      </c>
      <c r="CV6" t="s">
        <v>4168</v>
      </c>
      <c r="CW6" t="s">
        <v>7825</v>
      </c>
      <c r="CX6" t="s">
        <v>5673</v>
      </c>
      <c r="CY6" t="s">
        <v>5747</v>
      </c>
      <c r="CZ6" t="s">
        <v>7868</v>
      </c>
      <c r="DA6" t="s">
        <v>1084</v>
      </c>
      <c r="DB6" t="s">
        <v>7965</v>
      </c>
      <c r="DC6" t="s">
        <v>2524</v>
      </c>
    </row>
    <row r="7" spans="1:107" x14ac:dyDescent="0.35">
      <c r="A7" t="s">
        <v>6452</v>
      </c>
      <c r="B7" t="s">
        <v>4656</v>
      </c>
      <c r="C7" t="s">
        <v>4303</v>
      </c>
      <c r="D7" t="s">
        <v>6819</v>
      </c>
      <c r="E7" t="s">
        <v>4349</v>
      </c>
      <c r="F7" t="s">
        <v>4842</v>
      </c>
      <c r="G7" t="s">
        <v>1134</v>
      </c>
      <c r="H7" t="s">
        <v>5828</v>
      </c>
      <c r="I7" t="s">
        <v>5869</v>
      </c>
      <c r="J7" t="s">
        <v>234</v>
      </c>
      <c r="K7" t="s">
        <v>1251</v>
      </c>
      <c r="L7" t="s">
        <v>2813</v>
      </c>
      <c r="M7" t="s">
        <v>4958</v>
      </c>
      <c r="N7" t="s">
        <v>39</v>
      </c>
      <c r="O7" t="s">
        <v>7084</v>
      </c>
      <c r="P7" t="s">
        <v>3055</v>
      </c>
      <c r="Q7" t="s">
        <v>5878</v>
      </c>
      <c r="R7" t="s">
        <v>6079</v>
      </c>
      <c r="S7" t="s">
        <v>6492</v>
      </c>
      <c r="T7" t="s">
        <v>230</v>
      </c>
      <c r="U7" t="s">
        <v>1328</v>
      </c>
      <c r="V7" t="s">
        <v>6514</v>
      </c>
      <c r="W7" t="s">
        <v>734</v>
      </c>
      <c r="X7" t="s">
        <v>304</v>
      </c>
      <c r="Y7" t="s">
        <v>3259</v>
      </c>
      <c r="Z7" t="s">
        <v>813</v>
      </c>
      <c r="AA7" t="s">
        <v>3405</v>
      </c>
      <c r="AB7" t="s">
        <v>962</v>
      </c>
      <c r="AC7" t="s">
        <v>5032</v>
      </c>
      <c r="AD7" t="s">
        <v>6565</v>
      </c>
      <c r="AE7" t="s">
        <v>257</v>
      </c>
      <c r="AF7" t="s">
        <v>1733</v>
      </c>
      <c r="AG7" t="s">
        <v>6855</v>
      </c>
      <c r="AH7" t="s">
        <v>5898</v>
      </c>
      <c r="AI7" t="s">
        <v>1753</v>
      </c>
      <c r="AJ7" t="s">
        <v>2211</v>
      </c>
      <c r="AK7" t="s">
        <v>2584</v>
      </c>
      <c r="AL7" t="s">
        <v>2000</v>
      </c>
      <c r="AM7" t="s">
        <v>6895</v>
      </c>
      <c r="AN7" t="s">
        <v>2650</v>
      </c>
      <c r="AO7" t="s">
        <v>4606</v>
      </c>
      <c r="AP7" t="s">
        <v>407</v>
      </c>
      <c r="AQ7" t="s">
        <v>2715</v>
      </c>
      <c r="AR7" t="s">
        <v>2301</v>
      </c>
      <c r="AS7" t="s">
        <v>5958</v>
      </c>
      <c r="AT7" t="s">
        <v>3517</v>
      </c>
      <c r="AU7" t="s">
        <v>6922</v>
      </c>
      <c r="AV7" t="s">
        <v>3600</v>
      </c>
      <c r="AW7" t="s">
        <v>6940</v>
      </c>
      <c r="AX7" t="s">
        <v>4421</v>
      </c>
      <c r="AY7" t="s">
        <v>3659</v>
      </c>
      <c r="AZ7" t="s">
        <v>6972</v>
      </c>
      <c r="BA7" t="s">
        <v>605</v>
      </c>
      <c r="BB7" t="s">
        <v>6584</v>
      </c>
      <c r="BC7" t="s">
        <v>3722</v>
      </c>
      <c r="BD7" t="s">
        <v>1783</v>
      </c>
      <c r="BE7" t="s">
        <v>3854</v>
      </c>
      <c r="BF7" t="s">
        <v>1431</v>
      </c>
      <c r="BG7" t="s">
        <v>5278</v>
      </c>
      <c r="BH7" t="s">
        <v>6096</v>
      </c>
      <c r="BI7" t="s">
        <v>6169</v>
      </c>
      <c r="BJ7" t="s">
        <v>7585</v>
      </c>
      <c r="BK7" t="s">
        <v>6690</v>
      </c>
      <c r="BL7" t="s">
        <v>1828</v>
      </c>
      <c r="BM7" t="s">
        <v>3909</v>
      </c>
      <c r="BN7" t="s">
        <v>7362</v>
      </c>
      <c r="BO7" t="s">
        <v>4475</v>
      </c>
      <c r="BP7" t="s">
        <v>514</v>
      </c>
      <c r="BQ7" t="s">
        <v>1871</v>
      </c>
      <c r="BR7" t="s">
        <v>6989</v>
      </c>
      <c r="BS7" t="s">
        <v>7025</v>
      </c>
      <c r="BT7" t="s">
        <v>2024</v>
      </c>
      <c r="BU7" t="s">
        <v>635</v>
      </c>
      <c r="BV7" t="s">
        <v>7043</v>
      </c>
      <c r="BW7" t="s">
        <v>6768</v>
      </c>
      <c r="BX7" t="s">
        <v>1916</v>
      </c>
      <c r="BY7" t="s">
        <v>988</v>
      </c>
      <c r="BZ7" t="s">
        <v>1933</v>
      </c>
      <c r="CA7" t="s">
        <v>2333</v>
      </c>
      <c r="CB7" t="s">
        <v>1974</v>
      </c>
      <c r="CC7" t="s">
        <v>2405</v>
      </c>
      <c r="CD7" t="s">
        <v>7685</v>
      </c>
      <c r="CE7" t="s">
        <v>1522</v>
      </c>
      <c r="CF7" t="s">
        <v>6255</v>
      </c>
      <c r="CG7" t="s">
        <v>2745</v>
      </c>
      <c r="CH7" t="s">
        <v>7050</v>
      </c>
      <c r="CI7" t="s">
        <v>6779</v>
      </c>
      <c r="CJ7" t="s">
        <v>4093</v>
      </c>
      <c r="CK7" t="s">
        <v>6346</v>
      </c>
      <c r="CL7" t="s">
        <v>6052</v>
      </c>
      <c r="CM7" t="s">
        <v>559</v>
      </c>
      <c r="CN7" t="s">
        <v>7420</v>
      </c>
      <c r="CO7" t="s">
        <v>5364</v>
      </c>
      <c r="CP7" t="s">
        <v>6797</v>
      </c>
      <c r="CQ7" t="s">
        <v>7199</v>
      </c>
      <c r="CR7" t="s">
        <v>7734</v>
      </c>
      <c r="CS7" t="s">
        <v>253</v>
      </c>
      <c r="CT7" t="s">
        <v>2078</v>
      </c>
      <c r="CU7" t="s">
        <v>7452</v>
      </c>
      <c r="CV7" t="s">
        <v>4169</v>
      </c>
      <c r="CW7" t="s">
        <v>7826</v>
      </c>
      <c r="CX7" t="s">
        <v>5674</v>
      </c>
      <c r="CY7" t="s">
        <v>5748</v>
      </c>
      <c r="CZ7" t="s">
        <v>7869</v>
      </c>
      <c r="DA7" t="s">
        <v>1085</v>
      </c>
      <c r="DB7" t="s">
        <v>7966</v>
      </c>
      <c r="DC7" t="s">
        <v>2525</v>
      </c>
    </row>
    <row r="8" spans="1:107" x14ac:dyDescent="0.35">
      <c r="A8" t="s">
        <v>6453</v>
      </c>
      <c r="B8" t="s">
        <v>4657</v>
      </c>
      <c r="C8" t="s">
        <v>4304</v>
      </c>
      <c r="D8" t="s">
        <v>6820</v>
      </c>
      <c r="E8" t="s">
        <v>4350</v>
      </c>
      <c r="F8" t="s">
        <v>4843</v>
      </c>
      <c r="G8" t="s">
        <v>1135</v>
      </c>
      <c r="H8" t="s">
        <v>5829</v>
      </c>
      <c r="I8" t="s">
        <v>5870</v>
      </c>
      <c r="J8" t="s">
        <v>7526</v>
      </c>
      <c r="K8" t="s">
        <v>1252</v>
      </c>
      <c r="L8" t="s">
        <v>2814</v>
      </c>
      <c r="M8" t="s">
        <v>4959</v>
      </c>
      <c r="N8" t="s">
        <v>1679</v>
      </c>
      <c r="O8" t="s">
        <v>7085</v>
      </c>
      <c r="P8" t="s">
        <v>3056</v>
      </c>
      <c r="Q8" t="s">
        <v>5879</v>
      </c>
      <c r="R8" t="s">
        <v>6080</v>
      </c>
      <c r="S8" t="s">
        <v>6493</v>
      </c>
      <c r="T8" t="s">
        <v>4524</v>
      </c>
      <c r="U8" t="s">
        <v>1329</v>
      </c>
      <c r="V8" t="s">
        <v>127</v>
      </c>
      <c r="W8" t="s">
        <v>735</v>
      </c>
      <c r="X8" t="s">
        <v>305</v>
      </c>
      <c r="Y8" t="s">
        <v>3260</v>
      </c>
      <c r="Z8" t="s">
        <v>814</v>
      </c>
      <c r="AA8" t="s">
        <v>3406</v>
      </c>
      <c r="AB8" t="s">
        <v>963</v>
      </c>
      <c r="AC8" t="s">
        <v>5033</v>
      </c>
      <c r="AD8" t="s">
        <v>6566</v>
      </c>
      <c r="AE8" t="s">
        <v>4382</v>
      </c>
      <c r="AF8" t="s">
        <v>238</v>
      </c>
      <c r="AG8" t="s">
        <v>6856</v>
      </c>
      <c r="AH8" t="s">
        <v>5899</v>
      </c>
      <c r="AI8" t="s">
        <v>1754</v>
      </c>
      <c r="AJ8" t="s">
        <v>2212</v>
      </c>
      <c r="AK8" t="s">
        <v>2585</v>
      </c>
      <c r="AL8" t="s">
        <v>228</v>
      </c>
      <c r="AM8" t="s">
        <v>6896</v>
      </c>
      <c r="AN8" t="s">
        <v>2651</v>
      </c>
      <c r="AO8" t="s">
        <v>4607</v>
      </c>
      <c r="AP8" t="s">
        <v>408</v>
      </c>
      <c r="AQ8" t="s">
        <v>2716</v>
      </c>
      <c r="AR8" t="s">
        <v>2302</v>
      </c>
      <c r="AS8" t="s">
        <v>5959</v>
      </c>
      <c r="AT8" t="s">
        <v>3518</v>
      </c>
      <c r="AU8" t="s">
        <v>6923</v>
      </c>
      <c r="AV8" t="s">
        <v>3601</v>
      </c>
      <c r="AW8" t="s">
        <v>6941</v>
      </c>
      <c r="AX8" t="s">
        <v>4422</v>
      </c>
      <c r="AY8" t="s">
        <v>3660</v>
      </c>
      <c r="AZ8" t="s">
        <v>6973</v>
      </c>
      <c r="BA8" t="s">
        <v>606</v>
      </c>
      <c r="BB8" t="s">
        <v>6585</v>
      </c>
      <c r="BC8" t="s">
        <v>3723</v>
      </c>
      <c r="BD8" t="s">
        <v>1784</v>
      </c>
      <c r="BE8" t="s">
        <v>3855</v>
      </c>
      <c r="BF8" t="s">
        <v>1432</v>
      </c>
      <c r="BG8" t="s">
        <v>5279</v>
      </c>
      <c r="BH8" t="s">
        <v>6097</v>
      </c>
      <c r="BI8" t="s">
        <v>6170</v>
      </c>
      <c r="BJ8" t="s">
        <v>7586</v>
      </c>
      <c r="BK8" t="s">
        <v>6691</v>
      </c>
      <c r="BL8" t="s">
        <v>1829</v>
      </c>
      <c r="BM8" t="s">
        <v>3910</v>
      </c>
      <c r="BN8" t="s">
        <v>7363</v>
      </c>
      <c r="BO8" t="s">
        <v>4476</v>
      </c>
      <c r="BP8" t="s">
        <v>515</v>
      </c>
      <c r="BQ8" t="s">
        <v>1872</v>
      </c>
      <c r="BR8" t="s">
        <v>6990</v>
      </c>
      <c r="BS8" t="s">
        <v>7026</v>
      </c>
      <c r="BT8" t="s">
        <v>2025</v>
      </c>
      <c r="BU8" t="s">
        <v>636</v>
      </c>
      <c r="BV8" t="s">
        <v>7044</v>
      </c>
      <c r="BW8" t="s">
        <v>6769</v>
      </c>
      <c r="BX8" t="s">
        <v>1917</v>
      </c>
      <c r="BY8" t="s">
        <v>989</v>
      </c>
      <c r="BZ8" t="s">
        <v>1934</v>
      </c>
      <c r="CA8" t="s">
        <v>2334</v>
      </c>
      <c r="CB8" t="s">
        <v>1975</v>
      </c>
      <c r="CC8" t="s">
        <v>2406</v>
      </c>
      <c r="CD8" t="s">
        <v>7686</v>
      </c>
      <c r="CE8" t="s">
        <v>1523</v>
      </c>
      <c r="CF8" t="s">
        <v>6256</v>
      </c>
      <c r="CG8" t="s">
        <v>2746</v>
      </c>
      <c r="CH8" t="s">
        <v>7051</v>
      </c>
      <c r="CI8" t="s">
        <v>6780</v>
      </c>
      <c r="CJ8" t="s">
        <v>4094</v>
      </c>
      <c r="CK8" t="s">
        <v>6347</v>
      </c>
      <c r="CL8" t="s">
        <v>6053</v>
      </c>
      <c r="CM8" t="s">
        <v>560</v>
      </c>
      <c r="CN8" t="s">
        <v>7421</v>
      </c>
      <c r="CO8" t="s">
        <v>5365</v>
      </c>
      <c r="CP8" t="s">
        <v>6798</v>
      </c>
      <c r="CQ8" t="s">
        <v>7200</v>
      </c>
      <c r="CR8" t="s">
        <v>7735</v>
      </c>
      <c r="CT8" t="s">
        <v>2079</v>
      </c>
      <c r="CU8" t="s">
        <v>7453</v>
      </c>
      <c r="CV8" t="s">
        <v>4170</v>
      </c>
      <c r="CW8" t="s">
        <v>7827</v>
      </c>
      <c r="CX8" t="s">
        <v>5675</v>
      </c>
      <c r="CY8" t="s">
        <v>5749</v>
      </c>
      <c r="CZ8" t="s">
        <v>7870</v>
      </c>
      <c r="DA8" t="s">
        <v>1086</v>
      </c>
      <c r="DB8" t="s">
        <v>7967</v>
      </c>
      <c r="DC8" t="s">
        <v>2526</v>
      </c>
    </row>
    <row r="9" spans="1:107" x14ac:dyDescent="0.35">
      <c r="A9" t="s">
        <v>6454</v>
      </c>
      <c r="B9" t="s">
        <v>4658</v>
      </c>
      <c r="C9" t="s">
        <v>4305</v>
      </c>
      <c r="D9" t="s">
        <v>6821</v>
      </c>
      <c r="E9" t="s">
        <v>4351</v>
      </c>
      <c r="F9" t="s">
        <v>4844</v>
      </c>
      <c r="G9" t="s">
        <v>227</v>
      </c>
      <c r="H9" t="s">
        <v>5830</v>
      </c>
      <c r="I9" t="s">
        <v>5871</v>
      </c>
      <c r="J9" t="s">
        <v>7527</v>
      </c>
      <c r="K9" t="s">
        <v>237</v>
      </c>
      <c r="L9" t="s">
        <v>2815</v>
      </c>
      <c r="M9" t="s">
        <v>4960</v>
      </c>
      <c r="N9" t="s">
        <v>1680</v>
      </c>
      <c r="O9" t="s">
        <v>233</v>
      </c>
      <c r="P9" t="s">
        <v>3057</v>
      </c>
      <c r="Q9" t="s">
        <v>5880</v>
      </c>
      <c r="R9" t="s">
        <v>6081</v>
      </c>
      <c r="S9" t="s">
        <v>6494</v>
      </c>
      <c r="T9" t="s">
        <v>4525</v>
      </c>
      <c r="U9" t="s">
        <v>1330</v>
      </c>
      <c r="V9" t="s">
        <v>6515</v>
      </c>
      <c r="W9" t="s">
        <v>736</v>
      </c>
      <c r="X9" t="s">
        <v>306</v>
      </c>
      <c r="Y9" t="s">
        <v>3261</v>
      </c>
      <c r="Z9" t="s">
        <v>815</v>
      </c>
      <c r="AA9" t="s">
        <v>3407</v>
      </c>
      <c r="AB9" t="s">
        <v>964</v>
      </c>
      <c r="AC9" t="s">
        <v>5034</v>
      </c>
      <c r="AD9" t="s">
        <v>6567</v>
      </c>
      <c r="AE9" t="s">
        <v>4383</v>
      </c>
      <c r="AF9" t="s">
        <v>1734</v>
      </c>
      <c r="AG9" t="s">
        <v>6857</v>
      </c>
      <c r="AH9" t="s">
        <v>5900</v>
      </c>
      <c r="AI9" t="s">
        <v>1755</v>
      </c>
      <c r="AJ9" t="s">
        <v>2213</v>
      </c>
      <c r="AK9" t="s">
        <v>2586</v>
      </c>
      <c r="AL9" t="s">
        <v>2001</v>
      </c>
      <c r="AM9" t="s">
        <v>6897</v>
      </c>
      <c r="AN9" t="s">
        <v>2652</v>
      </c>
      <c r="AO9" t="s">
        <v>4608</v>
      </c>
      <c r="AP9" t="s">
        <v>409</v>
      </c>
      <c r="AQ9" t="s">
        <v>2717</v>
      </c>
      <c r="AR9" t="s">
        <v>2303</v>
      </c>
      <c r="AS9" t="s">
        <v>5960</v>
      </c>
      <c r="AT9" t="s">
        <v>3519</v>
      </c>
      <c r="AU9" t="s">
        <v>6924</v>
      </c>
      <c r="AV9" t="s">
        <v>3602</v>
      </c>
      <c r="AW9" t="s">
        <v>6942</v>
      </c>
      <c r="AX9" t="s">
        <v>4423</v>
      </c>
      <c r="AY9" t="s">
        <v>3661</v>
      </c>
      <c r="AZ9" t="s">
        <v>6974</v>
      </c>
      <c r="BA9" t="s">
        <v>607</v>
      </c>
      <c r="BB9" t="s">
        <v>6586</v>
      </c>
      <c r="BC9" t="s">
        <v>3724</v>
      </c>
      <c r="BD9" t="s">
        <v>1785</v>
      </c>
      <c r="BE9" t="s">
        <v>3856</v>
      </c>
      <c r="BF9" t="s">
        <v>1433</v>
      </c>
      <c r="BG9" t="s">
        <v>5280</v>
      </c>
      <c r="BH9" t="s">
        <v>6098</v>
      </c>
      <c r="BI9" t="s">
        <v>6171</v>
      </c>
      <c r="BJ9" t="s">
        <v>7587</v>
      </c>
      <c r="BK9" t="s">
        <v>6692</v>
      </c>
      <c r="BL9" t="s">
        <v>1830</v>
      </c>
      <c r="BM9" t="s">
        <v>3911</v>
      </c>
      <c r="BN9" t="s">
        <v>7364</v>
      </c>
      <c r="BO9" t="s">
        <v>4477</v>
      </c>
      <c r="BP9" t="s">
        <v>516</v>
      </c>
      <c r="BQ9" t="s">
        <v>1873</v>
      </c>
      <c r="BR9" t="s">
        <v>6991</v>
      </c>
      <c r="BS9" t="s">
        <v>7027</v>
      </c>
      <c r="BT9" t="s">
        <v>2026</v>
      </c>
      <c r="BU9" t="s">
        <v>637</v>
      </c>
      <c r="BW9" t="s">
        <v>6770</v>
      </c>
      <c r="BX9" t="s">
        <v>1918</v>
      </c>
      <c r="BY9" t="s">
        <v>990</v>
      </c>
      <c r="BZ9" t="s">
        <v>1935</v>
      </c>
      <c r="CA9" t="s">
        <v>2335</v>
      </c>
      <c r="CB9" t="s">
        <v>1976</v>
      </c>
      <c r="CC9" t="s">
        <v>2407</v>
      </c>
      <c r="CD9" t="s">
        <v>7687</v>
      </c>
      <c r="CE9" t="s">
        <v>1524</v>
      </c>
      <c r="CF9" t="s">
        <v>6257</v>
      </c>
      <c r="CG9" t="s">
        <v>2747</v>
      </c>
      <c r="CH9" t="s">
        <v>7052</v>
      </c>
      <c r="CI9" t="s">
        <v>6781</v>
      </c>
      <c r="CJ9" t="s">
        <v>4095</v>
      </c>
      <c r="CK9" t="s">
        <v>6348</v>
      </c>
      <c r="CL9" t="s">
        <v>6054</v>
      </c>
      <c r="CM9" t="s">
        <v>561</v>
      </c>
      <c r="CN9" t="s">
        <v>7422</v>
      </c>
      <c r="CO9" t="s">
        <v>5366</v>
      </c>
      <c r="CP9" t="s">
        <v>6799</v>
      </c>
      <c r="CQ9" t="s">
        <v>7201</v>
      </c>
      <c r="CR9" t="s">
        <v>7736</v>
      </c>
      <c r="CT9" t="s">
        <v>2080</v>
      </c>
      <c r="CU9" t="s">
        <v>7454</v>
      </c>
      <c r="CV9" t="s">
        <v>4171</v>
      </c>
      <c r="CW9" t="s">
        <v>7828</v>
      </c>
      <c r="CX9" t="s">
        <v>5676</v>
      </c>
      <c r="CY9" t="s">
        <v>5750</v>
      </c>
      <c r="CZ9" t="s">
        <v>7871</v>
      </c>
      <c r="DA9" t="s">
        <v>1087</v>
      </c>
      <c r="DB9" t="s">
        <v>7968</v>
      </c>
      <c r="DC9" t="s">
        <v>2527</v>
      </c>
    </row>
    <row r="10" spans="1:107" x14ac:dyDescent="0.35">
      <c r="A10" t="s">
        <v>6455</v>
      </c>
      <c r="B10" t="s">
        <v>4659</v>
      </c>
      <c r="C10" t="s">
        <v>4306</v>
      </c>
      <c r="D10" t="s">
        <v>6822</v>
      </c>
      <c r="E10" t="s">
        <v>4352</v>
      </c>
      <c r="F10" t="s">
        <v>4845</v>
      </c>
      <c r="G10" t="s">
        <v>1136</v>
      </c>
      <c r="H10" t="s">
        <v>5831</v>
      </c>
      <c r="I10" t="s">
        <v>5872</v>
      </c>
      <c r="J10" t="s">
        <v>7528</v>
      </c>
      <c r="K10" t="s">
        <v>1253</v>
      </c>
      <c r="L10" t="s">
        <v>2816</v>
      </c>
      <c r="M10" t="s">
        <v>4961</v>
      </c>
      <c r="N10" t="s">
        <v>1681</v>
      </c>
      <c r="O10" t="s">
        <v>7086</v>
      </c>
      <c r="P10" t="s">
        <v>3058</v>
      </c>
      <c r="Q10" t="s">
        <v>5881</v>
      </c>
      <c r="R10" t="s">
        <v>6082</v>
      </c>
      <c r="S10" t="s">
        <v>6495</v>
      </c>
      <c r="T10" t="s">
        <v>4526</v>
      </c>
      <c r="U10" t="s">
        <v>1331</v>
      </c>
      <c r="V10" t="s">
        <v>6516</v>
      </c>
      <c r="W10" t="s">
        <v>737</v>
      </c>
      <c r="X10" t="s">
        <v>307</v>
      </c>
      <c r="Y10" t="s">
        <v>3262</v>
      </c>
      <c r="Z10" t="s">
        <v>816</v>
      </c>
      <c r="AA10" t="s">
        <v>3408</v>
      </c>
      <c r="AB10" t="s">
        <v>965</v>
      </c>
      <c r="AC10" t="s">
        <v>5035</v>
      </c>
      <c r="AD10" t="s">
        <v>159</v>
      </c>
      <c r="AE10" t="s">
        <v>4384</v>
      </c>
      <c r="AF10" t="s">
        <v>1735</v>
      </c>
      <c r="AG10" t="s">
        <v>6858</v>
      </c>
      <c r="AH10" t="s">
        <v>5901</v>
      </c>
      <c r="AI10" t="s">
        <v>1756</v>
      </c>
      <c r="AJ10" t="s">
        <v>2214</v>
      </c>
      <c r="AK10" t="s">
        <v>2587</v>
      </c>
      <c r="AL10" t="s">
        <v>2002</v>
      </c>
      <c r="AM10" t="s">
        <v>6898</v>
      </c>
      <c r="AN10" t="s">
        <v>2653</v>
      </c>
      <c r="AO10" t="s">
        <v>4609</v>
      </c>
      <c r="AP10" t="s">
        <v>410</v>
      </c>
      <c r="AQ10" t="s">
        <v>2718</v>
      </c>
      <c r="AR10" t="s">
        <v>2304</v>
      </c>
      <c r="AS10" t="s">
        <v>5961</v>
      </c>
      <c r="AT10" t="s">
        <v>3520</v>
      </c>
      <c r="AU10" t="s">
        <v>58</v>
      </c>
      <c r="AV10" t="s">
        <v>3603</v>
      </c>
      <c r="AW10" t="s">
        <v>6943</v>
      </c>
      <c r="AX10" t="s">
        <v>4424</v>
      </c>
      <c r="AY10" t="s">
        <v>3662</v>
      </c>
      <c r="AZ10" t="s">
        <v>6975</v>
      </c>
      <c r="BA10" t="s">
        <v>608</v>
      </c>
      <c r="BB10" t="s">
        <v>6587</v>
      </c>
      <c r="BC10" t="s">
        <v>3725</v>
      </c>
      <c r="BD10" t="s">
        <v>1786</v>
      </c>
      <c r="BE10" t="s">
        <v>3857</v>
      </c>
      <c r="BF10" t="s">
        <v>1434</v>
      </c>
      <c r="BG10" t="s">
        <v>5281</v>
      </c>
      <c r="BH10" t="s">
        <v>6099</v>
      </c>
      <c r="BI10" t="s">
        <v>6172</v>
      </c>
      <c r="BJ10" t="s">
        <v>7588</v>
      </c>
      <c r="BK10" t="s">
        <v>6693</v>
      </c>
      <c r="BL10" t="s">
        <v>1831</v>
      </c>
      <c r="BM10" t="s">
        <v>3912</v>
      </c>
      <c r="BN10" t="s">
        <v>7365</v>
      </c>
      <c r="BO10" t="s">
        <v>4478</v>
      </c>
      <c r="BP10" t="s">
        <v>517</v>
      </c>
      <c r="BQ10" t="s">
        <v>1874</v>
      </c>
      <c r="BR10" t="s">
        <v>6992</v>
      </c>
      <c r="BS10" t="s">
        <v>7028</v>
      </c>
      <c r="BT10" t="s">
        <v>2027</v>
      </c>
      <c r="BU10" t="s">
        <v>638</v>
      </c>
      <c r="BW10" t="s">
        <v>180</v>
      </c>
      <c r="BX10" t="s">
        <v>1919</v>
      </c>
      <c r="BY10" t="s">
        <v>991</v>
      </c>
      <c r="BZ10" t="s">
        <v>1936</v>
      </c>
      <c r="CA10" t="s">
        <v>2336</v>
      </c>
      <c r="CB10" t="s">
        <v>1977</v>
      </c>
      <c r="CC10" t="s">
        <v>2408</v>
      </c>
      <c r="CD10" t="s">
        <v>7688</v>
      </c>
      <c r="CE10" t="s">
        <v>1525</v>
      </c>
      <c r="CF10" t="s">
        <v>6258</v>
      </c>
      <c r="CG10" t="s">
        <v>2748</v>
      </c>
      <c r="CH10" t="s">
        <v>7053</v>
      </c>
      <c r="CI10" t="s">
        <v>6782</v>
      </c>
      <c r="CJ10" t="s">
        <v>4096</v>
      </c>
      <c r="CK10" t="s">
        <v>6349</v>
      </c>
      <c r="CL10" t="s">
        <v>6055</v>
      </c>
      <c r="CM10" t="s">
        <v>562</v>
      </c>
      <c r="CN10" t="s">
        <v>7423</v>
      </c>
      <c r="CO10" t="s">
        <v>5367</v>
      </c>
      <c r="CP10" t="s">
        <v>6800</v>
      </c>
      <c r="CQ10" t="s">
        <v>7202</v>
      </c>
      <c r="CR10" t="s">
        <v>7737</v>
      </c>
      <c r="CT10" t="s">
        <v>2081</v>
      </c>
      <c r="CU10" t="s">
        <v>7455</v>
      </c>
      <c r="CV10" t="s">
        <v>4172</v>
      </c>
      <c r="CW10" t="s">
        <v>7829</v>
      </c>
      <c r="CX10" t="s">
        <v>5677</v>
      </c>
      <c r="CY10" t="s">
        <v>5751</v>
      </c>
      <c r="CZ10" t="s">
        <v>7872</v>
      </c>
      <c r="DA10" t="s">
        <v>1088</v>
      </c>
      <c r="DB10" t="s">
        <v>7969</v>
      </c>
      <c r="DC10" t="s">
        <v>2528</v>
      </c>
    </row>
    <row r="11" spans="1:107" x14ac:dyDescent="0.35">
      <c r="A11" t="s">
        <v>6456</v>
      </c>
      <c r="B11" t="s">
        <v>4660</v>
      </c>
      <c r="C11" t="s">
        <v>4307</v>
      </c>
      <c r="D11" t="s">
        <v>6823</v>
      </c>
      <c r="E11" t="s">
        <v>4353</v>
      </c>
      <c r="F11" t="s">
        <v>4846</v>
      </c>
      <c r="G11" t="s">
        <v>1137</v>
      </c>
      <c r="H11" t="s">
        <v>5832</v>
      </c>
      <c r="I11" t="s">
        <v>5873</v>
      </c>
      <c r="J11" t="s">
        <v>7529</v>
      </c>
      <c r="K11" t="s">
        <v>1254</v>
      </c>
      <c r="L11" t="s">
        <v>2817</v>
      </c>
      <c r="M11" t="s">
        <v>4962</v>
      </c>
      <c r="N11" t="s">
        <v>1682</v>
      </c>
      <c r="O11" t="s">
        <v>7087</v>
      </c>
      <c r="P11" t="s">
        <v>3059</v>
      </c>
      <c r="Q11" t="s">
        <v>5882</v>
      </c>
      <c r="R11" t="s">
        <v>6083</v>
      </c>
      <c r="S11" t="s">
        <v>6496</v>
      </c>
      <c r="T11" t="s">
        <v>4527</v>
      </c>
      <c r="U11" t="s">
        <v>1332</v>
      </c>
      <c r="V11" t="s">
        <v>6517</v>
      </c>
      <c r="W11" t="s">
        <v>738</v>
      </c>
      <c r="X11" t="s">
        <v>308</v>
      </c>
      <c r="Y11" t="s">
        <v>3263</v>
      </c>
      <c r="Z11" t="s">
        <v>817</v>
      </c>
      <c r="AA11" t="s">
        <v>3409</v>
      </c>
      <c r="AB11" t="s">
        <v>250</v>
      </c>
      <c r="AC11" t="s">
        <v>5036</v>
      </c>
      <c r="AD11" t="s">
        <v>6568</v>
      </c>
      <c r="AE11" t="s">
        <v>4385</v>
      </c>
      <c r="AF11" t="s">
        <v>1736</v>
      </c>
      <c r="AG11" t="s">
        <v>6859</v>
      </c>
      <c r="AH11" t="s">
        <v>5902</v>
      </c>
      <c r="AI11" t="s">
        <v>1757</v>
      </c>
      <c r="AJ11" t="s">
        <v>2215</v>
      </c>
      <c r="AK11" t="s">
        <v>2588</v>
      </c>
      <c r="AL11" t="s">
        <v>2003</v>
      </c>
      <c r="AM11" t="s">
        <v>6899</v>
      </c>
      <c r="AN11" t="s">
        <v>2654</v>
      </c>
      <c r="AO11" t="s">
        <v>4610</v>
      </c>
      <c r="AP11" t="s">
        <v>411</v>
      </c>
      <c r="AQ11" t="s">
        <v>2719</v>
      </c>
      <c r="AR11" t="s">
        <v>2305</v>
      </c>
      <c r="AS11" t="s">
        <v>5962</v>
      </c>
      <c r="AT11" t="s">
        <v>3521</v>
      </c>
      <c r="AU11" t="s">
        <v>6925</v>
      </c>
      <c r="AV11" t="s">
        <v>3604</v>
      </c>
      <c r="AW11" t="s">
        <v>6944</v>
      </c>
      <c r="AX11" t="s">
        <v>4425</v>
      </c>
      <c r="AY11" t="s">
        <v>3663</v>
      </c>
      <c r="AZ11" t="s">
        <v>6976</v>
      </c>
      <c r="BA11" t="s">
        <v>609</v>
      </c>
      <c r="BB11" t="s">
        <v>6588</v>
      </c>
      <c r="BC11" t="s">
        <v>3726</v>
      </c>
      <c r="BD11" t="s">
        <v>1787</v>
      </c>
      <c r="BE11" t="s">
        <v>3858</v>
      </c>
      <c r="BF11" t="s">
        <v>1435</v>
      </c>
      <c r="BG11" t="s">
        <v>5282</v>
      </c>
      <c r="BH11" t="s">
        <v>6100</v>
      </c>
      <c r="BI11" t="s">
        <v>6173</v>
      </c>
      <c r="BJ11" t="s">
        <v>7589</v>
      </c>
      <c r="BK11" t="s">
        <v>6694</v>
      </c>
      <c r="BL11" t="s">
        <v>1832</v>
      </c>
      <c r="BM11" t="s">
        <v>3913</v>
      </c>
      <c r="BN11" t="s">
        <v>7366</v>
      </c>
      <c r="BO11" t="s">
        <v>4479</v>
      </c>
      <c r="BP11" t="s">
        <v>518</v>
      </c>
      <c r="BQ11" t="s">
        <v>1875</v>
      </c>
      <c r="BR11" t="s">
        <v>6993</v>
      </c>
      <c r="BS11" t="s">
        <v>7029</v>
      </c>
      <c r="BT11" t="s">
        <v>2028</v>
      </c>
      <c r="BU11" t="s">
        <v>639</v>
      </c>
      <c r="BW11" t="s">
        <v>6771</v>
      </c>
      <c r="BX11" t="s">
        <v>1920</v>
      </c>
      <c r="BY11" t="s">
        <v>992</v>
      </c>
      <c r="BZ11" t="s">
        <v>1937</v>
      </c>
      <c r="CA11" t="s">
        <v>2337</v>
      </c>
      <c r="CB11" t="s">
        <v>1978</v>
      </c>
      <c r="CC11" t="s">
        <v>2409</v>
      </c>
      <c r="CD11" t="s">
        <v>7689</v>
      </c>
      <c r="CE11" t="s">
        <v>1526</v>
      </c>
      <c r="CF11" t="s">
        <v>6259</v>
      </c>
      <c r="CG11" t="s">
        <v>2749</v>
      </c>
      <c r="CH11" t="s">
        <v>7054</v>
      </c>
      <c r="CI11" t="s">
        <v>6783</v>
      </c>
      <c r="CJ11" t="s">
        <v>4097</v>
      </c>
      <c r="CK11" t="s">
        <v>6350</v>
      </c>
      <c r="CL11" t="s">
        <v>6056</v>
      </c>
      <c r="CM11" t="s">
        <v>563</v>
      </c>
      <c r="CN11" t="s">
        <v>7424</v>
      </c>
      <c r="CO11" t="s">
        <v>5368</v>
      </c>
      <c r="CP11" t="s">
        <v>6801</v>
      </c>
      <c r="CQ11" t="s">
        <v>7203</v>
      </c>
      <c r="CR11" t="s">
        <v>7738</v>
      </c>
      <c r="CT11" t="s">
        <v>2082</v>
      </c>
      <c r="CU11" t="s">
        <v>7456</v>
      </c>
      <c r="CV11" t="s">
        <v>4173</v>
      </c>
      <c r="CW11" t="s">
        <v>7830</v>
      </c>
      <c r="CX11" t="s">
        <v>5678</v>
      </c>
      <c r="CY11" t="s">
        <v>5752</v>
      </c>
      <c r="CZ11" t="s">
        <v>7873</v>
      </c>
      <c r="DA11" t="s">
        <v>1089</v>
      </c>
      <c r="DB11" t="s">
        <v>7970</v>
      </c>
      <c r="DC11" t="s">
        <v>2529</v>
      </c>
    </row>
    <row r="12" spans="1:107" x14ac:dyDescent="0.35">
      <c r="A12" t="s">
        <v>6457</v>
      </c>
      <c r="B12" t="s">
        <v>4661</v>
      </c>
      <c r="C12" t="s">
        <v>4308</v>
      </c>
      <c r="D12" t="s">
        <v>6824</v>
      </c>
      <c r="E12" t="s">
        <v>4354</v>
      </c>
      <c r="F12" t="s">
        <v>4847</v>
      </c>
      <c r="G12" t="s">
        <v>1138</v>
      </c>
      <c r="H12" t="s">
        <v>5833</v>
      </c>
      <c r="J12" t="s">
        <v>7530</v>
      </c>
      <c r="K12" t="s">
        <v>1255</v>
      </c>
      <c r="L12" t="s">
        <v>2818</v>
      </c>
      <c r="M12" t="s">
        <v>4963</v>
      </c>
      <c r="N12" t="s">
        <v>1683</v>
      </c>
      <c r="O12" t="s">
        <v>7088</v>
      </c>
      <c r="P12" t="s">
        <v>3060</v>
      </c>
      <c r="Q12" t="s">
        <v>5883</v>
      </c>
      <c r="R12" t="s">
        <v>6084</v>
      </c>
      <c r="S12" t="s">
        <v>6497</v>
      </c>
      <c r="T12" t="s">
        <v>4528</v>
      </c>
      <c r="U12" t="s">
        <v>1333</v>
      </c>
      <c r="V12" t="s">
        <v>118</v>
      </c>
      <c r="W12" t="s">
        <v>739</v>
      </c>
      <c r="X12" t="s">
        <v>309</v>
      </c>
      <c r="Y12" t="s">
        <v>3264</v>
      </c>
      <c r="Z12" t="s">
        <v>818</v>
      </c>
      <c r="AA12" t="s">
        <v>3410</v>
      </c>
      <c r="AB12" t="s">
        <v>966</v>
      </c>
      <c r="AC12" t="s">
        <v>5037</v>
      </c>
      <c r="AD12" t="s">
        <v>6569</v>
      </c>
      <c r="AE12" t="s">
        <v>4386</v>
      </c>
      <c r="AF12" t="s">
        <v>1737</v>
      </c>
      <c r="AG12" t="s">
        <v>6860</v>
      </c>
      <c r="AH12" t="s">
        <v>5903</v>
      </c>
      <c r="AI12" t="s">
        <v>1758</v>
      </c>
      <c r="AJ12" t="s">
        <v>2216</v>
      </c>
      <c r="AK12" t="s">
        <v>2589</v>
      </c>
      <c r="AL12" t="s">
        <v>2004</v>
      </c>
      <c r="AM12" t="s">
        <v>261</v>
      </c>
      <c r="AN12" t="s">
        <v>2655</v>
      </c>
      <c r="AO12" t="s">
        <v>4611</v>
      </c>
      <c r="AP12" t="s">
        <v>412</v>
      </c>
      <c r="AQ12" t="s">
        <v>2720</v>
      </c>
      <c r="AR12" t="s">
        <v>240</v>
      </c>
      <c r="AS12" t="s">
        <v>5963</v>
      </c>
      <c r="AT12" t="s">
        <v>3522</v>
      </c>
      <c r="AU12" t="s">
        <v>6926</v>
      </c>
      <c r="AV12" t="s">
        <v>3605</v>
      </c>
      <c r="AW12" t="s">
        <v>6945</v>
      </c>
      <c r="AX12" t="s">
        <v>4426</v>
      </c>
      <c r="AY12" t="s">
        <v>3664</v>
      </c>
      <c r="AZ12" t="s">
        <v>6977</v>
      </c>
      <c r="BA12" t="s">
        <v>610</v>
      </c>
      <c r="BB12" t="s">
        <v>6589</v>
      </c>
      <c r="BC12" t="s">
        <v>3727</v>
      </c>
      <c r="BD12" t="s">
        <v>1788</v>
      </c>
      <c r="BE12" t="s">
        <v>3859</v>
      </c>
      <c r="BF12" t="s">
        <v>1436</v>
      </c>
      <c r="BG12" t="s">
        <v>5283</v>
      </c>
      <c r="BH12" t="s">
        <v>6101</v>
      </c>
      <c r="BI12" t="s">
        <v>6174</v>
      </c>
      <c r="BJ12" t="s">
        <v>7590</v>
      </c>
      <c r="BK12" t="s">
        <v>6695</v>
      </c>
      <c r="BL12" t="s">
        <v>1833</v>
      </c>
      <c r="BM12" t="s">
        <v>3914</v>
      </c>
      <c r="BN12" t="s">
        <v>7367</v>
      </c>
      <c r="BO12" t="s">
        <v>4480</v>
      </c>
      <c r="BP12" t="s">
        <v>519</v>
      </c>
      <c r="BQ12" t="s">
        <v>1876</v>
      </c>
      <c r="BR12" t="s">
        <v>6994</v>
      </c>
      <c r="BS12" t="s">
        <v>7030</v>
      </c>
      <c r="BT12" t="s">
        <v>2029</v>
      </c>
      <c r="BU12" t="s">
        <v>640</v>
      </c>
      <c r="BW12" t="s">
        <v>6772</v>
      </c>
      <c r="BX12" t="s">
        <v>1921</v>
      </c>
      <c r="BY12" t="s">
        <v>993</v>
      </c>
      <c r="BZ12" t="s">
        <v>1938</v>
      </c>
      <c r="CA12" t="s">
        <v>2338</v>
      </c>
      <c r="CB12" t="s">
        <v>1979</v>
      </c>
      <c r="CC12" t="s">
        <v>2410</v>
      </c>
      <c r="CD12" t="s">
        <v>7690</v>
      </c>
      <c r="CE12" t="s">
        <v>1527</v>
      </c>
      <c r="CF12" t="s">
        <v>6260</v>
      </c>
      <c r="CG12" t="s">
        <v>2750</v>
      </c>
      <c r="CH12" t="s">
        <v>7055</v>
      </c>
      <c r="CI12" t="s">
        <v>123</v>
      </c>
      <c r="CJ12" t="s">
        <v>4098</v>
      </c>
      <c r="CK12" t="s">
        <v>6351</v>
      </c>
      <c r="CL12" t="s">
        <v>6057</v>
      </c>
      <c r="CM12" t="s">
        <v>564</v>
      </c>
      <c r="CN12" t="s">
        <v>7425</v>
      </c>
      <c r="CO12" t="s">
        <v>5369</v>
      </c>
      <c r="CP12" t="s">
        <v>6802</v>
      </c>
      <c r="CQ12" t="s">
        <v>7204</v>
      </c>
      <c r="CR12" t="s">
        <v>7739</v>
      </c>
      <c r="CT12" t="s">
        <v>2083</v>
      </c>
      <c r="CU12" t="s">
        <v>7457</v>
      </c>
      <c r="CV12" t="s">
        <v>4174</v>
      </c>
      <c r="CW12" t="s">
        <v>7831</v>
      </c>
      <c r="CX12" t="s">
        <v>5679</v>
      </c>
      <c r="CY12" t="s">
        <v>5753</v>
      </c>
      <c r="CZ12" t="s">
        <v>7874</v>
      </c>
      <c r="DA12" t="s">
        <v>1090</v>
      </c>
      <c r="DB12" t="s">
        <v>7971</v>
      </c>
      <c r="DC12" t="s">
        <v>2530</v>
      </c>
    </row>
    <row r="13" spans="1:107" x14ac:dyDescent="0.35">
      <c r="A13" t="s">
        <v>6458</v>
      </c>
      <c r="B13" t="s">
        <v>4662</v>
      </c>
      <c r="C13" t="s">
        <v>4309</v>
      </c>
      <c r="D13" t="s">
        <v>6825</v>
      </c>
      <c r="E13" t="s">
        <v>4355</v>
      </c>
      <c r="F13" t="s">
        <v>4848</v>
      </c>
      <c r="G13" t="s">
        <v>1139</v>
      </c>
      <c r="H13" t="s">
        <v>5834</v>
      </c>
      <c r="J13" t="s">
        <v>7531</v>
      </c>
      <c r="K13" t="s">
        <v>1256</v>
      </c>
      <c r="L13" t="s">
        <v>2819</v>
      </c>
      <c r="M13" t="s">
        <v>4964</v>
      </c>
      <c r="N13" t="s">
        <v>1684</v>
      </c>
      <c r="O13" t="s">
        <v>7089</v>
      </c>
      <c r="P13" t="s">
        <v>3061</v>
      </c>
      <c r="Q13" t="s">
        <v>5884</v>
      </c>
      <c r="R13" t="s">
        <v>6085</v>
      </c>
      <c r="S13" t="s">
        <v>6498</v>
      </c>
      <c r="T13" t="s">
        <v>4529</v>
      </c>
      <c r="U13" t="s">
        <v>1334</v>
      </c>
      <c r="V13" t="s">
        <v>6518</v>
      </c>
      <c r="W13" t="s">
        <v>740</v>
      </c>
      <c r="X13" t="s">
        <v>310</v>
      </c>
      <c r="Y13" t="s">
        <v>3265</v>
      </c>
      <c r="Z13" t="s">
        <v>819</v>
      </c>
      <c r="AA13" t="s">
        <v>3411</v>
      </c>
      <c r="AB13" t="s">
        <v>967</v>
      </c>
      <c r="AC13" t="s">
        <v>5038</v>
      </c>
      <c r="AD13" t="s">
        <v>6570</v>
      </c>
      <c r="AE13" t="s">
        <v>4387</v>
      </c>
      <c r="AF13" t="s">
        <v>1738</v>
      </c>
      <c r="AG13" t="s">
        <v>6861</v>
      </c>
      <c r="AH13" t="s">
        <v>5904</v>
      </c>
      <c r="AI13" t="s">
        <v>1759</v>
      </c>
      <c r="AJ13" t="s">
        <v>2217</v>
      </c>
      <c r="AK13" t="s">
        <v>2590</v>
      </c>
      <c r="AL13" t="s">
        <v>2005</v>
      </c>
      <c r="AM13" t="s">
        <v>6900</v>
      </c>
      <c r="AN13" t="s">
        <v>2656</v>
      </c>
      <c r="AO13" t="s">
        <v>4612</v>
      </c>
      <c r="AP13" t="s">
        <v>413</v>
      </c>
      <c r="AQ13" t="s">
        <v>2721</v>
      </c>
      <c r="AR13" t="s">
        <v>2306</v>
      </c>
      <c r="AS13" t="s">
        <v>5964</v>
      </c>
      <c r="AT13" t="s">
        <v>3523</v>
      </c>
      <c r="AU13" t="s">
        <v>6927</v>
      </c>
      <c r="AV13" t="s">
        <v>3606</v>
      </c>
      <c r="AW13" t="s">
        <v>6946</v>
      </c>
      <c r="AX13" t="s">
        <v>4427</v>
      </c>
      <c r="AY13" t="s">
        <v>3665</v>
      </c>
      <c r="AZ13" t="s">
        <v>6978</v>
      </c>
      <c r="BA13" t="s">
        <v>611</v>
      </c>
      <c r="BB13" t="s">
        <v>6590</v>
      </c>
      <c r="BC13" t="s">
        <v>3728</v>
      </c>
      <c r="BD13" t="s">
        <v>1789</v>
      </c>
      <c r="BE13" t="s">
        <v>3860</v>
      </c>
      <c r="BF13" t="s">
        <v>1437</v>
      </c>
      <c r="BG13" t="s">
        <v>5284</v>
      </c>
      <c r="BH13" t="s">
        <v>6102</v>
      </c>
      <c r="BI13" t="s">
        <v>6175</v>
      </c>
      <c r="BJ13" t="s">
        <v>7591</v>
      </c>
      <c r="BK13" t="s">
        <v>6696</v>
      </c>
      <c r="BL13" t="s">
        <v>1834</v>
      </c>
      <c r="BM13" t="s">
        <v>3915</v>
      </c>
      <c r="BN13" t="s">
        <v>7368</v>
      </c>
      <c r="BO13" t="s">
        <v>4481</v>
      </c>
      <c r="BP13" t="s">
        <v>520</v>
      </c>
      <c r="BQ13" t="s">
        <v>1877</v>
      </c>
      <c r="BR13" t="s">
        <v>6995</v>
      </c>
      <c r="BS13" t="s">
        <v>7031</v>
      </c>
      <c r="BT13" t="s">
        <v>2030</v>
      </c>
      <c r="BU13" t="s">
        <v>641</v>
      </c>
      <c r="BW13" t="s">
        <v>6773</v>
      </c>
      <c r="BX13" t="s">
        <v>1922</v>
      </c>
      <c r="BY13" t="s">
        <v>994</v>
      </c>
      <c r="BZ13" t="s">
        <v>1939</v>
      </c>
      <c r="CA13" t="s">
        <v>2339</v>
      </c>
      <c r="CB13" t="s">
        <v>1980</v>
      </c>
      <c r="CC13" t="s">
        <v>2411</v>
      </c>
      <c r="CD13" t="s">
        <v>7691</v>
      </c>
      <c r="CE13" t="s">
        <v>1528</v>
      </c>
      <c r="CF13" t="s">
        <v>6261</v>
      </c>
      <c r="CG13" t="s">
        <v>2751</v>
      </c>
      <c r="CH13" t="s">
        <v>7056</v>
      </c>
      <c r="CI13" t="s">
        <v>6784</v>
      </c>
      <c r="CJ13" t="s">
        <v>4099</v>
      </c>
      <c r="CK13" t="s">
        <v>6352</v>
      </c>
      <c r="CL13" t="s">
        <v>6058</v>
      </c>
      <c r="CM13" t="s">
        <v>565</v>
      </c>
      <c r="CN13" t="s">
        <v>7426</v>
      </c>
      <c r="CO13" t="s">
        <v>5370</v>
      </c>
      <c r="CP13" t="s">
        <v>135</v>
      </c>
      <c r="CQ13" t="s">
        <v>7205</v>
      </c>
      <c r="CR13" t="s">
        <v>7740</v>
      </c>
      <c r="CT13" t="s">
        <v>2084</v>
      </c>
      <c r="CU13" t="s">
        <v>7458</v>
      </c>
      <c r="CV13" t="s">
        <v>4175</v>
      </c>
      <c r="CW13" t="s">
        <v>7832</v>
      </c>
      <c r="CX13" t="s">
        <v>5680</v>
      </c>
      <c r="CY13" t="s">
        <v>5754</v>
      </c>
      <c r="CZ13" t="s">
        <v>7875</v>
      </c>
      <c r="DA13" t="s">
        <v>1091</v>
      </c>
      <c r="DB13" t="s">
        <v>7972</v>
      </c>
      <c r="DC13" t="s">
        <v>2531</v>
      </c>
    </row>
    <row r="14" spans="1:107" x14ac:dyDescent="0.35">
      <c r="A14" t="s">
        <v>6459</v>
      </c>
      <c r="B14" t="s">
        <v>4663</v>
      </c>
      <c r="C14" t="s">
        <v>4310</v>
      </c>
      <c r="D14" t="s">
        <v>6826</v>
      </c>
      <c r="E14" t="s">
        <v>4356</v>
      </c>
      <c r="F14" t="s">
        <v>4849</v>
      </c>
      <c r="G14" t="s">
        <v>1140</v>
      </c>
      <c r="H14" t="s">
        <v>5835</v>
      </c>
      <c r="J14" t="s">
        <v>7532</v>
      </c>
      <c r="K14" t="s">
        <v>1257</v>
      </c>
      <c r="L14" t="s">
        <v>2820</v>
      </c>
      <c r="M14" t="s">
        <v>4965</v>
      </c>
      <c r="N14" t="s">
        <v>1685</v>
      </c>
      <c r="O14" t="s">
        <v>7090</v>
      </c>
      <c r="P14" t="s">
        <v>3062</v>
      </c>
      <c r="Q14" t="s">
        <v>5885</v>
      </c>
      <c r="R14" t="s">
        <v>6086</v>
      </c>
      <c r="S14" t="s">
        <v>6499</v>
      </c>
      <c r="T14" t="s">
        <v>4530</v>
      </c>
      <c r="U14" t="s">
        <v>1335</v>
      </c>
      <c r="V14" t="s">
        <v>155</v>
      </c>
      <c r="W14" t="s">
        <v>226</v>
      </c>
      <c r="X14" t="s">
        <v>311</v>
      </c>
      <c r="Y14" t="s">
        <v>3266</v>
      </c>
      <c r="Z14" t="s">
        <v>820</v>
      </c>
      <c r="AA14" t="s">
        <v>3412</v>
      </c>
      <c r="AB14" t="s">
        <v>968</v>
      </c>
      <c r="AC14" t="s">
        <v>5039</v>
      </c>
      <c r="AD14" t="s">
        <v>6571</v>
      </c>
      <c r="AE14" t="s">
        <v>4388</v>
      </c>
      <c r="AF14" t="s">
        <v>1739</v>
      </c>
      <c r="AG14" t="s">
        <v>6862</v>
      </c>
      <c r="AH14" t="s">
        <v>5905</v>
      </c>
      <c r="AI14" t="s">
        <v>1760</v>
      </c>
      <c r="AJ14" t="s">
        <v>2218</v>
      </c>
      <c r="AK14" t="s">
        <v>2591</v>
      </c>
      <c r="AL14" t="s">
        <v>2006</v>
      </c>
      <c r="AM14" t="s">
        <v>6901</v>
      </c>
      <c r="AN14" t="s">
        <v>2657</v>
      </c>
      <c r="AO14" t="s">
        <v>4613</v>
      </c>
      <c r="AP14" t="s">
        <v>414</v>
      </c>
      <c r="AQ14" t="s">
        <v>2722</v>
      </c>
      <c r="AR14" t="s">
        <v>2307</v>
      </c>
      <c r="AS14" t="s">
        <v>5965</v>
      </c>
      <c r="AT14" t="s">
        <v>3524</v>
      </c>
      <c r="AU14" t="s">
        <v>6928</v>
      </c>
      <c r="AV14" t="s">
        <v>3607</v>
      </c>
      <c r="AW14" t="s">
        <v>6947</v>
      </c>
      <c r="AX14" t="s">
        <v>4428</v>
      </c>
      <c r="AY14" t="s">
        <v>3666</v>
      </c>
      <c r="AZ14" t="s">
        <v>6979</v>
      </c>
      <c r="BA14" t="s">
        <v>612</v>
      </c>
      <c r="BB14" t="s">
        <v>6591</v>
      </c>
      <c r="BC14" t="s">
        <v>3729</v>
      </c>
      <c r="BD14" t="s">
        <v>1790</v>
      </c>
      <c r="BE14" t="s">
        <v>3861</v>
      </c>
      <c r="BF14" t="s">
        <v>1438</v>
      </c>
      <c r="BG14" t="s">
        <v>5285</v>
      </c>
      <c r="BH14" t="s">
        <v>6103</v>
      </c>
      <c r="BI14" t="s">
        <v>6176</v>
      </c>
      <c r="BJ14" t="s">
        <v>7592</v>
      </c>
      <c r="BK14" t="s">
        <v>6697</v>
      </c>
      <c r="BL14" t="s">
        <v>1835</v>
      </c>
      <c r="BM14" t="s">
        <v>3916</v>
      </c>
      <c r="BN14" t="s">
        <v>7369</v>
      </c>
      <c r="BO14" t="s">
        <v>4482</v>
      </c>
      <c r="BP14" t="s">
        <v>521</v>
      </c>
      <c r="BQ14" t="s">
        <v>1878</v>
      </c>
      <c r="BR14" t="s">
        <v>6996</v>
      </c>
      <c r="BS14" t="s">
        <v>7032</v>
      </c>
      <c r="BT14" t="s">
        <v>2031</v>
      </c>
      <c r="BU14" t="s">
        <v>642</v>
      </c>
      <c r="BX14" t="s">
        <v>1923</v>
      </c>
      <c r="BY14" t="s">
        <v>995</v>
      </c>
      <c r="BZ14" t="s">
        <v>1940</v>
      </c>
      <c r="CA14" t="s">
        <v>2340</v>
      </c>
      <c r="CB14" t="s">
        <v>1981</v>
      </c>
      <c r="CC14" t="s">
        <v>2412</v>
      </c>
      <c r="CD14" t="s">
        <v>7692</v>
      </c>
      <c r="CE14" t="s">
        <v>1529</v>
      </c>
      <c r="CF14" t="s">
        <v>6262</v>
      </c>
      <c r="CG14" t="s">
        <v>2752</v>
      </c>
      <c r="CH14" t="s">
        <v>7057</v>
      </c>
      <c r="CI14" t="s">
        <v>6785</v>
      </c>
      <c r="CJ14" t="s">
        <v>4100</v>
      </c>
      <c r="CK14" t="s">
        <v>6353</v>
      </c>
      <c r="CL14" t="s">
        <v>6059</v>
      </c>
      <c r="CM14" t="s">
        <v>566</v>
      </c>
      <c r="CN14" t="s">
        <v>7427</v>
      </c>
      <c r="CO14" t="s">
        <v>5371</v>
      </c>
      <c r="CP14" t="s">
        <v>6803</v>
      </c>
      <c r="CQ14" t="s">
        <v>7206</v>
      </c>
      <c r="CR14" t="s">
        <v>7741</v>
      </c>
      <c r="CT14" t="s">
        <v>2085</v>
      </c>
      <c r="CU14" t="s">
        <v>7459</v>
      </c>
      <c r="CV14" t="s">
        <v>4176</v>
      </c>
      <c r="CW14" t="s">
        <v>7833</v>
      </c>
      <c r="CX14" t="s">
        <v>5681</v>
      </c>
      <c r="CY14" t="s">
        <v>5755</v>
      </c>
      <c r="CZ14" t="s">
        <v>7876</v>
      </c>
      <c r="DA14" t="s">
        <v>1092</v>
      </c>
      <c r="DB14" t="s">
        <v>7973</v>
      </c>
      <c r="DC14" t="s">
        <v>2532</v>
      </c>
    </row>
    <row r="15" spans="1:107" x14ac:dyDescent="0.35">
      <c r="A15" t="s">
        <v>6460</v>
      </c>
      <c r="B15" t="s">
        <v>4664</v>
      </c>
      <c r="C15" t="s">
        <v>4311</v>
      </c>
      <c r="D15" t="s">
        <v>6827</v>
      </c>
      <c r="E15" t="s">
        <v>4357</v>
      </c>
      <c r="F15" t="s">
        <v>4850</v>
      </c>
      <c r="G15" t="s">
        <v>1141</v>
      </c>
      <c r="H15" t="s">
        <v>5836</v>
      </c>
      <c r="J15" t="s">
        <v>7533</v>
      </c>
      <c r="K15" t="s">
        <v>1258</v>
      </c>
      <c r="L15" t="s">
        <v>2821</v>
      </c>
      <c r="M15" t="s">
        <v>4966</v>
      </c>
      <c r="N15" t="s">
        <v>1686</v>
      </c>
      <c r="O15" t="s">
        <v>7091</v>
      </c>
      <c r="P15" t="s">
        <v>3063</v>
      </c>
      <c r="Q15" t="s">
        <v>5886</v>
      </c>
      <c r="R15" t="s">
        <v>6087</v>
      </c>
      <c r="S15" t="s">
        <v>6500</v>
      </c>
      <c r="T15" t="s">
        <v>4531</v>
      </c>
      <c r="U15" t="s">
        <v>1336</v>
      </c>
      <c r="V15" t="s">
        <v>6519</v>
      </c>
      <c r="W15" t="s">
        <v>741</v>
      </c>
      <c r="X15" t="s">
        <v>312</v>
      </c>
      <c r="Y15" t="s">
        <v>3267</v>
      </c>
      <c r="Z15" t="s">
        <v>821</v>
      </c>
      <c r="AA15" t="s">
        <v>3413</v>
      </c>
      <c r="AB15" t="s">
        <v>969</v>
      </c>
      <c r="AC15" t="s">
        <v>5040</v>
      </c>
      <c r="AD15" t="s">
        <v>6572</v>
      </c>
      <c r="AE15" t="s">
        <v>4389</v>
      </c>
      <c r="AF15" t="s">
        <v>1740</v>
      </c>
      <c r="AG15" t="s">
        <v>6863</v>
      </c>
      <c r="AH15" t="s">
        <v>5906</v>
      </c>
      <c r="AI15" t="s">
        <v>1761</v>
      </c>
      <c r="AJ15" t="s">
        <v>2219</v>
      </c>
      <c r="AK15" t="s">
        <v>2592</v>
      </c>
      <c r="AL15" t="s">
        <v>2007</v>
      </c>
      <c r="AM15" t="s">
        <v>6902</v>
      </c>
      <c r="AN15" t="s">
        <v>2658</v>
      </c>
      <c r="AO15" t="s">
        <v>4614</v>
      </c>
      <c r="AP15" t="s">
        <v>415</v>
      </c>
      <c r="AQ15" t="s">
        <v>2723</v>
      </c>
      <c r="AR15" t="s">
        <v>2308</v>
      </c>
      <c r="AS15" t="s">
        <v>5966</v>
      </c>
      <c r="AT15" t="s">
        <v>3525</v>
      </c>
      <c r="AU15" t="s">
        <v>6929</v>
      </c>
      <c r="AV15" t="s">
        <v>3608</v>
      </c>
      <c r="AW15" t="s">
        <v>6948</v>
      </c>
      <c r="AX15" t="s">
        <v>4429</v>
      </c>
      <c r="AY15" t="s">
        <v>3667</v>
      </c>
      <c r="AZ15" t="s">
        <v>6980</v>
      </c>
      <c r="BA15" t="s">
        <v>225</v>
      </c>
      <c r="BB15" t="s">
        <v>6592</v>
      </c>
      <c r="BC15" t="s">
        <v>3730</v>
      </c>
      <c r="BD15" t="s">
        <v>1791</v>
      </c>
      <c r="BE15" t="s">
        <v>3862</v>
      </c>
      <c r="BF15" t="s">
        <v>1439</v>
      </c>
      <c r="BG15" t="s">
        <v>5286</v>
      </c>
      <c r="BH15" t="s">
        <v>6104</v>
      </c>
      <c r="BI15" t="s">
        <v>6177</v>
      </c>
      <c r="BJ15" t="s">
        <v>7593</v>
      </c>
      <c r="BK15" t="s">
        <v>6698</v>
      </c>
      <c r="BL15" t="s">
        <v>1836</v>
      </c>
      <c r="BM15" t="s">
        <v>3917</v>
      </c>
      <c r="BN15" t="s">
        <v>7370</v>
      </c>
      <c r="BO15" t="s">
        <v>4483</v>
      </c>
      <c r="BP15" t="s">
        <v>522</v>
      </c>
      <c r="BQ15" t="s">
        <v>1879</v>
      </c>
      <c r="BR15" t="s">
        <v>6997</v>
      </c>
      <c r="BS15" t="s">
        <v>290</v>
      </c>
      <c r="BT15" t="s">
        <v>2032</v>
      </c>
      <c r="BU15" t="s">
        <v>643</v>
      </c>
      <c r="BX15" t="s">
        <v>282</v>
      </c>
      <c r="BY15" t="s">
        <v>996</v>
      </c>
      <c r="BZ15" t="s">
        <v>1941</v>
      </c>
      <c r="CA15" t="s">
        <v>2341</v>
      </c>
      <c r="CB15" t="s">
        <v>1982</v>
      </c>
      <c r="CC15" t="s">
        <v>2413</v>
      </c>
      <c r="CD15" t="s">
        <v>7693</v>
      </c>
      <c r="CE15" t="s">
        <v>1530</v>
      </c>
      <c r="CF15" t="s">
        <v>6263</v>
      </c>
      <c r="CG15" t="s">
        <v>2753</v>
      </c>
      <c r="CH15" t="s">
        <v>7058</v>
      </c>
      <c r="CI15" t="s">
        <v>6786</v>
      </c>
      <c r="CJ15" t="s">
        <v>4101</v>
      </c>
      <c r="CK15" t="s">
        <v>6354</v>
      </c>
      <c r="CL15" t="s">
        <v>6060</v>
      </c>
      <c r="CM15" t="s">
        <v>567</v>
      </c>
      <c r="CN15" t="s">
        <v>7428</v>
      </c>
      <c r="CO15" t="s">
        <v>5372</v>
      </c>
      <c r="CP15" t="s">
        <v>6804</v>
      </c>
      <c r="CQ15" t="s">
        <v>7207</v>
      </c>
      <c r="CR15" t="s">
        <v>7742</v>
      </c>
      <c r="CT15" t="s">
        <v>2086</v>
      </c>
      <c r="CU15" t="s">
        <v>7460</v>
      </c>
      <c r="CV15" t="s">
        <v>4177</v>
      </c>
      <c r="CW15" t="s">
        <v>7834</v>
      </c>
      <c r="CX15" t="s">
        <v>5682</v>
      </c>
      <c r="CY15" t="s">
        <v>5756</v>
      </c>
      <c r="CZ15" t="s">
        <v>7877</v>
      </c>
      <c r="DA15" t="s">
        <v>1093</v>
      </c>
      <c r="DB15" t="s">
        <v>7974</v>
      </c>
      <c r="DC15" t="s">
        <v>2533</v>
      </c>
    </row>
    <row r="16" spans="1:107" x14ac:dyDescent="0.35">
      <c r="A16" t="s">
        <v>6461</v>
      </c>
      <c r="B16" t="s">
        <v>4665</v>
      </c>
      <c r="C16" t="s">
        <v>4312</v>
      </c>
      <c r="D16" t="s">
        <v>6828</v>
      </c>
      <c r="E16" t="s">
        <v>4358</v>
      </c>
      <c r="F16" t="s">
        <v>4851</v>
      </c>
      <c r="G16" t="s">
        <v>1142</v>
      </c>
      <c r="H16" t="s">
        <v>5837</v>
      </c>
      <c r="J16" t="s">
        <v>7534</v>
      </c>
      <c r="K16" t="s">
        <v>1259</v>
      </c>
      <c r="L16" t="s">
        <v>2822</v>
      </c>
      <c r="M16" t="s">
        <v>4967</v>
      </c>
      <c r="N16" t="s">
        <v>1687</v>
      </c>
      <c r="O16" t="s">
        <v>7092</v>
      </c>
      <c r="P16" t="s">
        <v>3064</v>
      </c>
      <c r="Q16" t="s">
        <v>5887</v>
      </c>
      <c r="R16" t="s">
        <v>6088</v>
      </c>
      <c r="S16" t="s">
        <v>6501</v>
      </c>
      <c r="T16" t="s">
        <v>4532</v>
      </c>
      <c r="U16" t="s">
        <v>1337</v>
      </c>
      <c r="V16" t="s">
        <v>3</v>
      </c>
      <c r="W16" t="s">
        <v>742</v>
      </c>
      <c r="X16" t="s">
        <v>313</v>
      </c>
      <c r="Y16" t="s">
        <v>3268</v>
      </c>
      <c r="Z16" t="s">
        <v>822</v>
      </c>
      <c r="AA16" t="s">
        <v>3414</v>
      </c>
      <c r="AB16" t="s">
        <v>970</v>
      </c>
      <c r="AC16" t="s">
        <v>5041</v>
      </c>
      <c r="AD16" t="s">
        <v>6573</v>
      </c>
      <c r="AE16" t="s">
        <v>4390</v>
      </c>
      <c r="AF16" t="s">
        <v>1741</v>
      </c>
      <c r="AG16" t="s">
        <v>54</v>
      </c>
      <c r="AH16" t="s">
        <v>5907</v>
      </c>
      <c r="AI16" t="s">
        <v>1762</v>
      </c>
      <c r="AJ16" t="s">
        <v>2220</v>
      </c>
      <c r="AK16" t="s">
        <v>2593</v>
      </c>
      <c r="AL16" t="s">
        <v>2008</v>
      </c>
      <c r="AM16" t="s">
        <v>6903</v>
      </c>
      <c r="AN16" t="s">
        <v>2659</v>
      </c>
      <c r="AO16" t="s">
        <v>4615</v>
      </c>
      <c r="AP16" t="s">
        <v>416</v>
      </c>
      <c r="AQ16" t="s">
        <v>255</v>
      </c>
      <c r="AR16" t="s">
        <v>2309</v>
      </c>
      <c r="AS16" t="s">
        <v>5967</v>
      </c>
      <c r="AT16" t="s">
        <v>3526</v>
      </c>
      <c r="AU16" t="s">
        <v>6930</v>
      </c>
      <c r="AV16" t="s">
        <v>3609</v>
      </c>
      <c r="AW16" t="s">
        <v>6949</v>
      </c>
      <c r="AX16" t="s">
        <v>4430</v>
      </c>
      <c r="AY16" t="s">
        <v>3668</v>
      </c>
      <c r="AZ16" t="s">
        <v>6981</v>
      </c>
      <c r="BA16" t="s">
        <v>613</v>
      </c>
      <c r="BB16" t="s">
        <v>6593</v>
      </c>
      <c r="BC16" t="s">
        <v>3731</v>
      </c>
      <c r="BD16" t="s">
        <v>1792</v>
      </c>
      <c r="BE16" t="s">
        <v>3863</v>
      </c>
      <c r="BF16" t="s">
        <v>1440</v>
      </c>
      <c r="BG16" t="s">
        <v>5287</v>
      </c>
      <c r="BH16" t="s">
        <v>6105</v>
      </c>
      <c r="BI16" t="s">
        <v>6178</v>
      </c>
      <c r="BJ16" t="s">
        <v>7594</v>
      </c>
      <c r="BK16" t="s">
        <v>6699</v>
      </c>
      <c r="BL16" t="s">
        <v>1837</v>
      </c>
      <c r="BM16" t="s">
        <v>3918</v>
      </c>
      <c r="BN16" t="s">
        <v>7371</v>
      </c>
      <c r="BO16" t="s">
        <v>4484</v>
      </c>
      <c r="BP16" t="s">
        <v>523</v>
      </c>
      <c r="BQ16" t="s">
        <v>1880</v>
      </c>
      <c r="BR16" t="s">
        <v>6998</v>
      </c>
      <c r="BS16" t="s">
        <v>7033</v>
      </c>
      <c r="BT16" t="s">
        <v>2033</v>
      </c>
      <c r="BU16" t="s">
        <v>644</v>
      </c>
      <c r="BX16" t="s">
        <v>1924</v>
      </c>
      <c r="BY16" t="s">
        <v>997</v>
      </c>
      <c r="BZ16" t="s">
        <v>1942</v>
      </c>
      <c r="CA16" t="s">
        <v>2342</v>
      </c>
      <c r="CB16" t="s">
        <v>1983</v>
      </c>
      <c r="CC16" t="s">
        <v>2414</v>
      </c>
      <c r="CD16" t="s">
        <v>7694</v>
      </c>
      <c r="CE16" t="s">
        <v>1531</v>
      </c>
      <c r="CF16" t="s">
        <v>6264</v>
      </c>
      <c r="CG16" t="s">
        <v>2754</v>
      </c>
      <c r="CH16" t="s">
        <v>7059</v>
      </c>
      <c r="CI16" t="s">
        <v>6787</v>
      </c>
      <c r="CJ16" t="s">
        <v>4102</v>
      </c>
      <c r="CK16" t="s">
        <v>6355</v>
      </c>
      <c r="CL16" t="s">
        <v>6061</v>
      </c>
      <c r="CM16" t="s">
        <v>568</v>
      </c>
      <c r="CN16" t="s">
        <v>7429</v>
      </c>
      <c r="CO16" t="s">
        <v>5373</v>
      </c>
      <c r="CP16" t="s">
        <v>6805</v>
      </c>
      <c r="CQ16" t="s">
        <v>7208</v>
      </c>
      <c r="CR16" t="s">
        <v>7743</v>
      </c>
      <c r="CT16" t="s">
        <v>2087</v>
      </c>
      <c r="CU16" t="s">
        <v>7461</v>
      </c>
      <c r="CV16" t="s">
        <v>4178</v>
      </c>
      <c r="CW16" t="s">
        <v>7835</v>
      </c>
      <c r="CX16" t="s">
        <v>5683</v>
      </c>
      <c r="CY16" t="s">
        <v>5757</v>
      </c>
      <c r="CZ16" t="s">
        <v>7878</v>
      </c>
      <c r="DA16" t="s">
        <v>1094</v>
      </c>
      <c r="DB16" t="s">
        <v>7975</v>
      </c>
      <c r="DC16" t="s">
        <v>2534</v>
      </c>
    </row>
    <row r="17" spans="1:107" x14ac:dyDescent="0.35">
      <c r="A17" t="s">
        <v>6462</v>
      </c>
      <c r="B17" t="s">
        <v>4666</v>
      </c>
      <c r="C17" t="s">
        <v>4313</v>
      </c>
      <c r="D17" t="s">
        <v>6829</v>
      </c>
      <c r="E17" t="s">
        <v>4359</v>
      </c>
      <c r="F17" t="s">
        <v>4852</v>
      </c>
      <c r="G17" t="s">
        <v>1143</v>
      </c>
      <c r="H17" t="s">
        <v>5838</v>
      </c>
      <c r="J17" t="s">
        <v>7535</v>
      </c>
      <c r="K17" t="s">
        <v>1260</v>
      </c>
      <c r="L17" t="s">
        <v>2823</v>
      </c>
      <c r="M17" t="s">
        <v>4968</v>
      </c>
      <c r="N17" t="s">
        <v>1688</v>
      </c>
      <c r="O17" t="s">
        <v>7093</v>
      </c>
      <c r="P17" t="s">
        <v>3065</v>
      </c>
      <c r="Q17" t="s">
        <v>5888</v>
      </c>
      <c r="R17" t="s">
        <v>6089</v>
      </c>
      <c r="S17" t="s">
        <v>6502</v>
      </c>
      <c r="T17" t="s">
        <v>4533</v>
      </c>
      <c r="U17" t="s">
        <v>1338</v>
      </c>
      <c r="V17" t="s">
        <v>6520</v>
      </c>
      <c r="W17" t="s">
        <v>743</v>
      </c>
      <c r="X17" t="s">
        <v>314</v>
      </c>
      <c r="Y17" t="s">
        <v>3269</v>
      </c>
      <c r="Z17" t="s">
        <v>823</v>
      </c>
      <c r="AA17" t="s">
        <v>3415</v>
      </c>
      <c r="AB17" t="s">
        <v>971</v>
      </c>
      <c r="AC17" t="s">
        <v>5042</v>
      </c>
      <c r="AD17" t="s">
        <v>6574</v>
      </c>
      <c r="AE17" t="s">
        <v>4391</v>
      </c>
      <c r="AF17" t="s">
        <v>1742</v>
      </c>
      <c r="AG17" t="s">
        <v>6864</v>
      </c>
      <c r="AH17" t="s">
        <v>5908</v>
      </c>
      <c r="AI17" t="s">
        <v>1763</v>
      </c>
      <c r="AJ17" t="s">
        <v>2221</v>
      </c>
      <c r="AK17" t="s">
        <v>2594</v>
      </c>
      <c r="AL17" t="s">
        <v>2009</v>
      </c>
      <c r="AM17" t="s">
        <v>6904</v>
      </c>
      <c r="AN17" t="s">
        <v>2660</v>
      </c>
      <c r="AO17" t="s">
        <v>4616</v>
      </c>
      <c r="AP17" t="s">
        <v>417</v>
      </c>
      <c r="AQ17" t="s">
        <v>2724</v>
      </c>
      <c r="AR17" t="s">
        <v>2310</v>
      </c>
      <c r="AS17" t="s">
        <v>5968</v>
      </c>
      <c r="AT17" t="s">
        <v>3527</v>
      </c>
      <c r="AU17" t="s">
        <v>6931</v>
      </c>
      <c r="AV17" t="s">
        <v>3610</v>
      </c>
      <c r="AW17" t="s">
        <v>59</v>
      </c>
      <c r="AX17" t="s">
        <v>4431</v>
      </c>
      <c r="AY17" t="s">
        <v>3669</v>
      </c>
      <c r="AZ17" t="s">
        <v>6982</v>
      </c>
      <c r="BA17" t="s">
        <v>614</v>
      </c>
      <c r="BB17" t="s">
        <v>6594</v>
      </c>
      <c r="BC17" t="s">
        <v>3732</v>
      </c>
      <c r="BD17" t="s">
        <v>1793</v>
      </c>
      <c r="BE17" t="s">
        <v>3864</v>
      </c>
      <c r="BF17" t="s">
        <v>1441</v>
      </c>
      <c r="BG17" t="s">
        <v>5288</v>
      </c>
      <c r="BH17" t="s">
        <v>6106</v>
      </c>
      <c r="BI17" t="s">
        <v>6179</v>
      </c>
      <c r="BJ17" t="s">
        <v>7595</v>
      </c>
      <c r="BK17" t="s">
        <v>6700</v>
      </c>
      <c r="BL17" t="s">
        <v>1838</v>
      </c>
      <c r="BM17" t="s">
        <v>3919</v>
      </c>
      <c r="BN17" t="s">
        <v>7372</v>
      </c>
      <c r="BO17" t="s">
        <v>4485</v>
      </c>
      <c r="BP17" t="s">
        <v>524</v>
      </c>
      <c r="BQ17" t="s">
        <v>1881</v>
      </c>
      <c r="BR17" t="s">
        <v>6999</v>
      </c>
      <c r="BS17" t="s">
        <v>7034</v>
      </c>
      <c r="BT17" t="s">
        <v>2034</v>
      </c>
      <c r="BU17" t="s">
        <v>645</v>
      </c>
      <c r="BX17" t="s">
        <v>1925</v>
      </c>
      <c r="BY17" t="s">
        <v>998</v>
      </c>
      <c r="BZ17" t="s">
        <v>1943</v>
      </c>
      <c r="CA17" t="s">
        <v>2343</v>
      </c>
      <c r="CB17" t="s">
        <v>1984</v>
      </c>
      <c r="CC17" t="s">
        <v>2415</v>
      </c>
      <c r="CD17" t="s">
        <v>7695</v>
      </c>
      <c r="CE17" t="s">
        <v>1532</v>
      </c>
      <c r="CF17" t="s">
        <v>6265</v>
      </c>
      <c r="CG17" t="s">
        <v>2755</v>
      </c>
      <c r="CH17" t="s">
        <v>7060</v>
      </c>
      <c r="CI17" t="s">
        <v>6788</v>
      </c>
      <c r="CJ17" t="s">
        <v>4103</v>
      </c>
      <c r="CK17" t="s">
        <v>6356</v>
      </c>
      <c r="CL17" t="s">
        <v>6062</v>
      </c>
      <c r="CM17" t="s">
        <v>569</v>
      </c>
      <c r="CN17" t="s">
        <v>7430</v>
      </c>
      <c r="CO17" t="s">
        <v>5374</v>
      </c>
      <c r="CP17" t="s">
        <v>6806</v>
      </c>
      <c r="CQ17" t="s">
        <v>7209</v>
      </c>
      <c r="CR17" t="s">
        <v>7744</v>
      </c>
      <c r="CT17" t="s">
        <v>2088</v>
      </c>
      <c r="CU17" t="s">
        <v>7462</v>
      </c>
      <c r="CV17" t="s">
        <v>4179</v>
      </c>
      <c r="CW17" t="s">
        <v>7836</v>
      </c>
      <c r="CX17" t="s">
        <v>5684</v>
      </c>
      <c r="CY17" t="s">
        <v>5758</v>
      </c>
      <c r="CZ17" t="s">
        <v>7879</v>
      </c>
      <c r="DA17" t="s">
        <v>1095</v>
      </c>
      <c r="DB17" t="s">
        <v>7976</v>
      </c>
      <c r="DC17" t="s">
        <v>2535</v>
      </c>
    </row>
    <row r="18" spans="1:107" x14ac:dyDescent="0.35">
      <c r="A18" t="s">
        <v>147</v>
      </c>
      <c r="B18" t="s">
        <v>4667</v>
      </c>
      <c r="C18" t="s">
        <v>4314</v>
      </c>
      <c r="D18" t="s">
        <v>6830</v>
      </c>
      <c r="E18" t="s">
        <v>4360</v>
      </c>
      <c r="F18" t="s">
        <v>4853</v>
      </c>
      <c r="G18" t="s">
        <v>1144</v>
      </c>
      <c r="H18" t="s">
        <v>5839</v>
      </c>
      <c r="J18" t="s">
        <v>7536</v>
      </c>
      <c r="K18" t="s">
        <v>1261</v>
      </c>
      <c r="L18" t="s">
        <v>2824</v>
      </c>
      <c r="M18" t="s">
        <v>4969</v>
      </c>
      <c r="N18" t="s">
        <v>1689</v>
      </c>
      <c r="O18" t="s">
        <v>7094</v>
      </c>
      <c r="P18" t="s">
        <v>3066</v>
      </c>
      <c r="Q18" t="s">
        <v>5889</v>
      </c>
      <c r="R18" t="s">
        <v>6090</v>
      </c>
      <c r="S18" t="s">
        <v>6503</v>
      </c>
      <c r="T18" t="s">
        <v>4534</v>
      </c>
      <c r="U18" t="s">
        <v>1339</v>
      </c>
      <c r="V18" t="s">
        <v>6521</v>
      </c>
      <c r="W18" t="s">
        <v>744</v>
      </c>
      <c r="X18" t="s">
        <v>315</v>
      </c>
      <c r="Y18" t="s">
        <v>3270</v>
      </c>
      <c r="Z18" t="s">
        <v>824</v>
      </c>
      <c r="AA18" t="s">
        <v>3416</v>
      </c>
      <c r="AB18" t="s">
        <v>972</v>
      </c>
      <c r="AC18" t="s">
        <v>5043</v>
      </c>
      <c r="AD18" t="s">
        <v>6575</v>
      </c>
      <c r="AE18" t="s">
        <v>4392</v>
      </c>
      <c r="AF18" t="s">
        <v>1743</v>
      </c>
      <c r="AG18" t="s">
        <v>6865</v>
      </c>
      <c r="AH18" t="s">
        <v>5909</v>
      </c>
      <c r="AI18" t="s">
        <v>1764</v>
      </c>
      <c r="AJ18" t="s">
        <v>2222</v>
      </c>
      <c r="AK18" t="s">
        <v>2595</v>
      </c>
      <c r="AL18" t="s">
        <v>2010</v>
      </c>
      <c r="AM18" t="s">
        <v>6905</v>
      </c>
      <c r="AN18" t="s">
        <v>2661</v>
      </c>
      <c r="AO18" t="s">
        <v>4617</v>
      </c>
      <c r="AP18" t="s">
        <v>418</v>
      </c>
      <c r="AQ18" t="s">
        <v>2725</v>
      </c>
      <c r="AR18" t="s">
        <v>2311</v>
      </c>
      <c r="AS18" t="s">
        <v>5969</v>
      </c>
      <c r="AT18" t="s">
        <v>3528</v>
      </c>
      <c r="AU18" t="s">
        <v>6932</v>
      </c>
      <c r="AV18" t="s">
        <v>3611</v>
      </c>
      <c r="AW18" t="s">
        <v>6950</v>
      </c>
      <c r="AX18" t="s">
        <v>4432</v>
      </c>
      <c r="AY18" t="s">
        <v>3670</v>
      </c>
      <c r="AZ18" t="s">
        <v>6983</v>
      </c>
      <c r="BA18" t="s">
        <v>615</v>
      </c>
      <c r="BB18" t="s">
        <v>6595</v>
      </c>
      <c r="BC18" t="s">
        <v>3733</v>
      </c>
      <c r="BD18" t="s">
        <v>1794</v>
      </c>
      <c r="BE18" t="s">
        <v>3865</v>
      </c>
      <c r="BF18" t="s">
        <v>1442</v>
      </c>
      <c r="BG18" t="s">
        <v>5289</v>
      </c>
      <c r="BH18" t="s">
        <v>6107</v>
      </c>
      <c r="BI18" t="s">
        <v>6180</v>
      </c>
      <c r="BJ18" t="s">
        <v>7596</v>
      </c>
      <c r="BK18" t="s">
        <v>6701</v>
      </c>
      <c r="BL18" t="s">
        <v>1839</v>
      </c>
      <c r="BM18" t="s">
        <v>3920</v>
      </c>
      <c r="BN18" t="s">
        <v>7373</v>
      </c>
      <c r="BO18" t="s">
        <v>4486</v>
      </c>
      <c r="BP18" t="s">
        <v>525</v>
      </c>
      <c r="BQ18" t="s">
        <v>1882</v>
      </c>
      <c r="BR18" t="s">
        <v>7000</v>
      </c>
      <c r="BS18" t="s">
        <v>7035</v>
      </c>
      <c r="BT18" t="s">
        <v>2035</v>
      </c>
      <c r="BU18" t="s">
        <v>646</v>
      </c>
      <c r="BX18" t="s">
        <v>1926</v>
      </c>
      <c r="BY18" t="s">
        <v>999</v>
      </c>
      <c r="BZ18" t="s">
        <v>1944</v>
      </c>
      <c r="CA18" t="s">
        <v>2344</v>
      </c>
      <c r="CB18" t="s">
        <v>1985</v>
      </c>
      <c r="CC18" t="s">
        <v>2416</v>
      </c>
      <c r="CD18" t="s">
        <v>7696</v>
      </c>
      <c r="CE18" t="s">
        <v>1533</v>
      </c>
      <c r="CF18" t="s">
        <v>6266</v>
      </c>
      <c r="CG18" t="s">
        <v>2756</v>
      </c>
      <c r="CH18" t="s">
        <v>7061</v>
      </c>
      <c r="CI18" t="s">
        <v>6789</v>
      </c>
      <c r="CJ18" t="s">
        <v>4104</v>
      </c>
      <c r="CK18" t="s">
        <v>6357</v>
      </c>
      <c r="CL18" t="s">
        <v>6063</v>
      </c>
      <c r="CM18" t="s">
        <v>570</v>
      </c>
      <c r="CN18" t="s">
        <v>7431</v>
      </c>
      <c r="CO18" t="s">
        <v>5375</v>
      </c>
      <c r="CP18" t="s">
        <v>6807</v>
      </c>
      <c r="CQ18" t="s">
        <v>7210</v>
      </c>
      <c r="CR18" t="s">
        <v>7745</v>
      </c>
      <c r="CT18" t="s">
        <v>2089</v>
      </c>
      <c r="CU18" t="s">
        <v>7463</v>
      </c>
      <c r="CV18" t="s">
        <v>4180</v>
      </c>
      <c r="CW18" t="s">
        <v>7837</v>
      </c>
      <c r="CX18" t="s">
        <v>5685</v>
      </c>
      <c r="CY18" t="s">
        <v>5759</v>
      </c>
      <c r="CZ18" t="s">
        <v>7880</v>
      </c>
      <c r="DA18" t="s">
        <v>1096</v>
      </c>
      <c r="DB18" t="s">
        <v>7977</v>
      </c>
      <c r="DC18" t="s">
        <v>2536</v>
      </c>
    </row>
    <row r="19" spans="1:107" x14ac:dyDescent="0.35">
      <c r="A19" t="s">
        <v>6463</v>
      </c>
      <c r="B19" t="s">
        <v>4668</v>
      </c>
      <c r="C19" t="s">
        <v>4315</v>
      </c>
      <c r="D19" t="s">
        <v>6831</v>
      </c>
      <c r="E19" t="s">
        <v>4361</v>
      </c>
      <c r="F19" t="s">
        <v>4854</v>
      </c>
      <c r="G19" t="s">
        <v>1145</v>
      </c>
      <c r="H19" t="s">
        <v>5840</v>
      </c>
      <c r="J19" t="s">
        <v>7537</v>
      </c>
      <c r="K19" t="s">
        <v>1262</v>
      </c>
      <c r="L19" t="s">
        <v>2825</v>
      </c>
      <c r="M19" t="s">
        <v>4970</v>
      </c>
      <c r="N19" t="s">
        <v>1690</v>
      </c>
      <c r="O19" t="s">
        <v>7095</v>
      </c>
      <c r="P19" t="s">
        <v>3067</v>
      </c>
      <c r="Q19" t="s">
        <v>5890</v>
      </c>
      <c r="S19" t="s">
        <v>6504</v>
      </c>
      <c r="T19" t="s">
        <v>4535</v>
      </c>
      <c r="U19" t="s">
        <v>1340</v>
      </c>
      <c r="V19" t="s">
        <v>6522</v>
      </c>
      <c r="W19" t="s">
        <v>745</v>
      </c>
      <c r="X19" t="s">
        <v>316</v>
      </c>
      <c r="Y19" t="s">
        <v>3271</v>
      </c>
      <c r="Z19" t="s">
        <v>825</v>
      </c>
      <c r="AA19" t="s">
        <v>3417</v>
      </c>
      <c r="AB19" t="s">
        <v>973</v>
      </c>
      <c r="AC19" t="s">
        <v>5044</v>
      </c>
      <c r="AD19" t="s">
        <v>6576</v>
      </c>
      <c r="AE19" t="s">
        <v>4393</v>
      </c>
      <c r="AF19" t="s">
        <v>1744</v>
      </c>
      <c r="AG19" t="s">
        <v>6866</v>
      </c>
      <c r="AH19" t="s">
        <v>5910</v>
      </c>
      <c r="AI19" t="s">
        <v>1765</v>
      </c>
      <c r="AJ19" t="s">
        <v>2223</v>
      </c>
      <c r="AK19" t="s">
        <v>2596</v>
      </c>
      <c r="AL19" t="s">
        <v>2011</v>
      </c>
      <c r="AM19" t="s">
        <v>6906</v>
      </c>
      <c r="AN19" t="s">
        <v>2662</v>
      </c>
      <c r="AO19" t="s">
        <v>4618</v>
      </c>
      <c r="AP19" t="s">
        <v>419</v>
      </c>
      <c r="AQ19" t="s">
        <v>2726</v>
      </c>
      <c r="AR19" t="s">
        <v>2312</v>
      </c>
      <c r="AS19" t="s">
        <v>5970</v>
      </c>
      <c r="AT19" t="s">
        <v>3529</v>
      </c>
      <c r="AU19" t="s">
        <v>6933</v>
      </c>
      <c r="AV19" t="s">
        <v>3612</v>
      </c>
      <c r="AW19" t="s">
        <v>6951</v>
      </c>
      <c r="AX19" t="s">
        <v>4433</v>
      </c>
      <c r="AY19" t="s">
        <v>3671</v>
      </c>
      <c r="BA19" t="s">
        <v>616</v>
      </c>
      <c r="BB19" t="s">
        <v>6596</v>
      </c>
      <c r="BC19" t="s">
        <v>3734</v>
      </c>
      <c r="BD19" t="s">
        <v>1795</v>
      </c>
      <c r="BE19" t="s">
        <v>3866</v>
      </c>
      <c r="BF19" t="s">
        <v>1443</v>
      </c>
      <c r="BG19" t="s">
        <v>5290</v>
      </c>
      <c r="BH19" t="s">
        <v>6108</v>
      </c>
      <c r="BI19" t="s">
        <v>6181</v>
      </c>
      <c r="BJ19" t="s">
        <v>7597</v>
      </c>
      <c r="BK19" t="s">
        <v>6702</v>
      </c>
      <c r="BL19" t="s">
        <v>1840</v>
      </c>
      <c r="BM19" t="s">
        <v>3921</v>
      </c>
      <c r="BN19" t="s">
        <v>7374</v>
      </c>
      <c r="BO19" t="s">
        <v>4487</v>
      </c>
      <c r="BP19" t="s">
        <v>526</v>
      </c>
      <c r="BQ19" t="s">
        <v>1883</v>
      </c>
      <c r="BR19" t="s">
        <v>7001</v>
      </c>
      <c r="BS19" t="s">
        <v>7036</v>
      </c>
      <c r="BT19" t="s">
        <v>2036</v>
      </c>
      <c r="BU19" t="s">
        <v>647</v>
      </c>
      <c r="BX19" t="s">
        <v>1927</v>
      </c>
      <c r="BY19" t="s">
        <v>1000</v>
      </c>
      <c r="BZ19" t="s">
        <v>1945</v>
      </c>
      <c r="CA19" t="s">
        <v>2345</v>
      </c>
      <c r="CB19" t="s">
        <v>68</v>
      </c>
      <c r="CC19" t="s">
        <v>2417</v>
      </c>
      <c r="CD19" t="s">
        <v>7697</v>
      </c>
      <c r="CE19" t="s">
        <v>1534</v>
      </c>
      <c r="CF19" t="s">
        <v>6267</v>
      </c>
      <c r="CG19" t="s">
        <v>2757</v>
      </c>
      <c r="CH19" t="s">
        <v>7062</v>
      </c>
      <c r="CI19" t="s">
        <v>6790</v>
      </c>
      <c r="CJ19" t="s">
        <v>4105</v>
      </c>
      <c r="CK19" t="s">
        <v>6358</v>
      </c>
      <c r="CL19" t="s">
        <v>6064</v>
      </c>
      <c r="CM19" t="s">
        <v>571</v>
      </c>
      <c r="CN19" t="s">
        <v>7432</v>
      </c>
      <c r="CO19" t="s">
        <v>5376</v>
      </c>
      <c r="CP19" t="s">
        <v>6808</v>
      </c>
      <c r="CQ19" t="s">
        <v>7211</v>
      </c>
      <c r="CR19" t="s">
        <v>7746</v>
      </c>
      <c r="CT19" t="s">
        <v>2090</v>
      </c>
      <c r="CU19" t="s">
        <v>7464</v>
      </c>
      <c r="CV19" t="s">
        <v>4181</v>
      </c>
      <c r="CW19" t="s">
        <v>7838</v>
      </c>
      <c r="CX19" t="s">
        <v>5686</v>
      </c>
      <c r="CY19" t="s">
        <v>5760</v>
      </c>
      <c r="CZ19" t="s">
        <v>7881</v>
      </c>
      <c r="DA19" t="s">
        <v>1097</v>
      </c>
      <c r="DB19" t="s">
        <v>7978</v>
      </c>
      <c r="DC19" t="s">
        <v>2537</v>
      </c>
    </row>
    <row r="20" spans="1:107" x14ac:dyDescent="0.35">
      <c r="A20" t="s">
        <v>6464</v>
      </c>
      <c r="B20" t="s">
        <v>4669</v>
      </c>
      <c r="C20" t="s">
        <v>4316</v>
      </c>
      <c r="D20" t="s">
        <v>6832</v>
      </c>
      <c r="E20" t="s">
        <v>4362</v>
      </c>
      <c r="F20" t="s">
        <v>4855</v>
      </c>
      <c r="G20" t="s">
        <v>1146</v>
      </c>
      <c r="H20" t="s">
        <v>5841</v>
      </c>
      <c r="J20" t="s">
        <v>7538</v>
      </c>
      <c r="K20" t="s">
        <v>1263</v>
      </c>
      <c r="L20" t="s">
        <v>2826</v>
      </c>
      <c r="M20" t="s">
        <v>4971</v>
      </c>
      <c r="N20" t="s">
        <v>1691</v>
      </c>
      <c r="O20" t="s">
        <v>7096</v>
      </c>
      <c r="P20" t="s">
        <v>3068</v>
      </c>
      <c r="Q20" t="s">
        <v>5891</v>
      </c>
      <c r="S20" t="s">
        <v>6505</v>
      </c>
      <c r="T20" t="s">
        <v>4536</v>
      </c>
      <c r="U20" t="s">
        <v>1341</v>
      </c>
      <c r="V20" t="s">
        <v>6523</v>
      </c>
      <c r="W20" t="s">
        <v>746</v>
      </c>
      <c r="X20" t="s">
        <v>317</v>
      </c>
      <c r="Y20" t="s">
        <v>3272</v>
      </c>
      <c r="Z20" t="s">
        <v>826</v>
      </c>
      <c r="AA20" t="s">
        <v>3418</v>
      </c>
      <c r="AB20" t="s">
        <v>974</v>
      </c>
      <c r="AC20" t="s">
        <v>5045</v>
      </c>
      <c r="AD20" t="s">
        <v>6577</v>
      </c>
      <c r="AE20" t="s">
        <v>4394</v>
      </c>
      <c r="AF20" t="s">
        <v>1745</v>
      </c>
      <c r="AG20" t="s">
        <v>6867</v>
      </c>
      <c r="AH20" t="s">
        <v>5911</v>
      </c>
      <c r="AI20" t="s">
        <v>1766</v>
      </c>
      <c r="AJ20" t="s">
        <v>2224</v>
      </c>
      <c r="AK20" t="s">
        <v>2597</v>
      </c>
      <c r="AL20" t="s">
        <v>2012</v>
      </c>
      <c r="AM20" t="s">
        <v>6907</v>
      </c>
      <c r="AN20" t="s">
        <v>2663</v>
      </c>
      <c r="AO20" t="s">
        <v>4619</v>
      </c>
      <c r="AP20" t="s">
        <v>420</v>
      </c>
      <c r="AQ20" t="s">
        <v>2727</v>
      </c>
      <c r="AR20" t="s">
        <v>2313</v>
      </c>
      <c r="AS20" t="s">
        <v>2869</v>
      </c>
      <c r="AT20" t="s">
        <v>3530</v>
      </c>
      <c r="AU20" t="s">
        <v>6934</v>
      </c>
      <c r="AV20" t="s">
        <v>3613</v>
      </c>
      <c r="AW20" t="s">
        <v>6952</v>
      </c>
      <c r="AX20" t="s">
        <v>4434</v>
      </c>
      <c r="AY20" t="s">
        <v>3672</v>
      </c>
      <c r="BA20" t="s">
        <v>617</v>
      </c>
      <c r="BB20" t="s">
        <v>6597</v>
      </c>
      <c r="BC20" t="s">
        <v>3735</v>
      </c>
      <c r="BD20" t="s">
        <v>1796</v>
      </c>
      <c r="BE20" t="s">
        <v>3867</v>
      </c>
      <c r="BF20" t="s">
        <v>1444</v>
      </c>
      <c r="BG20" t="s">
        <v>5291</v>
      </c>
      <c r="BH20" t="s">
        <v>6109</v>
      </c>
      <c r="BI20" t="s">
        <v>6182</v>
      </c>
      <c r="BJ20" t="s">
        <v>7598</v>
      </c>
      <c r="BK20" t="s">
        <v>6703</v>
      </c>
      <c r="BL20" t="s">
        <v>1841</v>
      </c>
      <c r="BM20" t="s">
        <v>3922</v>
      </c>
      <c r="BN20" t="s">
        <v>7375</v>
      </c>
      <c r="BO20" t="s">
        <v>4488</v>
      </c>
      <c r="BP20" t="s">
        <v>527</v>
      </c>
      <c r="BQ20" t="s">
        <v>1884</v>
      </c>
      <c r="BR20" t="s">
        <v>7002</v>
      </c>
      <c r="BS20" t="s">
        <v>7037</v>
      </c>
      <c r="BT20" t="s">
        <v>2037</v>
      </c>
      <c r="BU20" t="s">
        <v>648</v>
      </c>
      <c r="BY20" t="s">
        <v>1001</v>
      </c>
      <c r="BZ20" t="s">
        <v>1946</v>
      </c>
      <c r="CA20" t="s">
        <v>2346</v>
      </c>
      <c r="CB20" t="s">
        <v>1986</v>
      </c>
      <c r="CC20" t="s">
        <v>2418</v>
      </c>
      <c r="CD20" t="s">
        <v>7698</v>
      </c>
      <c r="CE20" t="s">
        <v>1535</v>
      </c>
      <c r="CF20" t="s">
        <v>6268</v>
      </c>
      <c r="CG20" t="s">
        <v>2758</v>
      </c>
      <c r="CH20" t="s">
        <v>7063</v>
      </c>
      <c r="CI20" t="s">
        <v>122</v>
      </c>
      <c r="CJ20" t="s">
        <v>4106</v>
      </c>
      <c r="CK20" t="s">
        <v>6359</v>
      </c>
      <c r="CL20" t="s">
        <v>6065</v>
      </c>
      <c r="CM20" t="s">
        <v>572</v>
      </c>
      <c r="CN20" t="s">
        <v>7433</v>
      </c>
      <c r="CO20" t="s">
        <v>5377</v>
      </c>
      <c r="CP20" t="s">
        <v>6809</v>
      </c>
      <c r="CQ20" t="s">
        <v>7212</v>
      </c>
      <c r="CR20" t="s">
        <v>7747</v>
      </c>
      <c r="CT20" t="s">
        <v>2091</v>
      </c>
      <c r="CU20" t="s">
        <v>7465</v>
      </c>
      <c r="CV20" t="s">
        <v>4182</v>
      </c>
      <c r="CW20" t="s">
        <v>7839</v>
      </c>
      <c r="CX20" t="s">
        <v>5687</v>
      </c>
      <c r="CY20" t="s">
        <v>5761</v>
      </c>
      <c r="CZ20" t="s">
        <v>7882</v>
      </c>
      <c r="DA20" t="s">
        <v>1098</v>
      </c>
      <c r="DB20" t="s">
        <v>7979</v>
      </c>
      <c r="DC20" t="s">
        <v>2538</v>
      </c>
    </row>
    <row r="21" spans="1:107" x14ac:dyDescent="0.35">
      <c r="A21" t="s">
        <v>6465</v>
      </c>
      <c r="B21" t="s">
        <v>4670</v>
      </c>
      <c r="C21" t="s">
        <v>4317</v>
      </c>
      <c r="D21" t="s">
        <v>6833</v>
      </c>
      <c r="E21" t="s">
        <v>4363</v>
      </c>
      <c r="F21" t="s">
        <v>4856</v>
      </c>
      <c r="G21" t="s">
        <v>1147</v>
      </c>
      <c r="H21" t="s">
        <v>5842</v>
      </c>
      <c r="J21" t="s">
        <v>7539</v>
      </c>
      <c r="K21" t="s">
        <v>1264</v>
      </c>
      <c r="L21" t="s">
        <v>2827</v>
      </c>
      <c r="M21" t="s">
        <v>4972</v>
      </c>
      <c r="N21" t="s">
        <v>1692</v>
      </c>
      <c r="O21" t="s">
        <v>7097</v>
      </c>
      <c r="P21" t="s">
        <v>3069</v>
      </c>
      <c r="Q21" t="s">
        <v>5892</v>
      </c>
      <c r="S21" t="s">
        <v>6506</v>
      </c>
      <c r="T21" t="s">
        <v>4537</v>
      </c>
      <c r="U21" t="s">
        <v>1342</v>
      </c>
      <c r="V21" t="s">
        <v>6524</v>
      </c>
      <c r="W21" t="s">
        <v>747</v>
      </c>
      <c r="X21" t="s">
        <v>318</v>
      </c>
      <c r="Y21" t="s">
        <v>3273</v>
      </c>
      <c r="Z21" t="s">
        <v>827</v>
      </c>
      <c r="AA21" t="s">
        <v>3419</v>
      </c>
      <c r="AB21" t="s">
        <v>975</v>
      </c>
      <c r="AC21" t="s">
        <v>5046</v>
      </c>
      <c r="AD21" t="s">
        <v>6578</v>
      </c>
      <c r="AE21" t="s">
        <v>4395</v>
      </c>
      <c r="AF21" t="s">
        <v>1746</v>
      </c>
      <c r="AG21" t="s">
        <v>6868</v>
      </c>
      <c r="AH21" t="s">
        <v>5912</v>
      </c>
      <c r="AI21" t="s">
        <v>1767</v>
      </c>
      <c r="AJ21" t="s">
        <v>2225</v>
      </c>
      <c r="AK21" t="s">
        <v>2598</v>
      </c>
      <c r="AL21" t="s">
        <v>2013</v>
      </c>
      <c r="AM21" t="s">
        <v>6908</v>
      </c>
      <c r="AN21" t="s">
        <v>2664</v>
      </c>
      <c r="AO21" t="s">
        <v>4620</v>
      </c>
      <c r="AP21" t="s">
        <v>421</v>
      </c>
      <c r="AQ21" t="s">
        <v>2728</v>
      </c>
      <c r="AR21" t="s">
        <v>2314</v>
      </c>
      <c r="AS21" t="s">
        <v>5971</v>
      </c>
      <c r="AT21" t="s">
        <v>3531</v>
      </c>
      <c r="AV21" t="s">
        <v>3614</v>
      </c>
      <c r="AW21" t="s">
        <v>6953</v>
      </c>
      <c r="AX21" t="s">
        <v>4435</v>
      </c>
      <c r="AY21" t="s">
        <v>3673</v>
      </c>
      <c r="BA21" t="s">
        <v>618</v>
      </c>
      <c r="BB21" t="s">
        <v>6598</v>
      </c>
      <c r="BC21" t="s">
        <v>3736</v>
      </c>
      <c r="BD21" t="s">
        <v>1797</v>
      </c>
      <c r="BE21" t="s">
        <v>3868</v>
      </c>
      <c r="BF21" t="s">
        <v>1445</v>
      </c>
      <c r="BG21" t="s">
        <v>5292</v>
      </c>
      <c r="BH21" t="s">
        <v>6110</v>
      </c>
      <c r="BI21" t="s">
        <v>6183</v>
      </c>
      <c r="BJ21" t="s">
        <v>7599</v>
      </c>
      <c r="BK21" t="s">
        <v>6704</v>
      </c>
      <c r="BL21" t="s">
        <v>1842</v>
      </c>
      <c r="BM21" t="s">
        <v>3923</v>
      </c>
      <c r="BN21" t="s">
        <v>7376</v>
      </c>
      <c r="BO21" t="s">
        <v>4489</v>
      </c>
      <c r="BP21" t="s">
        <v>528</v>
      </c>
      <c r="BQ21" t="s">
        <v>1885</v>
      </c>
      <c r="BR21" t="s">
        <v>7003</v>
      </c>
      <c r="BS21" t="s">
        <v>7038</v>
      </c>
      <c r="BT21" t="s">
        <v>2038</v>
      </c>
      <c r="BU21" t="s">
        <v>649</v>
      </c>
      <c r="BY21" t="s">
        <v>1002</v>
      </c>
      <c r="BZ21" t="s">
        <v>1947</v>
      </c>
      <c r="CA21" t="s">
        <v>2347</v>
      </c>
      <c r="CB21" t="s">
        <v>1987</v>
      </c>
      <c r="CC21" t="s">
        <v>2419</v>
      </c>
      <c r="CD21" t="s">
        <v>7699</v>
      </c>
      <c r="CE21" t="s">
        <v>1536</v>
      </c>
      <c r="CF21" t="s">
        <v>6269</v>
      </c>
      <c r="CG21" t="s">
        <v>2759</v>
      </c>
      <c r="CH21" t="s">
        <v>7064</v>
      </c>
      <c r="CI21" t="s">
        <v>6791</v>
      </c>
      <c r="CJ21" t="s">
        <v>4107</v>
      </c>
      <c r="CK21" t="s">
        <v>6360</v>
      </c>
      <c r="CL21" t="s">
        <v>6066</v>
      </c>
      <c r="CM21" t="s">
        <v>573</v>
      </c>
      <c r="CN21" t="s">
        <v>7434</v>
      </c>
      <c r="CO21" t="s">
        <v>5378</v>
      </c>
      <c r="CP21" t="s">
        <v>6810</v>
      </c>
      <c r="CQ21" t="s">
        <v>7213</v>
      </c>
      <c r="CR21" t="s">
        <v>7748</v>
      </c>
      <c r="CT21" t="s">
        <v>2092</v>
      </c>
      <c r="CU21" t="s">
        <v>7466</v>
      </c>
      <c r="CV21" t="s">
        <v>4183</v>
      </c>
      <c r="CW21" t="s">
        <v>7840</v>
      </c>
      <c r="CX21" t="s">
        <v>5688</v>
      </c>
      <c r="CY21" t="s">
        <v>5762</v>
      </c>
      <c r="CZ21" t="s">
        <v>7883</v>
      </c>
      <c r="DA21" t="s">
        <v>1099</v>
      </c>
      <c r="DB21" t="s">
        <v>7980</v>
      </c>
      <c r="DC21" t="s">
        <v>2539</v>
      </c>
    </row>
    <row r="22" spans="1:107" x14ac:dyDescent="0.35">
      <c r="A22" t="s">
        <v>172</v>
      </c>
      <c r="B22" t="s">
        <v>4671</v>
      </c>
      <c r="C22" t="s">
        <v>4318</v>
      </c>
      <c r="D22" t="s">
        <v>6834</v>
      </c>
      <c r="E22" t="s">
        <v>4364</v>
      </c>
      <c r="F22" t="s">
        <v>4857</v>
      </c>
      <c r="G22" t="s">
        <v>1148</v>
      </c>
      <c r="H22" t="s">
        <v>5843</v>
      </c>
      <c r="J22" t="s">
        <v>7540</v>
      </c>
      <c r="K22" t="s">
        <v>1265</v>
      </c>
      <c r="L22" t="s">
        <v>2828</v>
      </c>
      <c r="M22" t="s">
        <v>4973</v>
      </c>
      <c r="N22" t="s">
        <v>1693</v>
      </c>
      <c r="O22" t="s">
        <v>7098</v>
      </c>
      <c r="P22" t="s">
        <v>3070</v>
      </c>
      <c r="S22" t="s">
        <v>6507</v>
      </c>
      <c r="T22" t="s">
        <v>4538</v>
      </c>
      <c r="U22" t="s">
        <v>1343</v>
      </c>
      <c r="V22" t="s">
        <v>6525</v>
      </c>
      <c r="W22" t="s">
        <v>748</v>
      </c>
      <c r="X22" t="s">
        <v>224</v>
      </c>
      <c r="Y22" t="s">
        <v>3274</v>
      </c>
      <c r="Z22" t="s">
        <v>828</v>
      </c>
      <c r="AA22" t="s">
        <v>3420</v>
      </c>
      <c r="AB22" t="s">
        <v>976</v>
      </c>
      <c r="AC22" t="s">
        <v>5047</v>
      </c>
      <c r="AE22" t="s">
        <v>4396</v>
      </c>
      <c r="AF22" t="s">
        <v>1747</v>
      </c>
      <c r="AG22" t="s">
        <v>6869</v>
      </c>
      <c r="AH22" t="s">
        <v>5913</v>
      </c>
      <c r="AI22" t="s">
        <v>1768</v>
      </c>
      <c r="AJ22" t="s">
        <v>2226</v>
      </c>
      <c r="AK22" t="s">
        <v>2599</v>
      </c>
      <c r="AL22" t="s">
        <v>2014</v>
      </c>
      <c r="AM22" t="s">
        <v>6909</v>
      </c>
      <c r="AN22" t="s">
        <v>2665</v>
      </c>
      <c r="AO22" t="s">
        <v>4621</v>
      </c>
      <c r="AP22" t="s">
        <v>422</v>
      </c>
      <c r="AQ22" t="s">
        <v>2729</v>
      </c>
      <c r="AR22" t="s">
        <v>2315</v>
      </c>
      <c r="AS22" t="s">
        <v>5972</v>
      </c>
      <c r="AT22" t="s">
        <v>3532</v>
      </c>
      <c r="AV22" t="s">
        <v>3615</v>
      </c>
      <c r="AW22" t="s">
        <v>6954</v>
      </c>
      <c r="AX22" t="s">
        <v>269</v>
      </c>
      <c r="AY22" t="s">
        <v>3674</v>
      </c>
      <c r="BA22" t="s">
        <v>619</v>
      </c>
      <c r="BB22" t="s">
        <v>6599</v>
      </c>
      <c r="BC22" t="s">
        <v>3737</v>
      </c>
      <c r="BD22" t="s">
        <v>1798</v>
      </c>
      <c r="BE22" t="s">
        <v>3869</v>
      </c>
      <c r="BF22" t="s">
        <v>1446</v>
      </c>
      <c r="BG22" t="s">
        <v>5293</v>
      </c>
      <c r="BH22" t="s">
        <v>6111</v>
      </c>
      <c r="BI22" t="s">
        <v>6184</v>
      </c>
      <c r="BJ22" t="s">
        <v>7600</v>
      </c>
      <c r="BK22" t="s">
        <v>6705</v>
      </c>
      <c r="BL22" t="s">
        <v>1843</v>
      </c>
      <c r="BM22" t="s">
        <v>3924</v>
      </c>
      <c r="BN22" t="s">
        <v>7377</v>
      </c>
      <c r="BO22" t="s">
        <v>4490</v>
      </c>
      <c r="BP22" t="s">
        <v>529</v>
      </c>
      <c r="BQ22" t="s">
        <v>1886</v>
      </c>
      <c r="BR22" t="s">
        <v>7004</v>
      </c>
      <c r="BT22" t="s">
        <v>2039</v>
      </c>
      <c r="BU22" t="s">
        <v>650</v>
      </c>
      <c r="BY22" t="s">
        <v>1003</v>
      </c>
      <c r="BZ22" t="s">
        <v>1948</v>
      </c>
      <c r="CA22" t="s">
        <v>2348</v>
      </c>
      <c r="CB22" t="s">
        <v>1988</v>
      </c>
      <c r="CC22" t="s">
        <v>2420</v>
      </c>
      <c r="CD22" t="s">
        <v>7700</v>
      </c>
      <c r="CE22" t="s">
        <v>1537</v>
      </c>
      <c r="CF22" t="s">
        <v>6270</v>
      </c>
      <c r="CG22" t="s">
        <v>2760</v>
      </c>
      <c r="CH22" t="s">
        <v>7065</v>
      </c>
      <c r="CI22" t="s">
        <v>6792</v>
      </c>
      <c r="CJ22" t="s">
        <v>4108</v>
      </c>
      <c r="CK22" t="s">
        <v>6361</v>
      </c>
      <c r="CL22" t="s">
        <v>6067</v>
      </c>
      <c r="CM22" t="s">
        <v>574</v>
      </c>
      <c r="CN22" t="s">
        <v>7435</v>
      </c>
      <c r="CO22" t="s">
        <v>5379</v>
      </c>
      <c r="CP22" t="s">
        <v>6811</v>
      </c>
      <c r="CQ22" t="s">
        <v>7214</v>
      </c>
      <c r="CR22" t="s">
        <v>7749</v>
      </c>
      <c r="CT22" t="s">
        <v>2093</v>
      </c>
      <c r="CU22" t="s">
        <v>7467</v>
      </c>
      <c r="CV22" t="s">
        <v>4184</v>
      </c>
      <c r="CW22" t="s">
        <v>7841</v>
      </c>
      <c r="CX22" t="s">
        <v>5689</v>
      </c>
      <c r="CY22" t="s">
        <v>5763</v>
      </c>
      <c r="CZ22" t="s">
        <v>7884</v>
      </c>
      <c r="DA22" t="s">
        <v>1100</v>
      </c>
      <c r="DB22" t="s">
        <v>7981</v>
      </c>
      <c r="DC22" t="s">
        <v>2540</v>
      </c>
    </row>
    <row r="23" spans="1:107" x14ac:dyDescent="0.35">
      <c r="A23" t="s">
        <v>6466</v>
      </c>
      <c r="B23" t="s">
        <v>4672</v>
      </c>
      <c r="C23" t="s">
        <v>4319</v>
      </c>
      <c r="D23" t="s">
        <v>6835</v>
      </c>
      <c r="E23" t="s">
        <v>4365</v>
      </c>
      <c r="F23" t="s">
        <v>4858</v>
      </c>
      <c r="G23" t="s">
        <v>1149</v>
      </c>
      <c r="H23" t="s">
        <v>5844</v>
      </c>
      <c r="J23" t="s">
        <v>7541</v>
      </c>
      <c r="K23" t="s">
        <v>1266</v>
      </c>
      <c r="L23" t="s">
        <v>2829</v>
      </c>
      <c r="M23" t="s">
        <v>4974</v>
      </c>
      <c r="N23" t="s">
        <v>1694</v>
      </c>
      <c r="O23" t="s">
        <v>7099</v>
      </c>
      <c r="P23" t="s">
        <v>3071</v>
      </c>
      <c r="S23" t="s">
        <v>6508</v>
      </c>
      <c r="T23" t="s">
        <v>4539</v>
      </c>
      <c r="U23" t="s">
        <v>1344</v>
      </c>
      <c r="V23" t="s">
        <v>6526</v>
      </c>
      <c r="W23" t="s">
        <v>749</v>
      </c>
      <c r="X23" t="s">
        <v>319</v>
      </c>
      <c r="Y23" t="s">
        <v>3275</v>
      </c>
      <c r="Z23" t="s">
        <v>829</v>
      </c>
      <c r="AA23" t="s">
        <v>3421</v>
      </c>
      <c r="AB23" t="s">
        <v>977</v>
      </c>
      <c r="AC23" t="s">
        <v>5048</v>
      </c>
      <c r="AE23" t="s">
        <v>4397</v>
      </c>
      <c r="AG23" t="s">
        <v>6870</v>
      </c>
      <c r="AH23" t="s">
        <v>5914</v>
      </c>
      <c r="AI23" t="s">
        <v>1769</v>
      </c>
      <c r="AJ23" t="s">
        <v>2227</v>
      </c>
      <c r="AK23" t="s">
        <v>2600</v>
      </c>
      <c r="AL23" t="s">
        <v>2015</v>
      </c>
      <c r="AM23" t="s">
        <v>6910</v>
      </c>
      <c r="AN23" t="s">
        <v>2666</v>
      </c>
      <c r="AO23" t="s">
        <v>4622</v>
      </c>
      <c r="AP23" t="s">
        <v>423</v>
      </c>
      <c r="AQ23" t="s">
        <v>2730</v>
      </c>
      <c r="AR23" t="s">
        <v>2316</v>
      </c>
      <c r="AS23" t="s">
        <v>5973</v>
      </c>
      <c r="AT23" t="s">
        <v>3533</v>
      </c>
      <c r="AV23" t="s">
        <v>3616</v>
      </c>
      <c r="AW23" t="s">
        <v>6955</v>
      </c>
      <c r="AX23" t="s">
        <v>4436</v>
      </c>
      <c r="AY23" t="s">
        <v>3675</v>
      </c>
      <c r="BA23" t="s">
        <v>620</v>
      </c>
      <c r="BB23" t="s">
        <v>6600</v>
      </c>
      <c r="BC23" t="s">
        <v>3738</v>
      </c>
      <c r="BD23" t="s">
        <v>1799</v>
      </c>
      <c r="BE23" t="s">
        <v>3870</v>
      </c>
      <c r="BF23" t="s">
        <v>1447</v>
      </c>
      <c r="BG23" t="s">
        <v>5294</v>
      </c>
      <c r="BH23" t="s">
        <v>6112</v>
      </c>
      <c r="BI23" t="s">
        <v>6185</v>
      </c>
      <c r="BJ23" t="s">
        <v>7601</v>
      </c>
      <c r="BK23" t="s">
        <v>6706</v>
      </c>
      <c r="BL23" t="s">
        <v>1844</v>
      </c>
      <c r="BM23" t="s">
        <v>3925</v>
      </c>
      <c r="BN23" t="s">
        <v>7378</v>
      </c>
      <c r="BO23" t="s">
        <v>4491</v>
      </c>
      <c r="BP23" t="s">
        <v>530</v>
      </c>
      <c r="BQ23" t="s">
        <v>1887</v>
      </c>
      <c r="BR23" t="s">
        <v>7005</v>
      </c>
      <c r="BT23" t="s">
        <v>2040</v>
      </c>
      <c r="BU23" t="s">
        <v>651</v>
      </c>
      <c r="BY23" t="s">
        <v>1004</v>
      </c>
      <c r="BZ23" t="s">
        <v>1949</v>
      </c>
      <c r="CA23" t="s">
        <v>2349</v>
      </c>
      <c r="CB23" t="s">
        <v>1989</v>
      </c>
      <c r="CC23" t="s">
        <v>2421</v>
      </c>
      <c r="CD23" t="s">
        <v>7701</v>
      </c>
      <c r="CE23" t="s">
        <v>1538</v>
      </c>
      <c r="CF23" t="s">
        <v>6271</v>
      </c>
      <c r="CG23" t="s">
        <v>2761</v>
      </c>
      <c r="CH23" t="s">
        <v>7066</v>
      </c>
      <c r="CJ23" t="s">
        <v>4109</v>
      </c>
      <c r="CK23" t="s">
        <v>6362</v>
      </c>
      <c r="CL23" t="s">
        <v>6068</v>
      </c>
      <c r="CM23" t="s">
        <v>575</v>
      </c>
      <c r="CN23" t="s">
        <v>7436</v>
      </c>
      <c r="CO23" t="s">
        <v>5380</v>
      </c>
      <c r="CP23" t="s">
        <v>6812</v>
      </c>
      <c r="CQ23" t="s">
        <v>7215</v>
      </c>
      <c r="CR23" t="s">
        <v>7750</v>
      </c>
      <c r="CT23" t="s">
        <v>2094</v>
      </c>
      <c r="CU23" t="s">
        <v>7468</v>
      </c>
      <c r="CV23" t="s">
        <v>4185</v>
      </c>
      <c r="CW23" t="s">
        <v>7842</v>
      </c>
      <c r="CX23" t="s">
        <v>5690</v>
      </c>
      <c r="CY23" t="s">
        <v>5764</v>
      </c>
      <c r="CZ23" t="s">
        <v>7885</v>
      </c>
      <c r="DA23" t="s">
        <v>1101</v>
      </c>
      <c r="DB23" t="s">
        <v>7982</v>
      </c>
      <c r="DC23" t="s">
        <v>2541</v>
      </c>
    </row>
    <row r="24" spans="1:107" x14ac:dyDescent="0.35">
      <c r="A24" t="s">
        <v>6467</v>
      </c>
      <c r="B24" t="s">
        <v>4673</v>
      </c>
      <c r="C24" t="s">
        <v>4320</v>
      </c>
      <c r="D24" t="s">
        <v>6836</v>
      </c>
      <c r="E24" t="s">
        <v>4366</v>
      </c>
      <c r="F24" t="s">
        <v>4859</v>
      </c>
      <c r="G24" t="s">
        <v>1150</v>
      </c>
      <c r="H24" t="s">
        <v>5845</v>
      </c>
      <c r="J24" t="s">
        <v>7542</v>
      </c>
      <c r="K24" t="s">
        <v>1267</v>
      </c>
      <c r="L24" t="s">
        <v>2830</v>
      </c>
      <c r="M24" t="s">
        <v>4975</v>
      </c>
      <c r="N24" t="s">
        <v>1695</v>
      </c>
      <c r="O24" t="s">
        <v>7100</v>
      </c>
      <c r="P24" t="s">
        <v>3072</v>
      </c>
      <c r="T24" t="s">
        <v>4540</v>
      </c>
      <c r="U24" t="s">
        <v>251</v>
      </c>
      <c r="V24" t="s">
        <v>6527</v>
      </c>
      <c r="W24" t="s">
        <v>750</v>
      </c>
      <c r="X24" t="s">
        <v>320</v>
      </c>
      <c r="Y24" t="s">
        <v>3276</v>
      </c>
      <c r="Z24" t="s">
        <v>830</v>
      </c>
      <c r="AA24" t="s">
        <v>3422</v>
      </c>
      <c r="AB24" t="s">
        <v>978</v>
      </c>
      <c r="AC24" t="s">
        <v>5049</v>
      </c>
      <c r="AE24" t="s">
        <v>4398</v>
      </c>
      <c r="AG24" t="s">
        <v>6871</v>
      </c>
      <c r="AH24" t="s">
        <v>5915</v>
      </c>
      <c r="AI24" t="s">
        <v>1770</v>
      </c>
      <c r="AJ24" t="s">
        <v>2228</v>
      </c>
      <c r="AK24" t="s">
        <v>2601</v>
      </c>
      <c r="AL24" t="s">
        <v>2016</v>
      </c>
      <c r="AM24" t="s">
        <v>6911</v>
      </c>
      <c r="AN24" t="s">
        <v>2667</v>
      </c>
      <c r="AO24" t="s">
        <v>243</v>
      </c>
      <c r="AP24" t="s">
        <v>424</v>
      </c>
      <c r="AQ24" t="s">
        <v>2731</v>
      </c>
      <c r="AR24" t="s">
        <v>2317</v>
      </c>
      <c r="AS24" t="s">
        <v>5974</v>
      </c>
      <c r="AT24" t="s">
        <v>3534</v>
      </c>
      <c r="AV24" t="s">
        <v>3617</v>
      </c>
      <c r="AW24" t="s">
        <v>6956</v>
      </c>
      <c r="AX24" t="s">
        <v>4437</v>
      </c>
      <c r="AY24" t="s">
        <v>3676</v>
      </c>
      <c r="BA24" t="s">
        <v>621</v>
      </c>
      <c r="BB24" t="s">
        <v>6601</v>
      </c>
      <c r="BC24" t="s">
        <v>3739</v>
      </c>
      <c r="BD24" t="s">
        <v>265</v>
      </c>
      <c r="BE24" t="s">
        <v>3871</v>
      </c>
      <c r="BF24" t="s">
        <v>1448</v>
      </c>
      <c r="BG24" t="s">
        <v>5295</v>
      </c>
      <c r="BH24" t="s">
        <v>6113</v>
      </c>
      <c r="BI24" t="s">
        <v>6186</v>
      </c>
      <c r="BJ24" t="s">
        <v>7602</v>
      </c>
      <c r="BK24" t="s">
        <v>6707</v>
      </c>
      <c r="BL24" t="s">
        <v>1845</v>
      </c>
      <c r="BM24" t="s">
        <v>3926</v>
      </c>
      <c r="BN24" t="s">
        <v>7379</v>
      </c>
      <c r="BO24" t="s">
        <v>4492</v>
      </c>
      <c r="BP24" t="s">
        <v>531</v>
      </c>
      <c r="BQ24" t="s">
        <v>1888</v>
      </c>
      <c r="BR24" t="s">
        <v>7006</v>
      </c>
      <c r="BT24" t="s">
        <v>2041</v>
      </c>
      <c r="BU24" t="s">
        <v>652</v>
      </c>
      <c r="BY24" t="s">
        <v>1005</v>
      </c>
      <c r="BZ24" t="s">
        <v>1950</v>
      </c>
      <c r="CA24" t="s">
        <v>2350</v>
      </c>
      <c r="CB24" t="s">
        <v>1990</v>
      </c>
      <c r="CC24" t="s">
        <v>2422</v>
      </c>
      <c r="CD24" t="s">
        <v>7702</v>
      </c>
      <c r="CE24" t="s">
        <v>1539</v>
      </c>
      <c r="CF24" t="s">
        <v>6272</v>
      </c>
      <c r="CG24" t="s">
        <v>2762</v>
      </c>
      <c r="CH24" t="s">
        <v>7067</v>
      </c>
      <c r="CJ24" t="s">
        <v>4110</v>
      </c>
      <c r="CK24" t="s">
        <v>6363</v>
      </c>
      <c r="CL24" t="s">
        <v>6069</v>
      </c>
      <c r="CM24" t="s">
        <v>576</v>
      </c>
      <c r="CN24" t="s">
        <v>7437</v>
      </c>
      <c r="CO24" t="s">
        <v>5381</v>
      </c>
      <c r="CP24" t="s">
        <v>130</v>
      </c>
      <c r="CQ24" t="s">
        <v>7216</v>
      </c>
      <c r="CR24" t="s">
        <v>7751</v>
      </c>
      <c r="CT24" t="s">
        <v>2095</v>
      </c>
      <c r="CU24" t="s">
        <v>7469</v>
      </c>
      <c r="CV24" t="s">
        <v>4186</v>
      </c>
      <c r="CW24" t="s">
        <v>7843</v>
      </c>
      <c r="CX24" t="s">
        <v>5691</v>
      </c>
      <c r="CY24" t="s">
        <v>5765</v>
      </c>
      <c r="CZ24" t="s">
        <v>7886</v>
      </c>
      <c r="DA24" t="s">
        <v>1102</v>
      </c>
      <c r="DB24" t="s">
        <v>7983</v>
      </c>
      <c r="DC24" t="s">
        <v>2542</v>
      </c>
    </row>
    <row r="25" spans="1:107" x14ac:dyDescent="0.35">
      <c r="A25" t="s">
        <v>6468</v>
      </c>
      <c r="B25" t="s">
        <v>4674</v>
      </c>
      <c r="C25" t="s">
        <v>4321</v>
      </c>
      <c r="D25" t="s">
        <v>6837</v>
      </c>
      <c r="E25" t="s">
        <v>4367</v>
      </c>
      <c r="F25" t="s">
        <v>4860</v>
      </c>
      <c r="G25" t="s">
        <v>1151</v>
      </c>
      <c r="H25" t="s">
        <v>5846</v>
      </c>
      <c r="J25" t="s">
        <v>7543</v>
      </c>
      <c r="K25" t="s">
        <v>1268</v>
      </c>
      <c r="L25" t="s">
        <v>2831</v>
      </c>
      <c r="M25" t="s">
        <v>4976</v>
      </c>
      <c r="N25" t="s">
        <v>1696</v>
      </c>
      <c r="O25" t="s">
        <v>7101</v>
      </c>
      <c r="P25" t="s">
        <v>3073</v>
      </c>
      <c r="T25" t="s">
        <v>4541</v>
      </c>
      <c r="U25" t="s">
        <v>1345</v>
      </c>
      <c r="V25" t="s">
        <v>6528</v>
      </c>
      <c r="W25" t="s">
        <v>751</v>
      </c>
      <c r="X25" t="s">
        <v>321</v>
      </c>
      <c r="Y25" t="s">
        <v>3277</v>
      </c>
      <c r="Z25" t="s">
        <v>831</v>
      </c>
      <c r="AA25" t="s">
        <v>3423</v>
      </c>
      <c r="AB25" t="s">
        <v>979</v>
      </c>
      <c r="AC25" t="s">
        <v>5050</v>
      </c>
      <c r="AE25" t="s">
        <v>4399</v>
      </c>
      <c r="AG25" t="s">
        <v>6872</v>
      </c>
      <c r="AH25" t="s">
        <v>270</v>
      </c>
      <c r="AI25" t="s">
        <v>1771</v>
      </c>
      <c r="AJ25" t="s">
        <v>2229</v>
      </c>
      <c r="AK25" t="s">
        <v>2602</v>
      </c>
      <c r="AL25" t="s">
        <v>2017</v>
      </c>
      <c r="AM25" t="s">
        <v>6912</v>
      </c>
      <c r="AN25" t="s">
        <v>2668</v>
      </c>
      <c r="AO25" t="s">
        <v>4623</v>
      </c>
      <c r="AP25" t="s">
        <v>425</v>
      </c>
      <c r="AQ25" t="s">
        <v>2732</v>
      </c>
      <c r="AR25" t="s">
        <v>2318</v>
      </c>
      <c r="AS25" t="s">
        <v>5975</v>
      </c>
      <c r="AT25" t="s">
        <v>3535</v>
      </c>
      <c r="AV25" t="s">
        <v>3618</v>
      </c>
      <c r="AW25" t="s">
        <v>6957</v>
      </c>
      <c r="AX25" t="s">
        <v>4438</v>
      </c>
      <c r="AY25" t="s">
        <v>3677</v>
      </c>
      <c r="BA25" t="s">
        <v>622</v>
      </c>
      <c r="BB25" t="s">
        <v>6602</v>
      </c>
      <c r="BC25" t="s">
        <v>3740</v>
      </c>
      <c r="BD25" t="s">
        <v>1800</v>
      </c>
      <c r="BE25" t="s">
        <v>3872</v>
      </c>
      <c r="BF25" t="s">
        <v>1449</v>
      </c>
      <c r="BG25" t="s">
        <v>5296</v>
      </c>
      <c r="BH25" t="s">
        <v>6114</v>
      </c>
      <c r="BI25" t="s">
        <v>6187</v>
      </c>
      <c r="BJ25" t="s">
        <v>7603</v>
      </c>
      <c r="BK25" t="s">
        <v>6708</v>
      </c>
      <c r="BL25" t="s">
        <v>1846</v>
      </c>
      <c r="BM25" t="s">
        <v>3927</v>
      </c>
      <c r="BN25" t="s">
        <v>7380</v>
      </c>
      <c r="BO25" t="s">
        <v>4493</v>
      </c>
      <c r="BP25" t="s">
        <v>532</v>
      </c>
      <c r="BQ25" t="s">
        <v>1889</v>
      </c>
      <c r="BR25" t="s">
        <v>285</v>
      </c>
      <c r="BT25" t="s">
        <v>2042</v>
      </c>
      <c r="BU25" t="s">
        <v>653</v>
      </c>
      <c r="BY25" t="s">
        <v>1006</v>
      </c>
      <c r="BZ25" t="s">
        <v>1951</v>
      </c>
      <c r="CA25" t="s">
        <v>2351</v>
      </c>
      <c r="CB25" t="s">
        <v>1991</v>
      </c>
      <c r="CC25" t="s">
        <v>2423</v>
      </c>
      <c r="CD25" t="s">
        <v>7703</v>
      </c>
      <c r="CE25" t="s">
        <v>1540</v>
      </c>
      <c r="CF25" t="s">
        <v>6273</v>
      </c>
      <c r="CG25" t="s">
        <v>2763</v>
      </c>
      <c r="CH25" t="s">
        <v>7068</v>
      </c>
      <c r="CJ25" t="s">
        <v>4111</v>
      </c>
      <c r="CK25" t="s">
        <v>6364</v>
      </c>
      <c r="CL25" t="s">
        <v>6070</v>
      </c>
      <c r="CM25" t="s">
        <v>577</v>
      </c>
      <c r="CN25" t="s">
        <v>7438</v>
      </c>
      <c r="CO25" t="s">
        <v>5382</v>
      </c>
      <c r="CP25" t="s">
        <v>6813</v>
      </c>
      <c r="CQ25" t="s">
        <v>7217</v>
      </c>
      <c r="CR25" t="s">
        <v>7752</v>
      </c>
      <c r="CT25" t="s">
        <v>2096</v>
      </c>
      <c r="CU25" t="s">
        <v>7470</v>
      </c>
      <c r="CV25" t="s">
        <v>4187</v>
      </c>
      <c r="CW25" t="s">
        <v>7844</v>
      </c>
      <c r="CX25" t="s">
        <v>5692</v>
      </c>
      <c r="CY25" t="s">
        <v>5766</v>
      </c>
      <c r="CZ25" t="s">
        <v>7887</v>
      </c>
      <c r="DA25" t="s">
        <v>1103</v>
      </c>
      <c r="DB25" t="s">
        <v>7984</v>
      </c>
      <c r="DC25" t="s">
        <v>2543</v>
      </c>
    </row>
    <row r="26" spans="1:107" x14ac:dyDescent="0.35">
      <c r="A26" t="s">
        <v>6469</v>
      </c>
      <c r="B26" t="s">
        <v>4675</v>
      </c>
      <c r="C26" t="s">
        <v>4322</v>
      </c>
      <c r="D26" t="s">
        <v>6838</v>
      </c>
      <c r="E26" t="s">
        <v>4368</v>
      </c>
      <c r="F26" t="s">
        <v>4861</v>
      </c>
      <c r="G26" t="s">
        <v>1152</v>
      </c>
      <c r="H26" t="s">
        <v>5847</v>
      </c>
      <c r="J26" t="s">
        <v>7544</v>
      </c>
      <c r="K26" t="s">
        <v>1269</v>
      </c>
      <c r="L26" t="s">
        <v>35</v>
      </c>
      <c r="M26" t="s">
        <v>4977</v>
      </c>
      <c r="N26" t="s">
        <v>1697</v>
      </c>
      <c r="O26" t="s">
        <v>7102</v>
      </c>
      <c r="P26" t="s">
        <v>3074</v>
      </c>
      <c r="T26" t="s">
        <v>4542</v>
      </c>
      <c r="U26" t="s">
        <v>1346</v>
      </c>
      <c r="V26" t="s">
        <v>6529</v>
      </c>
      <c r="W26" t="s">
        <v>752</v>
      </c>
      <c r="X26" t="s">
        <v>322</v>
      </c>
      <c r="Y26" t="s">
        <v>3278</v>
      </c>
      <c r="Z26" t="s">
        <v>832</v>
      </c>
      <c r="AA26" t="s">
        <v>3424</v>
      </c>
      <c r="AB26" t="s">
        <v>980</v>
      </c>
      <c r="AC26" t="s">
        <v>5051</v>
      </c>
      <c r="AE26" t="s">
        <v>4400</v>
      </c>
      <c r="AG26" t="s">
        <v>6873</v>
      </c>
      <c r="AH26" t="s">
        <v>5916</v>
      </c>
      <c r="AI26" t="s">
        <v>1772</v>
      </c>
      <c r="AJ26" t="s">
        <v>2230</v>
      </c>
      <c r="AK26" t="s">
        <v>56</v>
      </c>
      <c r="AL26" t="s">
        <v>2018</v>
      </c>
      <c r="AM26" t="s">
        <v>6913</v>
      </c>
      <c r="AN26" t="s">
        <v>2669</v>
      </c>
      <c r="AO26" t="s">
        <v>4624</v>
      </c>
      <c r="AP26" t="s">
        <v>426</v>
      </c>
      <c r="AQ26" t="s">
        <v>2733</v>
      </c>
      <c r="AR26" t="s">
        <v>2319</v>
      </c>
      <c r="AS26" t="s">
        <v>5976</v>
      </c>
      <c r="AT26" t="s">
        <v>3536</v>
      </c>
      <c r="AV26" t="s">
        <v>3619</v>
      </c>
      <c r="AW26" t="s">
        <v>6958</v>
      </c>
      <c r="AX26" t="s">
        <v>4439</v>
      </c>
      <c r="AY26" t="s">
        <v>3678</v>
      </c>
      <c r="BA26" t="s">
        <v>623</v>
      </c>
      <c r="BB26" t="s">
        <v>6603</v>
      </c>
      <c r="BC26" t="s">
        <v>3741</v>
      </c>
      <c r="BD26" t="s">
        <v>1801</v>
      </c>
      <c r="BE26" t="s">
        <v>3873</v>
      </c>
      <c r="BF26" t="s">
        <v>1450</v>
      </c>
      <c r="BG26" t="s">
        <v>5297</v>
      </c>
      <c r="BH26" t="s">
        <v>6115</v>
      </c>
      <c r="BI26" t="s">
        <v>6188</v>
      </c>
      <c r="BJ26" t="s">
        <v>7604</v>
      </c>
      <c r="BK26" t="s">
        <v>6709</v>
      </c>
      <c r="BL26" t="s">
        <v>1847</v>
      </c>
      <c r="BM26" t="s">
        <v>3928</v>
      </c>
      <c r="BN26" t="s">
        <v>7381</v>
      </c>
      <c r="BO26" t="s">
        <v>4494</v>
      </c>
      <c r="BP26" t="s">
        <v>533</v>
      </c>
      <c r="BQ26" t="s">
        <v>1890</v>
      </c>
      <c r="BR26" t="s">
        <v>7007</v>
      </c>
      <c r="BT26" t="s">
        <v>2043</v>
      </c>
      <c r="BU26" t="s">
        <v>654</v>
      </c>
      <c r="BY26" t="s">
        <v>1007</v>
      </c>
      <c r="BZ26" t="s">
        <v>1952</v>
      </c>
      <c r="CA26" t="s">
        <v>2352</v>
      </c>
      <c r="CB26" t="s">
        <v>1992</v>
      </c>
      <c r="CC26" t="s">
        <v>2424</v>
      </c>
      <c r="CD26" t="s">
        <v>7704</v>
      </c>
      <c r="CE26" t="s">
        <v>1541</v>
      </c>
      <c r="CF26" t="s">
        <v>6274</v>
      </c>
      <c r="CG26" t="s">
        <v>2764</v>
      </c>
      <c r="CH26" t="s">
        <v>7069</v>
      </c>
      <c r="CJ26" t="s">
        <v>4112</v>
      </c>
      <c r="CK26" t="s">
        <v>6365</v>
      </c>
      <c r="CL26" t="s">
        <v>6071</v>
      </c>
      <c r="CM26" t="s">
        <v>578</v>
      </c>
      <c r="CN26" t="s">
        <v>7439</v>
      </c>
      <c r="CO26" t="s">
        <v>5383</v>
      </c>
      <c r="CP26" t="s">
        <v>6814</v>
      </c>
      <c r="CQ26" t="s">
        <v>7218</v>
      </c>
      <c r="CR26" t="s">
        <v>7753</v>
      </c>
      <c r="CT26" t="s">
        <v>2097</v>
      </c>
      <c r="CU26" t="s">
        <v>7471</v>
      </c>
      <c r="CV26" t="s">
        <v>4188</v>
      </c>
      <c r="CW26" t="s">
        <v>7845</v>
      </c>
      <c r="CX26" t="s">
        <v>5693</v>
      </c>
      <c r="CY26" t="s">
        <v>5767</v>
      </c>
      <c r="CZ26" t="s">
        <v>7888</v>
      </c>
      <c r="DA26" t="s">
        <v>1104</v>
      </c>
      <c r="DB26" t="s">
        <v>7985</v>
      </c>
      <c r="DC26" t="s">
        <v>2544</v>
      </c>
    </row>
    <row r="27" spans="1:107" x14ac:dyDescent="0.35">
      <c r="A27" t="s">
        <v>6470</v>
      </c>
      <c r="B27" t="s">
        <v>4676</v>
      </c>
      <c r="C27" t="s">
        <v>4323</v>
      </c>
      <c r="D27" t="s">
        <v>6839</v>
      </c>
      <c r="E27" t="s">
        <v>4369</v>
      </c>
      <c r="F27" t="s">
        <v>4862</v>
      </c>
      <c r="G27" t="s">
        <v>1153</v>
      </c>
      <c r="H27" t="s">
        <v>5848</v>
      </c>
      <c r="J27" t="s">
        <v>7545</v>
      </c>
      <c r="K27" t="s">
        <v>1270</v>
      </c>
      <c r="L27" t="s">
        <v>2832</v>
      </c>
      <c r="M27" t="s">
        <v>4978</v>
      </c>
      <c r="N27" t="s">
        <v>1698</v>
      </c>
      <c r="O27" t="s">
        <v>7103</v>
      </c>
      <c r="P27" t="s">
        <v>3075</v>
      </c>
      <c r="T27" t="s">
        <v>4543</v>
      </c>
      <c r="U27" t="s">
        <v>1347</v>
      </c>
      <c r="V27" t="s">
        <v>6530</v>
      </c>
      <c r="W27" t="s">
        <v>753</v>
      </c>
      <c r="X27" t="s">
        <v>323</v>
      </c>
      <c r="Y27" t="s">
        <v>3279</v>
      </c>
      <c r="Z27" t="s">
        <v>833</v>
      </c>
      <c r="AA27" t="s">
        <v>3425</v>
      </c>
      <c r="AB27" t="s">
        <v>981</v>
      </c>
      <c r="AC27" t="s">
        <v>5052</v>
      </c>
      <c r="AE27" t="s">
        <v>4401</v>
      </c>
      <c r="AG27" t="s">
        <v>6874</v>
      </c>
      <c r="AH27" t="s">
        <v>5917</v>
      </c>
      <c r="AI27" t="s">
        <v>1773</v>
      </c>
      <c r="AJ27" t="s">
        <v>2231</v>
      </c>
      <c r="AK27" t="s">
        <v>2603</v>
      </c>
      <c r="AM27" t="s">
        <v>6914</v>
      </c>
      <c r="AN27" t="s">
        <v>2670</v>
      </c>
      <c r="AO27" t="s">
        <v>4625</v>
      </c>
      <c r="AP27" t="s">
        <v>427</v>
      </c>
      <c r="AQ27" t="s">
        <v>2734</v>
      </c>
      <c r="AR27" t="s">
        <v>2320</v>
      </c>
      <c r="AS27" t="s">
        <v>5977</v>
      </c>
      <c r="AT27" t="s">
        <v>3537</v>
      </c>
      <c r="AV27" t="s">
        <v>3620</v>
      </c>
      <c r="AW27" t="s">
        <v>6959</v>
      </c>
      <c r="AX27" t="s">
        <v>4440</v>
      </c>
      <c r="AY27" t="s">
        <v>3679</v>
      </c>
      <c r="BA27" t="s">
        <v>624</v>
      </c>
      <c r="BB27" t="s">
        <v>6604</v>
      </c>
      <c r="BC27" t="s">
        <v>3742</v>
      </c>
      <c r="BD27" t="s">
        <v>1802</v>
      </c>
      <c r="BE27" t="s">
        <v>3874</v>
      </c>
      <c r="BF27" t="s">
        <v>1451</v>
      </c>
      <c r="BG27" t="s">
        <v>5298</v>
      </c>
      <c r="BH27" t="s">
        <v>6116</v>
      </c>
      <c r="BI27" t="s">
        <v>6189</v>
      </c>
      <c r="BJ27" t="s">
        <v>7605</v>
      </c>
      <c r="BK27" t="s">
        <v>151</v>
      </c>
      <c r="BL27" t="s">
        <v>66</v>
      </c>
      <c r="BM27" t="s">
        <v>3929</v>
      </c>
      <c r="BN27" t="s">
        <v>7382</v>
      </c>
      <c r="BO27" t="s">
        <v>4495</v>
      </c>
      <c r="BP27" t="s">
        <v>534</v>
      </c>
      <c r="BQ27" t="s">
        <v>1891</v>
      </c>
      <c r="BR27" t="s">
        <v>7008</v>
      </c>
      <c r="BT27" t="s">
        <v>2044</v>
      </c>
      <c r="BU27" t="s">
        <v>655</v>
      </c>
      <c r="BY27" t="s">
        <v>1008</v>
      </c>
      <c r="BZ27" t="s">
        <v>1953</v>
      </c>
      <c r="CA27" t="s">
        <v>2353</v>
      </c>
      <c r="CB27" t="s">
        <v>1993</v>
      </c>
      <c r="CC27" t="s">
        <v>2425</v>
      </c>
      <c r="CD27" t="s">
        <v>7705</v>
      </c>
      <c r="CE27" t="s">
        <v>1542</v>
      </c>
      <c r="CF27" t="s">
        <v>6275</v>
      </c>
      <c r="CG27" t="s">
        <v>2765</v>
      </c>
      <c r="CH27" t="s">
        <v>7070</v>
      </c>
      <c r="CJ27" t="s">
        <v>4113</v>
      </c>
      <c r="CK27" t="s">
        <v>6366</v>
      </c>
      <c r="CL27" t="s">
        <v>6072</v>
      </c>
      <c r="CM27" t="s">
        <v>579</v>
      </c>
      <c r="CN27" t="s">
        <v>7440</v>
      </c>
      <c r="CO27" t="s">
        <v>5384</v>
      </c>
      <c r="CQ27" t="s">
        <v>7219</v>
      </c>
      <c r="CR27" t="s">
        <v>7754</v>
      </c>
      <c r="CT27" t="s">
        <v>2098</v>
      </c>
      <c r="CU27" t="s">
        <v>7472</v>
      </c>
      <c r="CV27" t="s">
        <v>4189</v>
      </c>
      <c r="CW27" t="s">
        <v>7846</v>
      </c>
      <c r="CX27" t="s">
        <v>5694</v>
      </c>
      <c r="CY27" t="s">
        <v>5768</v>
      </c>
      <c r="CZ27" t="s">
        <v>7889</v>
      </c>
      <c r="DA27" t="s">
        <v>1105</v>
      </c>
      <c r="DB27" t="s">
        <v>7986</v>
      </c>
      <c r="DC27" t="s">
        <v>2545</v>
      </c>
    </row>
    <row r="28" spans="1:107" x14ac:dyDescent="0.35">
      <c r="A28" t="s">
        <v>6471</v>
      </c>
      <c r="B28" t="s">
        <v>4677</v>
      </c>
      <c r="C28" t="s">
        <v>4324</v>
      </c>
      <c r="D28" t="s">
        <v>6840</v>
      </c>
      <c r="E28" t="s">
        <v>4370</v>
      </c>
      <c r="F28" t="s">
        <v>4863</v>
      </c>
      <c r="G28" t="s">
        <v>1154</v>
      </c>
      <c r="H28" t="s">
        <v>5849</v>
      </c>
      <c r="J28" t="s">
        <v>7546</v>
      </c>
      <c r="K28" t="s">
        <v>1271</v>
      </c>
      <c r="L28" t="s">
        <v>2833</v>
      </c>
      <c r="M28" t="s">
        <v>4979</v>
      </c>
      <c r="N28" t="s">
        <v>1699</v>
      </c>
      <c r="O28" t="s">
        <v>7104</v>
      </c>
      <c r="P28" t="s">
        <v>3076</v>
      </c>
      <c r="T28" t="s">
        <v>4544</v>
      </c>
      <c r="U28" t="s">
        <v>1348</v>
      </c>
      <c r="V28" t="s">
        <v>6531</v>
      </c>
      <c r="W28" t="s">
        <v>754</v>
      </c>
      <c r="X28" t="s">
        <v>324</v>
      </c>
      <c r="Y28" t="s">
        <v>3280</v>
      </c>
      <c r="Z28" t="s">
        <v>834</v>
      </c>
      <c r="AA28" t="s">
        <v>3426</v>
      </c>
      <c r="AB28" t="s">
        <v>982</v>
      </c>
      <c r="AC28" t="s">
        <v>5053</v>
      </c>
      <c r="AE28" t="s">
        <v>4402</v>
      </c>
      <c r="AG28" t="s">
        <v>6875</v>
      </c>
      <c r="AH28" t="s">
        <v>5918</v>
      </c>
      <c r="AI28" t="s">
        <v>1774</v>
      </c>
      <c r="AJ28" t="s">
        <v>2232</v>
      </c>
      <c r="AK28" t="s">
        <v>2604</v>
      </c>
      <c r="AM28" t="s">
        <v>6915</v>
      </c>
      <c r="AN28" t="s">
        <v>2671</v>
      </c>
      <c r="AO28" t="s">
        <v>4626</v>
      </c>
      <c r="AP28" t="s">
        <v>428</v>
      </c>
      <c r="AQ28" t="s">
        <v>2735</v>
      </c>
      <c r="AR28" t="s">
        <v>2321</v>
      </c>
      <c r="AS28" t="s">
        <v>5978</v>
      </c>
      <c r="AT28" t="s">
        <v>3538</v>
      </c>
      <c r="AV28" t="s">
        <v>3621</v>
      </c>
      <c r="AW28" t="s">
        <v>6960</v>
      </c>
      <c r="AX28" t="s">
        <v>4441</v>
      </c>
      <c r="AY28" t="s">
        <v>3680</v>
      </c>
      <c r="BA28" t="s">
        <v>625</v>
      </c>
      <c r="BB28" t="s">
        <v>6605</v>
      </c>
      <c r="BC28" t="s">
        <v>3743</v>
      </c>
      <c r="BD28" t="s">
        <v>1803</v>
      </c>
      <c r="BE28" t="s">
        <v>3875</v>
      </c>
      <c r="BF28" t="s">
        <v>1452</v>
      </c>
      <c r="BG28" t="s">
        <v>5299</v>
      </c>
      <c r="BH28" t="s">
        <v>6117</v>
      </c>
      <c r="BI28" t="s">
        <v>6190</v>
      </c>
      <c r="BJ28" t="s">
        <v>7606</v>
      </c>
      <c r="BK28" t="s">
        <v>6710</v>
      </c>
      <c r="BL28" t="s">
        <v>1848</v>
      </c>
      <c r="BM28" t="s">
        <v>3930</v>
      </c>
      <c r="BN28" t="s">
        <v>7383</v>
      </c>
      <c r="BO28" t="s">
        <v>4496</v>
      </c>
      <c r="BP28" t="s">
        <v>535</v>
      </c>
      <c r="BQ28" t="s">
        <v>1892</v>
      </c>
      <c r="BR28" t="s">
        <v>7009</v>
      </c>
      <c r="BT28" t="s">
        <v>2045</v>
      </c>
      <c r="BU28" t="s">
        <v>656</v>
      </c>
      <c r="BY28" t="s">
        <v>1009</v>
      </c>
      <c r="BZ28" t="s">
        <v>1954</v>
      </c>
      <c r="CA28" t="s">
        <v>2354</v>
      </c>
      <c r="CB28" t="s">
        <v>1994</v>
      </c>
      <c r="CC28" t="s">
        <v>2426</v>
      </c>
      <c r="CD28" t="s">
        <v>7706</v>
      </c>
      <c r="CE28" t="s">
        <v>1543</v>
      </c>
      <c r="CF28" t="s">
        <v>6276</v>
      </c>
      <c r="CG28" t="s">
        <v>2766</v>
      </c>
      <c r="CH28" t="s">
        <v>7071</v>
      </c>
      <c r="CJ28" t="s">
        <v>4114</v>
      </c>
      <c r="CK28" t="s">
        <v>6367</v>
      </c>
      <c r="CL28" t="s">
        <v>6073</v>
      </c>
      <c r="CM28" t="s">
        <v>580</v>
      </c>
      <c r="CN28" t="s">
        <v>7441</v>
      </c>
      <c r="CO28" t="s">
        <v>5385</v>
      </c>
      <c r="CQ28" t="s">
        <v>7220</v>
      </c>
      <c r="CR28" t="s">
        <v>7755</v>
      </c>
      <c r="CT28" t="s">
        <v>2099</v>
      </c>
      <c r="CU28" t="s">
        <v>7473</v>
      </c>
      <c r="CV28" t="s">
        <v>4190</v>
      </c>
      <c r="CW28" t="s">
        <v>7847</v>
      </c>
      <c r="CX28" t="s">
        <v>5695</v>
      </c>
      <c r="CY28" t="s">
        <v>5769</v>
      </c>
      <c r="CZ28" t="s">
        <v>7890</v>
      </c>
      <c r="DA28" t="s">
        <v>1106</v>
      </c>
      <c r="DB28" t="s">
        <v>7987</v>
      </c>
      <c r="DC28" t="s">
        <v>2546</v>
      </c>
    </row>
    <row r="29" spans="1:107" x14ac:dyDescent="0.35">
      <c r="A29" t="s">
        <v>6472</v>
      </c>
      <c r="B29" t="s">
        <v>4678</v>
      </c>
      <c r="C29" t="s">
        <v>4325</v>
      </c>
      <c r="D29" t="s">
        <v>6841</v>
      </c>
      <c r="E29" t="s">
        <v>4371</v>
      </c>
      <c r="F29" t="s">
        <v>4864</v>
      </c>
      <c r="G29" t="s">
        <v>1155</v>
      </c>
      <c r="H29" t="s">
        <v>5850</v>
      </c>
      <c r="J29" t="s">
        <v>7547</v>
      </c>
      <c r="K29" t="s">
        <v>1272</v>
      </c>
      <c r="L29" t="s">
        <v>2834</v>
      </c>
      <c r="M29" t="s">
        <v>4980</v>
      </c>
      <c r="N29" t="s">
        <v>1700</v>
      </c>
      <c r="O29" t="s">
        <v>7105</v>
      </c>
      <c r="P29" t="s">
        <v>3077</v>
      </c>
      <c r="T29" t="s">
        <v>4545</v>
      </c>
      <c r="U29" t="s">
        <v>1349</v>
      </c>
      <c r="V29" t="s">
        <v>6532</v>
      </c>
      <c r="W29" t="s">
        <v>755</v>
      </c>
      <c r="X29" t="s">
        <v>325</v>
      </c>
      <c r="Y29" t="s">
        <v>3281</v>
      </c>
      <c r="Z29" t="s">
        <v>835</v>
      </c>
      <c r="AA29" t="s">
        <v>3427</v>
      </c>
      <c r="AC29" t="s">
        <v>5054</v>
      </c>
      <c r="AE29" t="s">
        <v>4403</v>
      </c>
      <c r="AG29" t="s">
        <v>6876</v>
      </c>
      <c r="AH29" t="s">
        <v>5919</v>
      </c>
      <c r="AI29" t="s">
        <v>1775</v>
      </c>
      <c r="AJ29" t="s">
        <v>2233</v>
      </c>
      <c r="AK29" t="s">
        <v>2605</v>
      </c>
      <c r="AM29" t="s">
        <v>6916</v>
      </c>
      <c r="AN29" t="s">
        <v>2672</v>
      </c>
      <c r="AO29" t="s">
        <v>4627</v>
      </c>
      <c r="AP29" t="s">
        <v>429</v>
      </c>
      <c r="AQ29" t="s">
        <v>2736</v>
      </c>
      <c r="AR29" t="s">
        <v>2322</v>
      </c>
      <c r="AS29" t="s">
        <v>5979</v>
      </c>
      <c r="AT29" t="s">
        <v>3539</v>
      </c>
      <c r="AV29" t="s">
        <v>3622</v>
      </c>
      <c r="AW29" t="s">
        <v>6961</v>
      </c>
      <c r="AX29" t="s">
        <v>4442</v>
      </c>
      <c r="AY29" t="s">
        <v>283</v>
      </c>
      <c r="BA29" t="s">
        <v>626</v>
      </c>
      <c r="BB29" t="s">
        <v>6606</v>
      </c>
      <c r="BC29" t="s">
        <v>3744</v>
      </c>
      <c r="BD29" t="s">
        <v>1804</v>
      </c>
      <c r="BE29" t="s">
        <v>3876</v>
      </c>
      <c r="BF29" t="s">
        <v>1453</v>
      </c>
      <c r="BG29" t="s">
        <v>5300</v>
      </c>
      <c r="BH29" t="s">
        <v>6118</v>
      </c>
      <c r="BI29" t="s">
        <v>6191</v>
      </c>
      <c r="BJ29" t="s">
        <v>7607</v>
      </c>
      <c r="BK29" t="s">
        <v>6711</v>
      </c>
      <c r="BL29" t="s">
        <v>1849</v>
      </c>
      <c r="BM29" t="s">
        <v>3931</v>
      </c>
      <c r="BN29" t="s">
        <v>7384</v>
      </c>
      <c r="BO29" t="s">
        <v>4497</v>
      </c>
      <c r="BP29" t="s">
        <v>249</v>
      </c>
      <c r="BQ29" t="s">
        <v>1893</v>
      </c>
      <c r="BR29" t="s">
        <v>7010</v>
      </c>
      <c r="BT29" t="s">
        <v>2046</v>
      </c>
      <c r="BU29" t="s">
        <v>657</v>
      </c>
      <c r="BY29" t="s">
        <v>1010</v>
      </c>
      <c r="BZ29" t="s">
        <v>287</v>
      </c>
      <c r="CA29" t="s">
        <v>2355</v>
      </c>
      <c r="CC29" t="s">
        <v>2427</v>
      </c>
      <c r="CD29" t="s">
        <v>7707</v>
      </c>
      <c r="CE29" t="s">
        <v>1544</v>
      </c>
      <c r="CF29" t="s">
        <v>6277</v>
      </c>
      <c r="CG29" t="s">
        <v>2767</v>
      </c>
      <c r="CH29" t="s">
        <v>7072</v>
      </c>
      <c r="CJ29" t="s">
        <v>4115</v>
      </c>
      <c r="CK29" t="s">
        <v>6368</v>
      </c>
      <c r="CL29" t="s">
        <v>280</v>
      </c>
      <c r="CM29" t="s">
        <v>581</v>
      </c>
      <c r="CN29" t="s">
        <v>7442</v>
      </c>
      <c r="CO29" t="s">
        <v>5386</v>
      </c>
      <c r="CQ29" t="s">
        <v>7221</v>
      </c>
      <c r="CR29" t="s">
        <v>296</v>
      </c>
      <c r="CT29" t="s">
        <v>2100</v>
      </c>
      <c r="CU29" t="s">
        <v>7474</v>
      </c>
      <c r="CV29" t="s">
        <v>4191</v>
      </c>
      <c r="CW29" t="s">
        <v>7848</v>
      </c>
      <c r="CX29" t="s">
        <v>5696</v>
      </c>
      <c r="CY29" t="s">
        <v>5770</v>
      </c>
      <c r="CZ29" t="s">
        <v>7891</v>
      </c>
      <c r="DA29" t="s">
        <v>1107</v>
      </c>
      <c r="DB29" t="s">
        <v>7988</v>
      </c>
      <c r="DC29" t="s">
        <v>2547</v>
      </c>
    </row>
    <row r="30" spans="1:107" x14ac:dyDescent="0.35">
      <c r="A30" t="s">
        <v>6473</v>
      </c>
      <c r="B30" t="s">
        <v>4679</v>
      </c>
      <c r="C30" t="s">
        <v>4326</v>
      </c>
      <c r="D30" t="s">
        <v>6842</v>
      </c>
      <c r="E30" t="s">
        <v>4372</v>
      </c>
      <c r="F30" t="s">
        <v>4865</v>
      </c>
      <c r="G30" t="s">
        <v>1156</v>
      </c>
      <c r="H30" t="s">
        <v>5851</v>
      </c>
      <c r="J30" t="s">
        <v>7548</v>
      </c>
      <c r="K30" t="s">
        <v>1273</v>
      </c>
      <c r="L30" t="s">
        <v>2835</v>
      </c>
      <c r="M30" t="s">
        <v>4981</v>
      </c>
      <c r="N30" t="s">
        <v>1701</v>
      </c>
      <c r="O30" t="s">
        <v>7106</v>
      </c>
      <c r="P30" t="s">
        <v>46</v>
      </c>
      <c r="T30" t="s">
        <v>4546</v>
      </c>
      <c r="U30" t="s">
        <v>1350</v>
      </c>
      <c r="V30" t="s">
        <v>158</v>
      </c>
      <c r="W30" t="s">
        <v>756</v>
      </c>
      <c r="X30" t="s">
        <v>326</v>
      </c>
      <c r="Y30" t="s">
        <v>3282</v>
      </c>
      <c r="Z30" t="s">
        <v>836</v>
      </c>
      <c r="AA30" t="s">
        <v>3428</v>
      </c>
      <c r="AC30" t="s">
        <v>5055</v>
      </c>
      <c r="AE30" t="s">
        <v>4404</v>
      </c>
      <c r="AG30" t="s">
        <v>6877</v>
      </c>
      <c r="AH30" t="s">
        <v>5920</v>
      </c>
      <c r="AI30" t="s">
        <v>1776</v>
      </c>
      <c r="AJ30" t="s">
        <v>2234</v>
      </c>
      <c r="AK30" t="s">
        <v>2606</v>
      </c>
      <c r="AN30" t="s">
        <v>2673</v>
      </c>
      <c r="AO30" t="s">
        <v>4628</v>
      </c>
      <c r="AP30" t="s">
        <v>430</v>
      </c>
      <c r="AQ30" t="s">
        <v>2737</v>
      </c>
      <c r="AR30" t="s">
        <v>2323</v>
      </c>
      <c r="AS30" t="s">
        <v>5980</v>
      </c>
      <c r="AT30" t="s">
        <v>3540</v>
      </c>
      <c r="AV30" t="s">
        <v>3623</v>
      </c>
      <c r="AW30" t="s">
        <v>6962</v>
      </c>
      <c r="AX30" t="s">
        <v>4443</v>
      </c>
      <c r="AY30" t="s">
        <v>3681</v>
      </c>
      <c r="BA30" t="s">
        <v>627</v>
      </c>
      <c r="BB30" t="s">
        <v>6607</v>
      </c>
      <c r="BC30" t="s">
        <v>3745</v>
      </c>
      <c r="BD30" t="s">
        <v>1805</v>
      </c>
      <c r="BE30" t="s">
        <v>3877</v>
      </c>
      <c r="BF30" t="s">
        <v>1454</v>
      </c>
      <c r="BG30" t="s">
        <v>5301</v>
      </c>
      <c r="BH30" t="s">
        <v>6119</v>
      </c>
      <c r="BI30" t="s">
        <v>6192</v>
      </c>
      <c r="BJ30" t="s">
        <v>7608</v>
      </c>
      <c r="BK30" t="s">
        <v>6712</v>
      </c>
      <c r="BL30" t="s">
        <v>1850</v>
      </c>
      <c r="BM30" t="s">
        <v>3932</v>
      </c>
      <c r="BN30" t="s">
        <v>7385</v>
      </c>
      <c r="BO30" t="s">
        <v>4498</v>
      </c>
      <c r="BP30" t="s">
        <v>536</v>
      </c>
      <c r="BQ30" t="s">
        <v>1894</v>
      </c>
      <c r="BR30" t="s">
        <v>7011</v>
      </c>
      <c r="BT30" t="s">
        <v>2047</v>
      </c>
      <c r="BU30" t="s">
        <v>658</v>
      </c>
      <c r="BY30" t="s">
        <v>1011</v>
      </c>
      <c r="BZ30" t="s">
        <v>1955</v>
      </c>
      <c r="CA30" t="s">
        <v>2356</v>
      </c>
      <c r="CC30" t="s">
        <v>2428</v>
      </c>
      <c r="CD30" t="s">
        <v>7708</v>
      </c>
      <c r="CE30" t="s">
        <v>1545</v>
      </c>
      <c r="CF30" t="s">
        <v>6278</v>
      </c>
      <c r="CG30" t="s">
        <v>2768</v>
      </c>
      <c r="CH30" t="s">
        <v>7073</v>
      </c>
      <c r="CJ30" t="s">
        <v>4116</v>
      </c>
      <c r="CK30" t="s">
        <v>6369</v>
      </c>
      <c r="CL30" t="s">
        <v>6074</v>
      </c>
      <c r="CM30" t="s">
        <v>582</v>
      </c>
      <c r="CN30" t="s">
        <v>7443</v>
      </c>
      <c r="CO30" t="s">
        <v>5387</v>
      </c>
      <c r="CQ30" t="s">
        <v>7222</v>
      </c>
      <c r="CR30" t="s">
        <v>7756</v>
      </c>
      <c r="CT30" t="s">
        <v>2101</v>
      </c>
      <c r="CU30" t="s">
        <v>7475</v>
      </c>
      <c r="CV30" t="s">
        <v>4192</v>
      </c>
      <c r="CW30" t="s">
        <v>7849</v>
      </c>
      <c r="CX30" t="s">
        <v>5697</v>
      </c>
      <c r="CY30" t="s">
        <v>5771</v>
      </c>
      <c r="CZ30" t="s">
        <v>7892</v>
      </c>
      <c r="DA30" t="s">
        <v>1108</v>
      </c>
      <c r="DB30" t="s">
        <v>7989</v>
      </c>
      <c r="DC30" t="s">
        <v>2548</v>
      </c>
    </row>
    <row r="31" spans="1:107" x14ac:dyDescent="0.35">
      <c r="A31" t="s">
        <v>6474</v>
      </c>
      <c r="B31" t="s">
        <v>4680</v>
      </c>
      <c r="C31" t="s">
        <v>4327</v>
      </c>
      <c r="D31" t="s">
        <v>6843</v>
      </c>
      <c r="E31" t="s">
        <v>4373</v>
      </c>
      <c r="F31" t="s">
        <v>4866</v>
      </c>
      <c r="G31" t="s">
        <v>1157</v>
      </c>
      <c r="H31" t="s">
        <v>5852</v>
      </c>
      <c r="J31" t="s">
        <v>7549</v>
      </c>
      <c r="K31" t="s">
        <v>1274</v>
      </c>
      <c r="L31" t="s">
        <v>2836</v>
      </c>
      <c r="M31" t="s">
        <v>4982</v>
      </c>
      <c r="N31" t="s">
        <v>1702</v>
      </c>
      <c r="O31" t="s">
        <v>7107</v>
      </c>
      <c r="P31" t="s">
        <v>3078</v>
      </c>
      <c r="T31" t="s">
        <v>4547</v>
      </c>
      <c r="U31" t="s">
        <v>1351</v>
      </c>
      <c r="V31" t="s">
        <v>6533</v>
      </c>
      <c r="W31" t="s">
        <v>757</v>
      </c>
      <c r="X31" t="s">
        <v>327</v>
      </c>
      <c r="Y31" t="s">
        <v>3283</v>
      </c>
      <c r="Z31" t="s">
        <v>837</v>
      </c>
      <c r="AA31" t="s">
        <v>3429</v>
      </c>
      <c r="AC31" t="s">
        <v>5056</v>
      </c>
      <c r="AE31" t="s">
        <v>4405</v>
      </c>
      <c r="AG31" t="s">
        <v>6878</v>
      </c>
      <c r="AH31" t="s">
        <v>5921</v>
      </c>
      <c r="AI31" t="s">
        <v>1777</v>
      </c>
      <c r="AJ31" t="s">
        <v>2235</v>
      </c>
      <c r="AK31" t="s">
        <v>2607</v>
      </c>
      <c r="AN31" t="s">
        <v>241</v>
      </c>
      <c r="AO31" t="s">
        <v>4629</v>
      </c>
      <c r="AP31" t="s">
        <v>431</v>
      </c>
      <c r="AQ31" t="s">
        <v>2738</v>
      </c>
      <c r="AR31" t="s">
        <v>2324</v>
      </c>
      <c r="AS31" t="s">
        <v>5981</v>
      </c>
      <c r="AT31" t="s">
        <v>3541</v>
      </c>
      <c r="AV31" t="s">
        <v>279</v>
      </c>
      <c r="AW31" t="s">
        <v>6963</v>
      </c>
      <c r="AX31" t="s">
        <v>4444</v>
      </c>
      <c r="AY31" t="s">
        <v>3682</v>
      </c>
      <c r="BA31" t="s">
        <v>628</v>
      </c>
      <c r="BB31" t="s">
        <v>6608</v>
      </c>
      <c r="BC31" t="s">
        <v>3746</v>
      </c>
      <c r="BD31" t="s">
        <v>1806</v>
      </c>
      <c r="BE31" t="s">
        <v>3878</v>
      </c>
      <c r="BF31" t="s">
        <v>1455</v>
      </c>
      <c r="BG31" t="s">
        <v>5302</v>
      </c>
      <c r="BH31" t="s">
        <v>6120</v>
      </c>
      <c r="BI31" t="s">
        <v>6193</v>
      </c>
      <c r="BJ31" t="s">
        <v>7609</v>
      </c>
      <c r="BK31" t="s">
        <v>6713</v>
      </c>
      <c r="BL31" t="s">
        <v>1851</v>
      </c>
      <c r="BM31" t="s">
        <v>3933</v>
      </c>
      <c r="BN31" t="s">
        <v>7386</v>
      </c>
      <c r="BO31" t="s">
        <v>4499</v>
      </c>
      <c r="BP31" t="s">
        <v>537</v>
      </c>
      <c r="BQ31" t="s">
        <v>278</v>
      </c>
      <c r="BR31" t="s">
        <v>7012</v>
      </c>
      <c r="BT31" t="s">
        <v>2048</v>
      </c>
      <c r="BU31" t="s">
        <v>659</v>
      </c>
      <c r="BY31" t="s">
        <v>1012</v>
      </c>
      <c r="BZ31" t="s">
        <v>1956</v>
      </c>
      <c r="CA31" t="s">
        <v>2357</v>
      </c>
      <c r="CC31" t="s">
        <v>2429</v>
      </c>
      <c r="CD31" t="s">
        <v>7709</v>
      </c>
      <c r="CE31" t="s">
        <v>1546</v>
      </c>
      <c r="CF31" t="s">
        <v>6279</v>
      </c>
      <c r="CG31" t="s">
        <v>2769</v>
      </c>
      <c r="CH31" t="s">
        <v>7074</v>
      </c>
      <c r="CJ31" t="s">
        <v>4117</v>
      </c>
      <c r="CK31" t="s">
        <v>6370</v>
      </c>
      <c r="CM31" t="s">
        <v>583</v>
      </c>
      <c r="CN31" t="s">
        <v>7444</v>
      </c>
      <c r="CO31" t="s">
        <v>5388</v>
      </c>
      <c r="CQ31" t="s">
        <v>7223</v>
      </c>
      <c r="CR31" t="s">
        <v>7757</v>
      </c>
      <c r="CT31" t="s">
        <v>2102</v>
      </c>
      <c r="CU31" t="s">
        <v>7476</v>
      </c>
      <c r="CV31" t="s">
        <v>4193</v>
      </c>
      <c r="CW31" t="s">
        <v>7850</v>
      </c>
      <c r="CX31" t="s">
        <v>5698</v>
      </c>
      <c r="CY31" t="s">
        <v>5772</v>
      </c>
      <c r="CZ31" t="s">
        <v>7893</v>
      </c>
      <c r="DA31" t="s">
        <v>1109</v>
      </c>
      <c r="DB31" t="s">
        <v>7990</v>
      </c>
      <c r="DC31" t="s">
        <v>2549</v>
      </c>
    </row>
    <row r="32" spans="1:107" x14ac:dyDescent="0.35">
      <c r="A32" t="s">
        <v>6475</v>
      </c>
      <c r="B32" t="s">
        <v>4681</v>
      </c>
      <c r="C32" t="s">
        <v>4328</v>
      </c>
      <c r="D32" t="s">
        <v>6844</v>
      </c>
      <c r="E32" t="s">
        <v>4374</v>
      </c>
      <c r="F32" t="s">
        <v>4867</v>
      </c>
      <c r="G32" t="s">
        <v>1158</v>
      </c>
      <c r="H32" t="s">
        <v>5853</v>
      </c>
      <c r="J32" t="s">
        <v>7550</v>
      </c>
      <c r="K32" t="s">
        <v>1275</v>
      </c>
      <c r="L32" t="s">
        <v>2837</v>
      </c>
      <c r="M32" t="s">
        <v>4983</v>
      </c>
      <c r="N32" t="s">
        <v>1703</v>
      </c>
      <c r="O32" t="s">
        <v>7108</v>
      </c>
      <c r="P32" t="s">
        <v>3079</v>
      </c>
      <c r="T32" t="s">
        <v>4548</v>
      </c>
      <c r="U32" t="s">
        <v>1352</v>
      </c>
      <c r="V32" t="s">
        <v>6534</v>
      </c>
      <c r="W32" t="s">
        <v>758</v>
      </c>
      <c r="X32" t="s">
        <v>328</v>
      </c>
      <c r="Y32" t="s">
        <v>3284</v>
      </c>
      <c r="Z32" t="s">
        <v>838</v>
      </c>
      <c r="AA32" t="s">
        <v>3430</v>
      </c>
      <c r="AC32" t="s">
        <v>5057</v>
      </c>
      <c r="AE32" t="s">
        <v>4406</v>
      </c>
      <c r="AG32" t="s">
        <v>6879</v>
      </c>
      <c r="AH32" t="s">
        <v>5922</v>
      </c>
      <c r="AJ32" t="s">
        <v>2236</v>
      </c>
      <c r="AK32" t="s">
        <v>2608</v>
      </c>
      <c r="AN32" t="s">
        <v>2674</v>
      </c>
      <c r="AO32" t="s">
        <v>4630</v>
      </c>
      <c r="AP32" t="s">
        <v>432</v>
      </c>
      <c r="AQ32" t="s">
        <v>2739</v>
      </c>
      <c r="AR32" t="s">
        <v>2325</v>
      </c>
      <c r="AS32" t="s">
        <v>5982</v>
      </c>
      <c r="AT32" t="s">
        <v>3542</v>
      </c>
      <c r="AV32" t="s">
        <v>3624</v>
      </c>
      <c r="AW32" t="s">
        <v>6964</v>
      </c>
      <c r="AX32" t="s">
        <v>4445</v>
      </c>
      <c r="AY32" t="s">
        <v>3683</v>
      </c>
      <c r="BA32" t="s">
        <v>629</v>
      </c>
      <c r="BB32" t="s">
        <v>6609</v>
      </c>
      <c r="BC32" t="s">
        <v>3747</v>
      </c>
      <c r="BD32" t="s">
        <v>1807</v>
      </c>
      <c r="BE32" t="s">
        <v>3879</v>
      </c>
      <c r="BF32" t="s">
        <v>1456</v>
      </c>
      <c r="BG32" t="s">
        <v>5303</v>
      </c>
      <c r="BH32" t="s">
        <v>6121</v>
      </c>
      <c r="BI32" t="s">
        <v>6194</v>
      </c>
      <c r="BJ32" t="s">
        <v>7610</v>
      </c>
      <c r="BK32" t="s">
        <v>6714</v>
      </c>
      <c r="BL32" t="s">
        <v>1852</v>
      </c>
      <c r="BM32" t="s">
        <v>3934</v>
      </c>
      <c r="BN32" t="s">
        <v>7387</v>
      </c>
      <c r="BO32" t="s">
        <v>4500</v>
      </c>
      <c r="BP32" t="s">
        <v>538</v>
      </c>
      <c r="BQ32" t="s">
        <v>1895</v>
      </c>
      <c r="BR32" t="s">
        <v>7013</v>
      </c>
      <c r="BT32" t="s">
        <v>239</v>
      </c>
      <c r="BU32" t="s">
        <v>660</v>
      </c>
      <c r="BY32" t="s">
        <v>1013</v>
      </c>
      <c r="BZ32" t="s">
        <v>1957</v>
      </c>
      <c r="CA32" t="s">
        <v>2358</v>
      </c>
      <c r="CC32" t="s">
        <v>2430</v>
      </c>
      <c r="CD32" t="s">
        <v>7710</v>
      </c>
      <c r="CE32" t="s">
        <v>1547</v>
      </c>
      <c r="CF32" t="s">
        <v>6280</v>
      </c>
      <c r="CG32" t="s">
        <v>2770</v>
      </c>
      <c r="CH32" t="s">
        <v>294</v>
      </c>
      <c r="CJ32" t="s">
        <v>4118</v>
      </c>
      <c r="CK32" t="s">
        <v>6371</v>
      </c>
      <c r="CM32" t="s">
        <v>584</v>
      </c>
      <c r="CN32" t="s">
        <v>7445</v>
      </c>
      <c r="CO32" t="s">
        <v>5389</v>
      </c>
      <c r="CQ32" t="s">
        <v>7224</v>
      </c>
      <c r="CR32" t="s">
        <v>7758</v>
      </c>
      <c r="CT32" t="s">
        <v>2103</v>
      </c>
      <c r="CU32" t="s">
        <v>7477</v>
      </c>
      <c r="CV32" t="s">
        <v>4194</v>
      </c>
      <c r="CW32" t="s">
        <v>7851</v>
      </c>
      <c r="CX32" t="s">
        <v>5699</v>
      </c>
      <c r="CY32" t="s">
        <v>5773</v>
      </c>
      <c r="CZ32" t="s">
        <v>7894</v>
      </c>
      <c r="DA32" t="s">
        <v>1110</v>
      </c>
      <c r="DB32" t="s">
        <v>7991</v>
      </c>
      <c r="DC32" t="s">
        <v>2550</v>
      </c>
    </row>
    <row r="33" spans="1:107" x14ac:dyDescent="0.35">
      <c r="A33" t="s">
        <v>6476</v>
      </c>
      <c r="B33" t="s">
        <v>4682</v>
      </c>
      <c r="C33" t="s">
        <v>4329</v>
      </c>
      <c r="D33" t="s">
        <v>6845</v>
      </c>
      <c r="E33" t="s">
        <v>4375</v>
      </c>
      <c r="F33" t="s">
        <v>4868</v>
      </c>
      <c r="G33" t="s">
        <v>1159</v>
      </c>
      <c r="H33" t="s">
        <v>5854</v>
      </c>
      <c r="J33" t="s">
        <v>7551</v>
      </c>
      <c r="K33" t="s">
        <v>1276</v>
      </c>
      <c r="L33" t="s">
        <v>2838</v>
      </c>
      <c r="M33" t="s">
        <v>4984</v>
      </c>
      <c r="N33" t="s">
        <v>1704</v>
      </c>
      <c r="O33" t="s">
        <v>7109</v>
      </c>
      <c r="P33" t="s">
        <v>3080</v>
      </c>
      <c r="T33" t="s">
        <v>4549</v>
      </c>
      <c r="U33" t="s">
        <v>1353</v>
      </c>
      <c r="V33" t="s">
        <v>6535</v>
      </c>
      <c r="W33" t="s">
        <v>759</v>
      </c>
      <c r="X33" t="s">
        <v>329</v>
      </c>
      <c r="Y33" t="s">
        <v>3285</v>
      </c>
      <c r="Z33" t="s">
        <v>839</v>
      </c>
      <c r="AA33" t="s">
        <v>3431</v>
      </c>
      <c r="AC33" t="s">
        <v>5058</v>
      </c>
      <c r="AE33" t="s">
        <v>4407</v>
      </c>
      <c r="AG33" t="s">
        <v>6880</v>
      </c>
      <c r="AH33" t="s">
        <v>5923</v>
      </c>
      <c r="AJ33" t="s">
        <v>2237</v>
      </c>
      <c r="AK33" t="s">
        <v>2609</v>
      </c>
      <c r="AN33" t="s">
        <v>2675</v>
      </c>
      <c r="AO33" t="s">
        <v>4631</v>
      </c>
      <c r="AP33" t="s">
        <v>433</v>
      </c>
      <c r="AQ33" t="s">
        <v>2740</v>
      </c>
      <c r="AR33" t="s">
        <v>2326</v>
      </c>
      <c r="AS33" t="s">
        <v>5983</v>
      </c>
      <c r="AT33" t="s">
        <v>3543</v>
      </c>
      <c r="AV33" t="s">
        <v>3625</v>
      </c>
      <c r="AW33" t="s">
        <v>6965</v>
      </c>
      <c r="AX33" t="s">
        <v>4446</v>
      </c>
      <c r="AY33" t="s">
        <v>3684</v>
      </c>
      <c r="BB33" t="s">
        <v>6610</v>
      </c>
      <c r="BC33" t="s">
        <v>3748</v>
      </c>
      <c r="BD33" t="s">
        <v>1808</v>
      </c>
      <c r="BE33" t="s">
        <v>3880</v>
      </c>
      <c r="BF33" t="s">
        <v>1457</v>
      </c>
      <c r="BG33" t="s">
        <v>5304</v>
      </c>
      <c r="BH33" t="s">
        <v>6122</v>
      </c>
      <c r="BI33" t="s">
        <v>6195</v>
      </c>
      <c r="BJ33" t="s">
        <v>7611</v>
      </c>
      <c r="BK33" t="s">
        <v>6715</v>
      </c>
      <c r="BL33" t="s">
        <v>1853</v>
      </c>
      <c r="BM33" t="s">
        <v>3935</v>
      </c>
      <c r="BN33" t="s">
        <v>7388</v>
      </c>
      <c r="BO33" t="s">
        <v>3359</v>
      </c>
      <c r="BP33" t="s">
        <v>539</v>
      </c>
      <c r="BQ33" t="s">
        <v>1896</v>
      </c>
      <c r="BR33" t="s">
        <v>7014</v>
      </c>
      <c r="BT33" t="s">
        <v>2049</v>
      </c>
      <c r="BU33" t="s">
        <v>661</v>
      </c>
      <c r="BY33" t="s">
        <v>1014</v>
      </c>
      <c r="BZ33" t="s">
        <v>1958</v>
      </c>
      <c r="CA33" t="s">
        <v>2359</v>
      </c>
      <c r="CC33" t="s">
        <v>2431</v>
      </c>
      <c r="CD33" t="s">
        <v>7711</v>
      </c>
      <c r="CE33" t="s">
        <v>1548</v>
      </c>
      <c r="CF33" t="s">
        <v>6281</v>
      </c>
      <c r="CG33" t="s">
        <v>2771</v>
      </c>
      <c r="CH33" t="s">
        <v>7075</v>
      </c>
      <c r="CJ33" t="s">
        <v>4119</v>
      </c>
      <c r="CK33" t="s">
        <v>6372</v>
      </c>
      <c r="CM33" t="s">
        <v>585</v>
      </c>
      <c r="CN33" t="s">
        <v>7446</v>
      </c>
      <c r="CO33" t="s">
        <v>5390</v>
      </c>
      <c r="CQ33" t="s">
        <v>7225</v>
      </c>
      <c r="CR33" t="s">
        <v>7759</v>
      </c>
      <c r="CT33" t="s">
        <v>2104</v>
      </c>
      <c r="CU33" t="s">
        <v>7478</v>
      </c>
      <c r="CV33" t="s">
        <v>4195</v>
      </c>
      <c r="CW33" t="s">
        <v>7852</v>
      </c>
      <c r="CX33" t="s">
        <v>5700</v>
      </c>
      <c r="CY33" t="s">
        <v>5774</v>
      </c>
      <c r="CZ33" t="s">
        <v>7895</v>
      </c>
      <c r="DA33" t="s">
        <v>1111</v>
      </c>
      <c r="DB33" t="s">
        <v>7992</v>
      </c>
      <c r="DC33" t="s">
        <v>2551</v>
      </c>
    </row>
    <row r="34" spans="1:107" x14ac:dyDescent="0.35">
      <c r="A34" t="s">
        <v>6477</v>
      </c>
      <c r="B34" t="s">
        <v>4683</v>
      </c>
      <c r="C34" t="s">
        <v>4330</v>
      </c>
      <c r="D34" t="s">
        <v>6846</v>
      </c>
      <c r="E34" t="s">
        <v>4376</v>
      </c>
      <c r="F34" t="s">
        <v>4869</v>
      </c>
      <c r="G34" t="s">
        <v>1160</v>
      </c>
      <c r="H34" t="s">
        <v>5855</v>
      </c>
      <c r="J34" t="s">
        <v>7552</v>
      </c>
      <c r="K34" t="s">
        <v>1277</v>
      </c>
      <c r="L34" t="s">
        <v>2839</v>
      </c>
      <c r="M34" t="s">
        <v>4985</v>
      </c>
      <c r="N34" t="s">
        <v>1705</v>
      </c>
      <c r="O34" t="s">
        <v>7110</v>
      </c>
      <c r="P34" t="s">
        <v>3081</v>
      </c>
      <c r="T34" t="s">
        <v>4550</v>
      </c>
      <c r="U34" t="s">
        <v>1354</v>
      </c>
      <c r="V34" t="s">
        <v>6536</v>
      </c>
      <c r="W34" t="s">
        <v>760</v>
      </c>
      <c r="X34" t="s">
        <v>330</v>
      </c>
      <c r="Y34" t="s">
        <v>3286</v>
      </c>
      <c r="Z34" t="s">
        <v>840</v>
      </c>
      <c r="AA34" t="s">
        <v>3432</v>
      </c>
      <c r="AC34" t="s">
        <v>5059</v>
      </c>
      <c r="AE34" t="s">
        <v>4408</v>
      </c>
      <c r="AG34" t="s">
        <v>6881</v>
      </c>
      <c r="AH34" t="s">
        <v>5924</v>
      </c>
      <c r="AJ34" t="s">
        <v>2238</v>
      </c>
      <c r="AK34" t="s">
        <v>2610</v>
      </c>
      <c r="AN34" t="s">
        <v>2676</v>
      </c>
      <c r="AO34" t="s">
        <v>4632</v>
      </c>
      <c r="AP34" t="s">
        <v>434</v>
      </c>
      <c r="AR34" t="s">
        <v>2327</v>
      </c>
      <c r="AS34" t="s">
        <v>5984</v>
      </c>
      <c r="AT34" t="s">
        <v>3544</v>
      </c>
      <c r="AV34" t="s">
        <v>3626</v>
      </c>
      <c r="AW34" t="s">
        <v>6966</v>
      </c>
      <c r="AX34" t="s">
        <v>4447</v>
      </c>
      <c r="AY34" t="s">
        <v>3685</v>
      </c>
      <c r="BB34" t="s">
        <v>6611</v>
      </c>
      <c r="BC34" t="s">
        <v>3749</v>
      </c>
      <c r="BD34" t="s">
        <v>1809</v>
      </c>
      <c r="BE34" t="s">
        <v>3881</v>
      </c>
      <c r="BF34" t="s">
        <v>1458</v>
      </c>
      <c r="BG34" t="s">
        <v>5305</v>
      </c>
      <c r="BH34" t="s">
        <v>6123</v>
      </c>
      <c r="BI34" t="s">
        <v>6196</v>
      </c>
      <c r="BJ34" t="s">
        <v>7612</v>
      </c>
      <c r="BK34" t="s">
        <v>6716</v>
      </c>
      <c r="BL34" t="s">
        <v>1854</v>
      </c>
      <c r="BM34" t="s">
        <v>3936</v>
      </c>
      <c r="BN34" t="s">
        <v>7389</v>
      </c>
      <c r="BO34" t="s">
        <v>4501</v>
      </c>
      <c r="BP34" t="s">
        <v>540</v>
      </c>
      <c r="BQ34" t="s">
        <v>1897</v>
      </c>
      <c r="BR34" t="s">
        <v>7015</v>
      </c>
      <c r="BT34" t="s">
        <v>2050</v>
      </c>
      <c r="BU34" t="s">
        <v>662</v>
      </c>
      <c r="BY34" t="s">
        <v>1015</v>
      </c>
      <c r="BZ34" t="s">
        <v>1959</v>
      </c>
      <c r="CA34" t="s">
        <v>2360</v>
      </c>
      <c r="CC34" t="s">
        <v>2432</v>
      </c>
      <c r="CD34" t="s">
        <v>7712</v>
      </c>
      <c r="CE34" t="s">
        <v>1549</v>
      </c>
      <c r="CF34" t="s">
        <v>6282</v>
      </c>
      <c r="CG34" t="s">
        <v>2772</v>
      </c>
      <c r="CH34" t="s">
        <v>7076</v>
      </c>
      <c r="CJ34" t="s">
        <v>4120</v>
      </c>
      <c r="CK34" t="s">
        <v>6373</v>
      </c>
      <c r="CM34" t="s">
        <v>586</v>
      </c>
      <c r="CN34" t="s">
        <v>248</v>
      </c>
      <c r="CO34" t="s">
        <v>5391</v>
      </c>
      <c r="CQ34" t="s">
        <v>7226</v>
      </c>
      <c r="CR34" t="s">
        <v>7760</v>
      </c>
      <c r="CT34" t="s">
        <v>2105</v>
      </c>
      <c r="CU34" t="s">
        <v>7479</v>
      </c>
      <c r="CV34" t="s">
        <v>4196</v>
      </c>
      <c r="CW34" t="s">
        <v>7853</v>
      </c>
      <c r="CX34" t="s">
        <v>5701</v>
      </c>
      <c r="CY34" t="s">
        <v>5775</v>
      </c>
      <c r="CZ34" t="s">
        <v>7896</v>
      </c>
      <c r="DA34" t="s">
        <v>1112</v>
      </c>
      <c r="DB34" t="s">
        <v>7993</v>
      </c>
      <c r="DC34" t="s">
        <v>2552</v>
      </c>
    </row>
    <row r="35" spans="1:107" x14ac:dyDescent="0.35">
      <c r="A35" t="s">
        <v>6478</v>
      </c>
      <c r="B35" t="s">
        <v>4684</v>
      </c>
      <c r="C35" t="s">
        <v>4331</v>
      </c>
      <c r="D35" t="s">
        <v>6847</v>
      </c>
      <c r="F35" t="s">
        <v>4870</v>
      </c>
      <c r="G35" t="s">
        <v>1161</v>
      </c>
      <c r="H35" t="s">
        <v>5856</v>
      </c>
      <c r="J35" t="s">
        <v>7553</v>
      </c>
      <c r="K35" t="s">
        <v>1278</v>
      </c>
      <c r="L35" t="s">
        <v>2840</v>
      </c>
      <c r="M35" t="s">
        <v>4986</v>
      </c>
      <c r="N35" t="s">
        <v>1706</v>
      </c>
      <c r="O35" t="s">
        <v>7111</v>
      </c>
      <c r="P35" t="s">
        <v>3082</v>
      </c>
      <c r="T35" t="s">
        <v>4551</v>
      </c>
      <c r="U35" t="s">
        <v>1355</v>
      </c>
      <c r="V35" t="s">
        <v>6537</v>
      </c>
      <c r="W35" t="s">
        <v>761</v>
      </c>
      <c r="X35" t="s">
        <v>331</v>
      </c>
      <c r="Y35" t="s">
        <v>3287</v>
      </c>
      <c r="Z35" t="s">
        <v>841</v>
      </c>
      <c r="AA35" t="s">
        <v>3433</v>
      </c>
      <c r="AC35" t="s">
        <v>5060</v>
      </c>
      <c r="AE35" t="s">
        <v>4409</v>
      </c>
      <c r="AG35" t="s">
        <v>6882</v>
      </c>
      <c r="AH35" t="s">
        <v>5925</v>
      </c>
      <c r="AJ35" t="s">
        <v>2239</v>
      </c>
      <c r="AK35" t="s">
        <v>2611</v>
      </c>
      <c r="AN35" t="s">
        <v>2677</v>
      </c>
      <c r="AO35" t="s">
        <v>4633</v>
      </c>
      <c r="AP35" t="s">
        <v>435</v>
      </c>
      <c r="AS35" t="s">
        <v>5985</v>
      </c>
      <c r="AT35" t="s">
        <v>3545</v>
      </c>
      <c r="AV35" t="s">
        <v>3627</v>
      </c>
      <c r="AX35" t="s">
        <v>4448</v>
      </c>
      <c r="AY35" t="s">
        <v>3686</v>
      </c>
      <c r="BB35" t="s">
        <v>6612</v>
      </c>
      <c r="BC35" t="s">
        <v>3750</v>
      </c>
      <c r="BD35" t="s">
        <v>1810</v>
      </c>
      <c r="BE35" t="s">
        <v>3882</v>
      </c>
      <c r="BF35" t="s">
        <v>1459</v>
      </c>
      <c r="BG35" t="s">
        <v>5306</v>
      </c>
      <c r="BH35" t="s">
        <v>6124</v>
      </c>
      <c r="BI35" t="s">
        <v>6197</v>
      </c>
      <c r="BJ35" t="s">
        <v>7613</v>
      </c>
      <c r="BK35" t="s">
        <v>6717</v>
      </c>
      <c r="BL35" t="s">
        <v>1855</v>
      </c>
      <c r="BM35" t="s">
        <v>3937</v>
      </c>
      <c r="BN35" t="s">
        <v>7390</v>
      </c>
      <c r="BO35" t="s">
        <v>4502</v>
      </c>
      <c r="BP35" t="s">
        <v>541</v>
      </c>
      <c r="BQ35" t="s">
        <v>1898</v>
      </c>
      <c r="BR35" t="s">
        <v>7016</v>
      </c>
      <c r="BT35" t="s">
        <v>2051</v>
      </c>
      <c r="BU35" t="s">
        <v>663</v>
      </c>
      <c r="BY35" t="s">
        <v>1016</v>
      </c>
      <c r="BZ35" t="s">
        <v>1960</v>
      </c>
      <c r="CA35" t="s">
        <v>2361</v>
      </c>
      <c r="CC35" t="s">
        <v>2433</v>
      </c>
      <c r="CD35" t="s">
        <v>7713</v>
      </c>
      <c r="CE35" t="s">
        <v>1550</v>
      </c>
      <c r="CF35" t="s">
        <v>6283</v>
      </c>
      <c r="CG35" t="s">
        <v>2773</v>
      </c>
      <c r="CH35" t="s">
        <v>7077</v>
      </c>
      <c r="CJ35" t="s">
        <v>4121</v>
      </c>
      <c r="CK35" t="s">
        <v>6374</v>
      </c>
      <c r="CM35" t="s">
        <v>587</v>
      </c>
      <c r="CO35" t="s">
        <v>5392</v>
      </c>
      <c r="CQ35" t="s">
        <v>7227</v>
      </c>
      <c r="CR35" t="s">
        <v>7761</v>
      </c>
      <c r="CT35" t="s">
        <v>2106</v>
      </c>
      <c r="CU35" t="s">
        <v>7480</v>
      </c>
      <c r="CV35" t="s">
        <v>4197</v>
      </c>
      <c r="CW35" t="s">
        <v>7854</v>
      </c>
      <c r="CX35" t="s">
        <v>5702</v>
      </c>
      <c r="CY35" t="s">
        <v>5776</v>
      </c>
      <c r="CZ35" t="s">
        <v>7897</v>
      </c>
      <c r="DA35" t="s">
        <v>1113</v>
      </c>
      <c r="DB35" t="s">
        <v>7994</v>
      </c>
      <c r="DC35" t="s">
        <v>2553</v>
      </c>
    </row>
    <row r="36" spans="1:107" x14ac:dyDescent="0.35">
      <c r="A36" t="s">
        <v>6479</v>
      </c>
      <c r="B36" t="s">
        <v>4685</v>
      </c>
      <c r="C36" t="s">
        <v>4332</v>
      </c>
      <c r="D36" t="s">
        <v>6848</v>
      </c>
      <c r="F36" t="s">
        <v>4871</v>
      </c>
      <c r="G36" t="s">
        <v>1162</v>
      </c>
      <c r="H36" t="s">
        <v>5857</v>
      </c>
      <c r="J36" t="s">
        <v>7554</v>
      </c>
      <c r="K36" t="s">
        <v>1279</v>
      </c>
      <c r="L36" t="s">
        <v>2841</v>
      </c>
      <c r="M36" t="s">
        <v>4987</v>
      </c>
      <c r="N36" t="s">
        <v>1707</v>
      </c>
      <c r="O36" t="s">
        <v>7112</v>
      </c>
      <c r="P36" t="s">
        <v>3083</v>
      </c>
      <c r="T36" t="s">
        <v>4552</v>
      </c>
      <c r="U36" t="s">
        <v>1356</v>
      </c>
      <c r="V36" t="s">
        <v>6538</v>
      </c>
      <c r="W36" t="s">
        <v>762</v>
      </c>
      <c r="X36" t="s">
        <v>332</v>
      </c>
      <c r="Y36" t="s">
        <v>3288</v>
      </c>
      <c r="Z36" t="s">
        <v>842</v>
      </c>
      <c r="AA36" t="s">
        <v>268</v>
      </c>
      <c r="AC36" t="s">
        <v>5061</v>
      </c>
      <c r="AE36" t="s">
        <v>4410</v>
      </c>
      <c r="AG36" t="s">
        <v>6883</v>
      </c>
      <c r="AH36" t="s">
        <v>5926</v>
      </c>
      <c r="AJ36" t="s">
        <v>2240</v>
      </c>
      <c r="AK36" t="s">
        <v>2612</v>
      </c>
      <c r="AN36" t="s">
        <v>2678</v>
      </c>
      <c r="AO36" t="s">
        <v>4634</v>
      </c>
      <c r="AP36" t="s">
        <v>436</v>
      </c>
      <c r="AS36" t="s">
        <v>275</v>
      </c>
      <c r="AT36" t="s">
        <v>3546</v>
      </c>
      <c r="AV36" t="s">
        <v>3628</v>
      </c>
      <c r="AX36" t="s">
        <v>4449</v>
      </c>
      <c r="AY36" t="s">
        <v>3687</v>
      </c>
      <c r="BB36" t="s">
        <v>6613</v>
      </c>
      <c r="BC36" t="s">
        <v>3751</v>
      </c>
      <c r="BD36" t="s">
        <v>1811</v>
      </c>
      <c r="BE36" t="s">
        <v>3883</v>
      </c>
      <c r="BF36" t="s">
        <v>1460</v>
      </c>
      <c r="BG36" t="s">
        <v>5307</v>
      </c>
      <c r="BH36" t="s">
        <v>6125</v>
      </c>
      <c r="BI36" t="s">
        <v>6198</v>
      </c>
      <c r="BJ36" t="s">
        <v>7614</v>
      </c>
      <c r="BK36" t="s">
        <v>6718</v>
      </c>
      <c r="BL36" t="s">
        <v>1856</v>
      </c>
      <c r="BM36" t="s">
        <v>3938</v>
      </c>
      <c r="BN36" t="s">
        <v>7391</v>
      </c>
      <c r="BO36" t="s">
        <v>4503</v>
      </c>
      <c r="BP36" t="s">
        <v>542</v>
      </c>
      <c r="BQ36" t="s">
        <v>1899</v>
      </c>
      <c r="BR36" t="s">
        <v>7017</v>
      </c>
      <c r="BT36" t="s">
        <v>2052</v>
      </c>
      <c r="BU36" t="s">
        <v>664</v>
      </c>
      <c r="BY36" t="s">
        <v>1017</v>
      </c>
      <c r="BZ36" t="s">
        <v>1961</v>
      </c>
      <c r="CA36" t="s">
        <v>2362</v>
      </c>
      <c r="CC36" t="s">
        <v>2434</v>
      </c>
      <c r="CD36" t="s">
        <v>7714</v>
      </c>
      <c r="CE36" t="s">
        <v>1551</v>
      </c>
      <c r="CF36" t="s">
        <v>6284</v>
      </c>
      <c r="CG36" t="s">
        <v>2774</v>
      </c>
      <c r="CH36" t="s">
        <v>7078</v>
      </c>
      <c r="CJ36" t="s">
        <v>4122</v>
      </c>
      <c r="CK36" t="s">
        <v>6375</v>
      </c>
      <c r="CM36" t="s">
        <v>588</v>
      </c>
      <c r="CO36" t="s">
        <v>5393</v>
      </c>
      <c r="CQ36" t="s">
        <v>7228</v>
      </c>
      <c r="CR36" t="s">
        <v>7762</v>
      </c>
      <c r="CT36" t="s">
        <v>2107</v>
      </c>
      <c r="CU36" t="s">
        <v>7481</v>
      </c>
      <c r="CV36" t="s">
        <v>4198</v>
      </c>
      <c r="CW36" t="s">
        <v>7855</v>
      </c>
      <c r="CX36" t="s">
        <v>5703</v>
      </c>
      <c r="CY36" t="s">
        <v>5777</v>
      </c>
      <c r="CZ36" t="s">
        <v>7898</v>
      </c>
      <c r="DA36" t="s">
        <v>1114</v>
      </c>
      <c r="DB36" t="s">
        <v>7995</v>
      </c>
      <c r="DC36" t="s">
        <v>2554</v>
      </c>
    </row>
    <row r="37" spans="1:107" x14ac:dyDescent="0.35">
      <c r="A37" t="s">
        <v>6480</v>
      </c>
      <c r="B37" t="s">
        <v>4686</v>
      </c>
      <c r="C37" t="s">
        <v>4333</v>
      </c>
      <c r="D37" t="s">
        <v>6849</v>
      </c>
      <c r="F37" t="s">
        <v>4872</v>
      </c>
      <c r="G37" t="s">
        <v>1163</v>
      </c>
      <c r="H37" t="s">
        <v>5858</v>
      </c>
      <c r="J37" t="s">
        <v>7555</v>
      </c>
      <c r="K37" t="s">
        <v>1280</v>
      </c>
      <c r="L37" t="s">
        <v>2842</v>
      </c>
      <c r="M37" t="s">
        <v>4988</v>
      </c>
      <c r="N37" t="s">
        <v>1708</v>
      </c>
      <c r="O37" t="s">
        <v>7113</v>
      </c>
      <c r="P37" t="s">
        <v>3084</v>
      </c>
      <c r="T37" t="s">
        <v>4553</v>
      </c>
      <c r="U37" t="s">
        <v>1357</v>
      </c>
      <c r="V37" t="s">
        <v>6539</v>
      </c>
      <c r="W37" t="s">
        <v>763</v>
      </c>
      <c r="X37" t="s">
        <v>333</v>
      </c>
      <c r="Y37" t="s">
        <v>3289</v>
      </c>
      <c r="Z37" t="s">
        <v>843</v>
      </c>
      <c r="AA37" t="s">
        <v>3434</v>
      </c>
      <c r="AC37" t="s">
        <v>5062</v>
      </c>
      <c r="AE37" t="s">
        <v>4411</v>
      </c>
      <c r="AG37" t="s">
        <v>6884</v>
      </c>
      <c r="AH37" t="s">
        <v>5927</v>
      </c>
      <c r="AJ37" t="s">
        <v>2241</v>
      </c>
      <c r="AK37" t="s">
        <v>2613</v>
      </c>
      <c r="AN37" t="s">
        <v>2679</v>
      </c>
      <c r="AO37" t="s">
        <v>4635</v>
      </c>
      <c r="AP37" t="s">
        <v>437</v>
      </c>
      <c r="AS37" t="s">
        <v>5986</v>
      </c>
      <c r="AT37" t="s">
        <v>3547</v>
      </c>
      <c r="AV37" t="s">
        <v>3629</v>
      </c>
      <c r="AX37" t="s">
        <v>4450</v>
      </c>
      <c r="AY37" t="s">
        <v>3688</v>
      </c>
      <c r="BB37" t="s">
        <v>6614</v>
      </c>
      <c r="BC37" t="s">
        <v>3752</v>
      </c>
      <c r="BD37" t="s">
        <v>1812</v>
      </c>
      <c r="BE37" t="s">
        <v>3884</v>
      </c>
      <c r="BF37" t="s">
        <v>1461</v>
      </c>
      <c r="BG37" t="s">
        <v>5308</v>
      </c>
      <c r="BH37" t="s">
        <v>6126</v>
      </c>
      <c r="BI37" t="s">
        <v>6199</v>
      </c>
      <c r="BJ37" t="s">
        <v>7615</v>
      </c>
      <c r="BK37" t="s">
        <v>6719</v>
      </c>
      <c r="BL37" t="s">
        <v>1857</v>
      </c>
      <c r="BM37" t="s">
        <v>3939</v>
      </c>
      <c r="BN37" t="s">
        <v>7392</v>
      </c>
      <c r="BO37" t="s">
        <v>4504</v>
      </c>
      <c r="BP37" t="s">
        <v>543</v>
      </c>
      <c r="BQ37" t="s">
        <v>1900</v>
      </c>
      <c r="BR37" t="s">
        <v>7018</v>
      </c>
      <c r="BT37" t="s">
        <v>2053</v>
      </c>
      <c r="BU37" t="s">
        <v>665</v>
      </c>
      <c r="BY37" t="s">
        <v>1018</v>
      </c>
      <c r="BZ37" t="s">
        <v>1962</v>
      </c>
      <c r="CA37" t="s">
        <v>2363</v>
      </c>
      <c r="CC37" t="s">
        <v>2435</v>
      </c>
      <c r="CD37" t="s">
        <v>7715</v>
      </c>
      <c r="CE37" t="s">
        <v>1552</v>
      </c>
      <c r="CF37" t="s">
        <v>6285</v>
      </c>
      <c r="CG37" t="s">
        <v>2775</v>
      </c>
      <c r="CJ37" t="s">
        <v>4123</v>
      </c>
      <c r="CK37" t="s">
        <v>6376</v>
      </c>
      <c r="CM37" t="s">
        <v>589</v>
      </c>
      <c r="CO37" t="s">
        <v>5394</v>
      </c>
      <c r="CQ37" t="s">
        <v>7229</v>
      </c>
      <c r="CR37" t="s">
        <v>7763</v>
      </c>
      <c r="CT37" t="s">
        <v>2108</v>
      </c>
      <c r="CU37" t="s">
        <v>7482</v>
      </c>
      <c r="CV37" t="s">
        <v>4199</v>
      </c>
      <c r="CW37" t="s">
        <v>7856</v>
      </c>
      <c r="CX37" t="s">
        <v>5704</v>
      </c>
      <c r="CY37" t="s">
        <v>5778</v>
      </c>
      <c r="CZ37" t="s">
        <v>7899</v>
      </c>
      <c r="DA37" t="s">
        <v>1115</v>
      </c>
      <c r="DB37" t="s">
        <v>7996</v>
      </c>
      <c r="DC37" t="s">
        <v>2555</v>
      </c>
    </row>
    <row r="38" spans="1:107" x14ac:dyDescent="0.35">
      <c r="A38" t="s">
        <v>6481</v>
      </c>
      <c r="B38" t="s">
        <v>4687</v>
      </c>
      <c r="C38" t="s">
        <v>4334</v>
      </c>
      <c r="F38" t="s">
        <v>4873</v>
      </c>
      <c r="G38" t="s">
        <v>1164</v>
      </c>
      <c r="H38" t="s">
        <v>5859</v>
      </c>
      <c r="J38" t="s">
        <v>7556</v>
      </c>
      <c r="K38" t="s">
        <v>1281</v>
      </c>
      <c r="L38" t="s">
        <v>2843</v>
      </c>
      <c r="M38" t="s">
        <v>4989</v>
      </c>
      <c r="N38" t="s">
        <v>1709</v>
      </c>
      <c r="O38" t="s">
        <v>7114</v>
      </c>
      <c r="P38" t="s">
        <v>3085</v>
      </c>
      <c r="T38" t="s">
        <v>4554</v>
      </c>
      <c r="U38" t="s">
        <v>1358</v>
      </c>
      <c r="V38" t="s">
        <v>6540</v>
      </c>
      <c r="W38" t="s">
        <v>764</v>
      </c>
      <c r="X38" t="s">
        <v>334</v>
      </c>
      <c r="Y38" t="s">
        <v>3290</v>
      </c>
      <c r="Z38" t="s">
        <v>844</v>
      </c>
      <c r="AA38" t="s">
        <v>3435</v>
      </c>
      <c r="AC38" t="s">
        <v>5063</v>
      </c>
      <c r="AE38" t="s">
        <v>4412</v>
      </c>
      <c r="AG38" t="s">
        <v>6885</v>
      </c>
      <c r="AH38" t="s">
        <v>5928</v>
      </c>
      <c r="AJ38" t="s">
        <v>2242</v>
      </c>
      <c r="AK38" t="s">
        <v>2614</v>
      </c>
      <c r="AN38" t="s">
        <v>2680</v>
      </c>
      <c r="AO38" t="s">
        <v>4636</v>
      </c>
      <c r="AP38" t="s">
        <v>438</v>
      </c>
      <c r="AS38" t="s">
        <v>5987</v>
      </c>
      <c r="AT38" t="s">
        <v>3548</v>
      </c>
      <c r="AV38" t="s">
        <v>3630</v>
      </c>
      <c r="AX38" t="s">
        <v>4451</v>
      </c>
      <c r="AY38" t="s">
        <v>3689</v>
      </c>
      <c r="BB38" t="s">
        <v>6615</v>
      </c>
      <c r="BC38" t="s">
        <v>3753</v>
      </c>
      <c r="BD38" t="s">
        <v>1813</v>
      </c>
      <c r="BE38" t="s">
        <v>3885</v>
      </c>
      <c r="BF38" t="s">
        <v>1462</v>
      </c>
      <c r="BG38" t="s">
        <v>5309</v>
      </c>
      <c r="BH38" t="s">
        <v>6127</v>
      </c>
      <c r="BI38" t="s">
        <v>6200</v>
      </c>
      <c r="BJ38" t="s">
        <v>7616</v>
      </c>
      <c r="BK38" t="s">
        <v>6720</v>
      </c>
      <c r="BL38" t="s">
        <v>1858</v>
      </c>
      <c r="BM38" t="s">
        <v>3940</v>
      </c>
      <c r="BN38" t="s">
        <v>7393</v>
      </c>
      <c r="BO38" t="s">
        <v>4505</v>
      </c>
      <c r="BP38" t="s">
        <v>544</v>
      </c>
      <c r="BQ38" t="s">
        <v>1901</v>
      </c>
      <c r="BR38" t="s">
        <v>7019</v>
      </c>
      <c r="BT38" t="s">
        <v>2054</v>
      </c>
      <c r="BU38" t="s">
        <v>666</v>
      </c>
      <c r="BY38" t="s">
        <v>1019</v>
      </c>
      <c r="BZ38" t="s">
        <v>1963</v>
      </c>
      <c r="CA38" t="s">
        <v>2364</v>
      </c>
      <c r="CC38" t="s">
        <v>2436</v>
      </c>
      <c r="CD38" t="s">
        <v>7716</v>
      </c>
      <c r="CE38" t="s">
        <v>1553</v>
      </c>
      <c r="CF38" t="s">
        <v>6286</v>
      </c>
      <c r="CG38" t="s">
        <v>2776</v>
      </c>
      <c r="CJ38" t="s">
        <v>4124</v>
      </c>
      <c r="CK38" t="s">
        <v>6377</v>
      </c>
      <c r="CM38" t="s">
        <v>590</v>
      </c>
      <c r="CO38" t="s">
        <v>5395</v>
      </c>
      <c r="CQ38" t="s">
        <v>7230</v>
      </c>
      <c r="CR38" t="s">
        <v>7764</v>
      </c>
      <c r="CT38" t="s">
        <v>2109</v>
      </c>
      <c r="CU38" t="s">
        <v>7483</v>
      </c>
      <c r="CV38" t="s">
        <v>4200</v>
      </c>
      <c r="CW38" t="s">
        <v>7857</v>
      </c>
      <c r="CX38" t="s">
        <v>5705</v>
      </c>
      <c r="CY38" t="s">
        <v>5779</v>
      </c>
      <c r="CZ38" t="s">
        <v>7900</v>
      </c>
      <c r="DA38" t="s">
        <v>1116</v>
      </c>
      <c r="DB38" t="s">
        <v>7997</v>
      </c>
      <c r="DC38" t="s">
        <v>2556</v>
      </c>
    </row>
    <row r="39" spans="1:107" x14ac:dyDescent="0.35">
      <c r="A39" t="s">
        <v>6482</v>
      </c>
      <c r="B39" t="s">
        <v>4688</v>
      </c>
      <c r="C39" t="s">
        <v>4335</v>
      </c>
      <c r="F39" t="s">
        <v>4874</v>
      </c>
      <c r="G39" t="s">
        <v>1165</v>
      </c>
      <c r="H39" t="s">
        <v>5860</v>
      </c>
      <c r="J39" t="s">
        <v>7557</v>
      </c>
      <c r="K39" t="s">
        <v>1282</v>
      </c>
      <c r="L39" t="s">
        <v>2844</v>
      </c>
      <c r="M39" t="s">
        <v>4990</v>
      </c>
      <c r="N39" t="s">
        <v>1710</v>
      </c>
      <c r="O39" t="s">
        <v>7115</v>
      </c>
      <c r="P39" t="s">
        <v>3086</v>
      </c>
      <c r="T39" t="s">
        <v>4555</v>
      </c>
      <c r="U39" t="s">
        <v>1359</v>
      </c>
      <c r="V39" t="s">
        <v>169</v>
      </c>
      <c r="W39" t="s">
        <v>765</v>
      </c>
      <c r="X39" t="s">
        <v>335</v>
      </c>
      <c r="Y39" t="s">
        <v>3291</v>
      </c>
      <c r="Z39" t="s">
        <v>845</v>
      </c>
      <c r="AA39" t="s">
        <v>3436</v>
      </c>
      <c r="AC39" t="s">
        <v>5064</v>
      </c>
      <c r="AE39" t="s">
        <v>4413</v>
      </c>
      <c r="AG39" t="s">
        <v>6886</v>
      </c>
      <c r="AH39" t="s">
        <v>5929</v>
      </c>
      <c r="AJ39" t="s">
        <v>55</v>
      </c>
      <c r="AK39" t="s">
        <v>2615</v>
      </c>
      <c r="AN39" t="s">
        <v>2681</v>
      </c>
      <c r="AO39" t="s">
        <v>4637</v>
      </c>
      <c r="AP39" t="s">
        <v>439</v>
      </c>
      <c r="AS39" t="s">
        <v>5988</v>
      </c>
      <c r="AT39" t="s">
        <v>3549</v>
      </c>
      <c r="AV39" t="s">
        <v>3631</v>
      </c>
      <c r="AX39" t="s">
        <v>4452</v>
      </c>
      <c r="AY39" t="s">
        <v>3690</v>
      </c>
      <c r="BB39" t="s">
        <v>6616</v>
      </c>
      <c r="BC39" t="s">
        <v>3754</v>
      </c>
      <c r="BD39" t="s">
        <v>1814</v>
      </c>
      <c r="BE39" t="s">
        <v>3886</v>
      </c>
      <c r="BF39" t="s">
        <v>1463</v>
      </c>
      <c r="BG39" t="s">
        <v>5310</v>
      </c>
      <c r="BH39" t="s">
        <v>6128</v>
      </c>
      <c r="BI39" t="s">
        <v>6201</v>
      </c>
      <c r="BJ39" t="s">
        <v>7617</v>
      </c>
      <c r="BK39" t="s">
        <v>6721</v>
      </c>
      <c r="BL39" t="s">
        <v>1859</v>
      </c>
      <c r="BM39" t="s">
        <v>3941</v>
      </c>
      <c r="BN39" t="s">
        <v>7394</v>
      </c>
      <c r="BO39" t="s">
        <v>4506</v>
      </c>
      <c r="BP39" t="s">
        <v>545</v>
      </c>
      <c r="BQ39" t="s">
        <v>1902</v>
      </c>
      <c r="BT39" t="s">
        <v>2055</v>
      </c>
      <c r="BU39" t="s">
        <v>667</v>
      </c>
      <c r="BY39" t="s">
        <v>1020</v>
      </c>
      <c r="BZ39" t="s">
        <v>1964</v>
      </c>
      <c r="CA39" t="s">
        <v>2365</v>
      </c>
      <c r="CC39" t="s">
        <v>2437</v>
      </c>
      <c r="CD39" t="s">
        <v>7717</v>
      </c>
      <c r="CE39" t="s">
        <v>1554</v>
      </c>
      <c r="CF39" t="s">
        <v>6287</v>
      </c>
      <c r="CG39" t="s">
        <v>2777</v>
      </c>
      <c r="CJ39" t="s">
        <v>4125</v>
      </c>
      <c r="CK39" t="s">
        <v>6378</v>
      </c>
      <c r="CM39" t="s">
        <v>591</v>
      </c>
      <c r="CO39" t="s">
        <v>5396</v>
      </c>
      <c r="CQ39" t="s">
        <v>7231</v>
      </c>
      <c r="CR39" t="s">
        <v>7765</v>
      </c>
      <c r="CT39" t="s">
        <v>2110</v>
      </c>
      <c r="CU39" t="s">
        <v>7484</v>
      </c>
      <c r="CV39" t="s">
        <v>4201</v>
      </c>
      <c r="CW39" t="s">
        <v>7858</v>
      </c>
      <c r="CX39" t="s">
        <v>5706</v>
      </c>
      <c r="CY39" t="s">
        <v>5780</v>
      </c>
      <c r="CZ39" t="s">
        <v>7901</v>
      </c>
      <c r="DA39" t="s">
        <v>1117</v>
      </c>
      <c r="DB39" t="s">
        <v>7998</v>
      </c>
      <c r="DC39" t="s">
        <v>2557</v>
      </c>
    </row>
    <row r="40" spans="1:107" x14ac:dyDescent="0.35">
      <c r="A40" t="s">
        <v>6483</v>
      </c>
      <c r="B40" t="s">
        <v>4689</v>
      </c>
      <c r="C40" t="s">
        <v>4336</v>
      </c>
      <c r="F40" t="s">
        <v>4875</v>
      </c>
      <c r="G40" t="s">
        <v>1166</v>
      </c>
      <c r="H40" t="s">
        <v>5861</v>
      </c>
      <c r="J40" t="s">
        <v>7558</v>
      </c>
      <c r="K40" t="s">
        <v>1283</v>
      </c>
      <c r="L40" t="s">
        <v>2845</v>
      </c>
      <c r="M40" t="s">
        <v>4991</v>
      </c>
      <c r="N40" t="s">
        <v>1711</v>
      </c>
      <c r="O40" t="s">
        <v>7116</v>
      </c>
      <c r="P40" t="s">
        <v>3087</v>
      </c>
      <c r="T40" t="s">
        <v>215</v>
      </c>
      <c r="U40" t="s">
        <v>1360</v>
      </c>
      <c r="V40" t="s">
        <v>6541</v>
      </c>
      <c r="W40" t="s">
        <v>766</v>
      </c>
      <c r="X40" t="s">
        <v>336</v>
      </c>
      <c r="Y40" t="s">
        <v>3292</v>
      </c>
      <c r="Z40" t="s">
        <v>846</v>
      </c>
      <c r="AA40" t="s">
        <v>3437</v>
      </c>
      <c r="AC40" t="s">
        <v>5065</v>
      </c>
      <c r="AE40" t="s">
        <v>4414</v>
      </c>
      <c r="AG40" t="s">
        <v>6887</v>
      </c>
      <c r="AH40" t="s">
        <v>5930</v>
      </c>
      <c r="AJ40" t="s">
        <v>2243</v>
      </c>
      <c r="AK40" t="s">
        <v>2616</v>
      </c>
      <c r="AN40" t="s">
        <v>2682</v>
      </c>
      <c r="AO40" t="s">
        <v>4638</v>
      </c>
      <c r="AP40" t="s">
        <v>440</v>
      </c>
      <c r="AS40" t="s">
        <v>5989</v>
      </c>
      <c r="AT40" t="s">
        <v>3550</v>
      </c>
      <c r="AV40" t="s">
        <v>3632</v>
      </c>
      <c r="AX40" t="s">
        <v>4453</v>
      </c>
      <c r="AY40" t="s">
        <v>3691</v>
      </c>
      <c r="BB40" t="s">
        <v>6617</v>
      </c>
      <c r="BC40" t="s">
        <v>3755</v>
      </c>
      <c r="BD40" t="s">
        <v>1815</v>
      </c>
      <c r="BE40" t="s">
        <v>3887</v>
      </c>
      <c r="BF40" t="s">
        <v>1464</v>
      </c>
      <c r="BG40" t="s">
        <v>5311</v>
      </c>
      <c r="BH40" t="s">
        <v>246</v>
      </c>
      <c r="BI40" t="s">
        <v>6202</v>
      </c>
      <c r="BJ40" t="s">
        <v>7618</v>
      </c>
      <c r="BK40" t="s">
        <v>6722</v>
      </c>
      <c r="BL40" t="s">
        <v>1860</v>
      </c>
      <c r="BM40" t="s">
        <v>3942</v>
      </c>
      <c r="BN40" t="s">
        <v>67</v>
      </c>
      <c r="BO40" t="s">
        <v>4507</v>
      </c>
      <c r="BP40" t="s">
        <v>546</v>
      </c>
      <c r="BQ40" t="s">
        <v>1903</v>
      </c>
      <c r="BT40" t="s">
        <v>2056</v>
      </c>
      <c r="BU40" t="s">
        <v>668</v>
      </c>
      <c r="BY40" t="s">
        <v>1021</v>
      </c>
      <c r="BZ40" t="s">
        <v>1965</v>
      </c>
      <c r="CA40" t="s">
        <v>2366</v>
      </c>
      <c r="CC40" t="s">
        <v>2438</v>
      </c>
      <c r="CD40" t="s">
        <v>7718</v>
      </c>
      <c r="CE40" t="s">
        <v>1555</v>
      </c>
      <c r="CF40" t="s">
        <v>6288</v>
      </c>
      <c r="CG40" t="s">
        <v>2778</v>
      </c>
      <c r="CJ40" t="s">
        <v>4126</v>
      </c>
      <c r="CK40" t="s">
        <v>6379</v>
      </c>
      <c r="CM40" t="s">
        <v>592</v>
      </c>
      <c r="CO40" t="s">
        <v>5397</v>
      </c>
      <c r="CQ40" t="s">
        <v>7232</v>
      </c>
      <c r="CR40" t="s">
        <v>7766</v>
      </c>
      <c r="CT40" t="s">
        <v>2111</v>
      </c>
      <c r="CU40" t="s">
        <v>7485</v>
      </c>
      <c r="CV40" t="s">
        <v>4202</v>
      </c>
      <c r="CW40" t="s">
        <v>7859</v>
      </c>
      <c r="CX40" t="s">
        <v>5707</v>
      </c>
      <c r="CY40" t="s">
        <v>5781</v>
      </c>
      <c r="CZ40" t="s">
        <v>7902</v>
      </c>
      <c r="DA40" t="s">
        <v>1118</v>
      </c>
      <c r="DB40" t="s">
        <v>7999</v>
      </c>
      <c r="DC40" t="s">
        <v>2558</v>
      </c>
    </row>
    <row r="41" spans="1:107" x14ac:dyDescent="0.35">
      <c r="A41" t="s">
        <v>6484</v>
      </c>
      <c r="B41" t="s">
        <v>4690</v>
      </c>
      <c r="C41" t="s">
        <v>4337</v>
      </c>
      <c r="F41" t="s">
        <v>4876</v>
      </c>
      <c r="G41" t="s">
        <v>1167</v>
      </c>
      <c r="H41" t="s">
        <v>5862</v>
      </c>
      <c r="J41" t="s">
        <v>7559</v>
      </c>
      <c r="K41" t="s">
        <v>1284</v>
      </c>
      <c r="L41" t="s">
        <v>2846</v>
      </c>
      <c r="M41" t="s">
        <v>4992</v>
      </c>
      <c r="N41" t="s">
        <v>1712</v>
      </c>
      <c r="O41" t="s">
        <v>7117</v>
      </c>
      <c r="P41" t="s">
        <v>3088</v>
      </c>
      <c r="T41" t="s">
        <v>4556</v>
      </c>
      <c r="U41" t="s">
        <v>1361</v>
      </c>
      <c r="V41" t="s">
        <v>6542</v>
      </c>
      <c r="W41" t="s">
        <v>767</v>
      </c>
      <c r="X41" t="s">
        <v>337</v>
      </c>
      <c r="Y41" t="s">
        <v>3293</v>
      </c>
      <c r="Z41" t="s">
        <v>847</v>
      </c>
      <c r="AA41" t="s">
        <v>3438</v>
      </c>
      <c r="AC41" t="s">
        <v>5066</v>
      </c>
      <c r="AE41" t="s">
        <v>4415</v>
      </c>
      <c r="AG41" t="s">
        <v>6888</v>
      </c>
      <c r="AH41" t="s">
        <v>5931</v>
      </c>
      <c r="AJ41" t="s">
        <v>2244</v>
      </c>
      <c r="AK41" t="s">
        <v>2617</v>
      </c>
      <c r="AN41" t="s">
        <v>2683</v>
      </c>
      <c r="AO41" t="s">
        <v>4639</v>
      </c>
      <c r="AP41" t="s">
        <v>441</v>
      </c>
      <c r="AS41" t="s">
        <v>5990</v>
      </c>
      <c r="AT41" t="s">
        <v>3551</v>
      </c>
      <c r="AV41" t="s">
        <v>3633</v>
      </c>
      <c r="AX41" t="s">
        <v>4454</v>
      </c>
      <c r="AY41" t="s">
        <v>3692</v>
      </c>
      <c r="BB41" t="s">
        <v>6618</v>
      </c>
      <c r="BC41" t="s">
        <v>3756</v>
      </c>
      <c r="BD41" t="s">
        <v>73</v>
      </c>
      <c r="BE41" t="s">
        <v>3888</v>
      </c>
      <c r="BF41" t="s">
        <v>1465</v>
      </c>
      <c r="BG41" t="s">
        <v>5312</v>
      </c>
      <c r="BH41" t="s">
        <v>6129</v>
      </c>
      <c r="BI41" t="s">
        <v>6203</v>
      </c>
      <c r="BJ41" t="s">
        <v>7619</v>
      </c>
      <c r="BK41" t="s">
        <v>6723</v>
      </c>
      <c r="BL41" t="s">
        <v>1861</v>
      </c>
      <c r="BM41" t="s">
        <v>3943</v>
      </c>
      <c r="BN41" t="s">
        <v>7395</v>
      </c>
      <c r="BO41" t="s">
        <v>4508</v>
      </c>
      <c r="BP41" t="s">
        <v>547</v>
      </c>
      <c r="BQ41" t="s">
        <v>1904</v>
      </c>
      <c r="BT41" t="s">
        <v>2057</v>
      </c>
      <c r="BU41" t="s">
        <v>669</v>
      </c>
      <c r="BY41" t="s">
        <v>1022</v>
      </c>
      <c r="BZ41" t="s">
        <v>1966</v>
      </c>
      <c r="CA41" t="s">
        <v>2367</v>
      </c>
      <c r="CC41" t="s">
        <v>2439</v>
      </c>
      <c r="CD41" t="s">
        <v>262</v>
      </c>
      <c r="CE41" t="s">
        <v>1556</v>
      </c>
      <c r="CF41" t="s">
        <v>6289</v>
      </c>
      <c r="CG41" t="s">
        <v>2779</v>
      </c>
      <c r="CJ41" t="s">
        <v>4127</v>
      </c>
      <c r="CK41" t="s">
        <v>6380</v>
      </c>
      <c r="CM41" t="s">
        <v>593</v>
      </c>
      <c r="CO41" t="s">
        <v>5398</v>
      </c>
      <c r="CQ41" t="s">
        <v>7233</v>
      </c>
      <c r="CR41" t="s">
        <v>7767</v>
      </c>
      <c r="CT41" t="s">
        <v>2112</v>
      </c>
      <c r="CU41" t="s">
        <v>7486</v>
      </c>
      <c r="CV41" t="s">
        <v>4203</v>
      </c>
      <c r="CW41" t="s">
        <v>7860</v>
      </c>
      <c r="CX41" t="s">
        <v>5708</v>
      </c>
      <c r="CY41" t="s">
        <v>5782</v>
      </c>
      <c r="CZ41" t="s">
        <v>7903</v>
      </c>
      <c r="DA41" t="s">
        <v>1119</v>
      </c>
      <c r="DB41" t="s">
        <v>8000</v>
      </c>
      <c r="DC41" t="s">
        <v>2559</v>
      </c>
    </row>
    <row r="42" spans="1:107" x14ac:dyDescent="0.35">
      <c r="A42" t="s">
        <v>6485</v>
      </c>
      <c r="B42" t="s">
        <v>4691</v>
      </c>
      <c r="C42" t="s">
        <v>4338</v>
      </c>
      <c r="F42" t="s">
        <v>4877</v>
      </c>
      <c r="G42" t="s">
        <v>1168</v>
      </c>
      <c r="H42" t="s">
        <v>5863</v>
      </c>
      <c r="J42" t="s">
        <v>7560</v>
      </c>
      <c r="K42" t="s">
        <v>1285</v>
      </c>
      <c r="L42" t="s">
        <v>2847</v>
      </c>
      <c r="M42" t="s">
        <v>4993</v>
      </c>
      <c r="N42" t="s">
        <v>1713</v>
      </c>
      <c r="O42" t="s">
        <v>7118</v>
      </c>
      <c r="P42" t="s">
        <v>3089</v>
      </c>
      <c r="T42" t="s">
        <v>4557</v>
      </c>
      <c r="U42" t="s">
        <v>1362</v>
      </c>
      <c r="V42" t="s">
        <v>6543</v>
      </c>
      <c r="W42" t="s">
        <v>768</v>
      </c>
      <c r="X42" t="s">
        <v>338</v>
      </c>
      <c r="Y42" t="s">
        <v>3294</v>
      </c>
      <c r="Z42" t="s">
        <v>848</v>
      </c>
      <c r="AA42" t="s">
        <v>3439</v>
      </c>
      <c r="AC42" t="s">
        <v>5067</v>
      </c>
      <c r="AG42" t="s">
        <v>6889</v>
      </c>
      <c r="AH42" t="s">
        <v>5932</v>
      </c>
      <c r="AJ42" t="s">
        <v>2245</v>
      </c>
      <c r="AK42" t="s">
        <v>2618</v>
      </c>
      <c r="AN42" t="s">
        <v>2684</v>
      </c>
      <c r="AO42" t="s">
        <v>4640</v>
      </c>
      <c r="AP42" t="s">
        <v>442</v>
      </c>
      <c r="AS42" t="s">
        <v>5991</v>
      </c>
      <c r="AT42" t="s">
        <v>3552</v>
      </c>
      <c r="AV42" t="s">
        <v>3634</v>
      </c>
      <c r="AX42" t="s">
        <v>4455</v>
      </c>
      <c r="AY42" t="s">
        <v>3693</v>
      </c>
      <c r="BB42" t="s">
        <v>6619</v>
      </c>
      <c r="BC42" t="s">
        <v>3757</v>
      </c>
      <c r="BD42" t="s">
        <v>1816</v>
      </c>
      <c r="BE42" t="s">
        <v>3889</v>
      </c>
      <c r="BF42" t="s">
        <v>1466</v>
      </c>
      <c r="BG42" t="s">
        <v>5313</v>
      </c>
      <c r="BH42" t="s">
        <v>6130</v>
      </c>
      <c r="BI42" t="s">
        <v>6204</v>
      </c>
      <c r="BJ42" t="s">
        <v>7620</v>
      </c>
      <c r="BK42" t="s">
        <v>6724</v>
      </c>
      <c r="BL42" t="s">
        <v>1862</v>
      </c>
      <c r="BM42" t="s">
        <v>3944</v>
      </c>
      <c r="BN42" t="s">
        <v>7396</v>
      </c>
      <c r="BO42" t="s">
        <v>4509</v>
      </c>
      <c r="BP42" t="s">
        <v>548</v>
      </c>
      <c r="BQ42" t="s">
        <v>1905</v>
      </c>
      <c r="BT42" t="s">
        <v>2058</v>
      </c>
      <c r="BU42" t="s">
        <v>670</v>
      </c>
      <c r="BY42" t="s">
        <v>1023</v>
      </c>
      <c r="BZ42" t="s">
        <v>1967</v>
      </c>
      <c r="CA42" t="s">
        <v>2368</v>
      </c>
      <c r="CC42" t="s">
        <v>2440</v>
      </c>
      <c r="CD42" t="s">
        <v>7719</v>
      </c>
      <c r="CE42" t="s">
        <v>1557</v>
      </c>
      <c r="CF42" t="s">
        <v>6290</v>
      </c>
      <c r="CG42" t="s">
        <v>2780</v>
      </c>
      <c r="CJ42" t="s">
        <v>4128</v>
      </c>
      <c r="CK42" t="s">
        <v>6381</v>
      </c>
      <c r="CM42" t="s">
        <v>594</v>
      </c>
      <c r="CO42" t="s">
        <v>5399</v>
      </c>
      <c r="CQ42" t="s">
        <v>7234</v>
      </c>
      <c r="CR42" t="s">
        <v>7768</v>
      </c>
      <c r="CT42" t="s">
        <v>2113</v>
      </c>
      <c r="CU42" t="s">
        <v>7487</v>
      </c>
      <c r="CV42" t="s">
        <v>4204</v>
      </c>
      <c r="CW42" t="s">
        <v>7861</v>
      </c>
      <c r="CX42" t="s">
        <v>5709</v>
      </c>
      <c r="CY42" t="s">
        <v>5783</v>
      </c>
      <c r="CZ42" t="s">
        <v>7904</v>
      </c>
      <c r="DA42" t="s">
        <v>1120</v>
      </c>
      <c r="DB42" t="s">
        <v>8001</v>
      </c>
      <c r="DC42" t="s">
        <v>2560</v>
      </c>
    </row>
    <row r="43" spans="1:107" x14ac:dyDescent="0.35">
      <c r="A43" t="s">
        <v>6486</v>
      </c>
      <c r="B43" t="s">
        <v>4692</v>
      </c>
      <c r="C43" t="s">
        <v>4339</v>
      </c>
      <c r="F43" t="s">
        <v>4878</v>
      </c>
      <c r="G43" t="s">
        <v>1169</v>
      </c>
      <c r="J43" t="s">
        <v>7561</v>
      </c>
      <c r="K43" t="s">
        <v>1286</v>
      </c>
      <c r="L43" t="s">
        <v>2848</v>
      </c>
      <c r="M43" t="s">
        <v>4994</v>
      </c>
      <c r="N43" t="s">
        <v>1714</v>
      </c>
      <c r="O43" t="s">
        <v>7119</v>
      </c>
      <c r="P43" t="s">
        <v>3090</v>
      </c>
      <c r="T43" t="s">
        <v>4558</v>
      </c>
      <c r="U43" t="s">
        <v>1363</v>
      </c>
      <c r="V43" t="s">
        <v>6544</v>
      </c>
      <c r="W43" t="s">
        <v>769</v>
      </c>
      <c r="X43" t="s">
        <v>339</v>
      </c>
      <c r="Y43" t="s">
        <v>3295</v>
      </c>
      <c r="Z43" t="s">
        <v>849</v>
      </c>
      <c r="AA43" t="s">
        <v>3440</v>
      </c>
      <c r="AC43" t="s">
        <v>5068</v>
      </c>
      <c r="AH43" t="s">
        <v>5933</v>
      </c>
      <c r="AJ43" t="s">
        <v>2246</v>
      </c>
      <c r="AK43" t="s">
        <v>2619</v>
      </c>
      <c r="AN43" t="s">
        <v>2685</v>
      </c>
      <c r="AO43" t="s">
        <v>4641</v>
      </c>
      <c r="AP43" t="s">
        <v>443</v>
      </c>
      <c r="AS43" t="s">
        <v>5992</v>
      </c>
      <c r="AT43" t="s">
        <v>57</v>
      </c>
      <c r="AV43" t="s">
        <v>3635</v>
      </c>
      <c r="AX43" t="s">
        <v>4456</v>
      </c>
      <c r="AY43" t="s">
        <v>3694</v>
      </c>
      <c r="BB43" t="s">
        <v>6620</v>
      </c>
      <c r="BC43" t="s">
        <v>3758</v>
      </c>
      <c r="BD43" t="s">
        <v>1817</v>
      </c>
      <c r="BE43" t="s">
        <v>3890</v>
      </c>
      <c r="BF43" t="s">
        <v>1467</v>
      </c>
      <c r="BG43" t="s">
        <v>5314</v>
      </c>
      <c r="BH43" t="s">
        <v>6131</v>
      </c>
      <c r="BI43" t="s">
        <v>6205</v>
      </c>
      <c r="BJ43" t="s">
        <v>7621</v>
      </c>
      <c r="BK43" t="s">
        <v>6725</v>
      </c>
      <c r="BL43" t="s">
        <v>1863</v>
      </c>
      <c r="BM43" t="s">
        <v>3945</v>
      </c>
      <c r="BN43" t="s">
        <v>7397</v>
      </c>
      <c r="BO43" t="s">
        <v>4510</v>
      </c>
      <c r="BP43" t="s">
        <v>549</v>
      </c>
      <c r="BQ43" t="s">
        <v>1906</v>
      </c>
      <c r="BT43" t="s">
        <v>2059</v>
      </c>
      <c r="BU43" t="s">
        <v>671</v>
      </c>
      <c r="BY43" t="s">
        <v>1024</v>
      </c>
      <c r="BZ43" t="s">
        <v>1968</v>
      </c>
      <c r="CA43" t="s">
        <v>2369</v>
      </c>
      <c r="CC43" t="s">
        <v>2441</v>
      </c>
      <c r="CD43" t="s">
        <v>7720</v>
      </c>
      <c r="CE43" t="s">
        <v>1558</v>
      </c>
      <c r="CF43" t="s">
        <v>6291</v>
      </c>
      <c r="CG43" t="s">
        <v>2781</v>
      </c>
      <c r="CJ43" t="s">
        <v>4129</v>
      </c>
      <c r="CK43" t="s">
        <v>6382</v>
      </c>
      <c r="CM43" t="s">
        <v>263</v>
      </c>
      <c r="CO43" t="s">
        <v>5400</v>
      </c>
      <c r="CQ43" t="s">
        <v>7235</v>
      </c>
      <c r="CR43" t="s">
        <v>7769</v>
      </c>
      <c r="CT43" t="s">
        <v>2114</v>
      </c>
      <c r="CU43" t="s">
        <v>7488</v>
      </c>
      <c r="CV43" t="s">
        <v>4205</v>
      </c>
      <c r="CW43" t="s">
        <v>7862</v>
      </c>
      <c r="CX43" t="s">
        <v>5710</v>
      </c>
      <c r="CY43" t="s">
        <v>5784</v>
      </c>
      <c r="CZ43" t="s">
        <v>7905</v>
      </c>
      <c r="DA43" t="s">
        <v>1121</v>
      </c>
      <c r="DB43" t="s">
        <v>8002</v>
      </c>
      <c r="DC43" t="s">
        <v>2561</v>
      </c>
    </row>
    <row r="44" spans="1:107" x14ac:dyDescent="0.35">
      <c r="A44" t="s">
        <v>6487</v>
      </c>
      <c r="B44" t="s">
        <v>4693</v>
      </c>
      <c r="C44" t="s">
        <v>4340</v>
      </c>
      <c r="F44" t="s">
        <v>4879</v>
      </c>
      <c r="G44" t="s">
        <v>1170</v>
      </c>
      <c r="J44" t="s">
        <v>7562</v>
      </c>
      <c r="K44" t="s">
        <v>1287</v>
      </c>
      <c r="L44" t="s">
        <v>2849</v>
      </c>
      <c r="M44" t="s">
        <v>4995</v>
      </c>
      <c r="N44" t="s">
        <v>1715</v>
      </c>
      <c r="O44" t="s">
        <v>7120</v>
      </c>
      <c r="P44" t="s">
        <v>3091</v>
      </c>
      <c r="T44" t="s">
        <v>4559</v>
      </c>
      <c r="U44" t="s">
        <v>1364</v>
      </c>
      <c r="V44" t="s">
        <v>6545</v>
      </c>
      <c r="W44" t="s">
        <v>770</v>
      </c>
      <c r="X44" t="s">
        <v>340</v>
      </c>
      <c r="Y44" t="s">
        <v>3296</v>
      </c>
      <c r="Z44" t="s">
        <v>850</v>
      </c>
      <c r="AA44" t="s">
        <v>3441</v>
      </c>
      <c r="AC44" t="s">
        <v>5069</v>
      </c>
      <c r="AH44" t="s">
        <v>5934</v>
      </c>
      <c r="AJ44" t="s">
        <v>2247</v>
      </c>
      <c r="AK44" t="s">
        <v>2620</v>
      </c>
      <c r="AN44" t="s">
        <v>2686</v>
      </c>
      <c r="AO44" t="s">
        <v>4642</v>
      </c>
      <c r="AP44" t="s">
        <v>444</v>
      </c>
      <c r="AS44" t="s">
        <v>5993</v>
      </c>
      <c r="AT44" t="s">
        <v>3553</v>
      </c>
      <c r="AV44" t="s">
        <v>3636</v>
      </c>
      <c r="AX44" t="s">
        <v>4457</v>
      </c>
      <c r="AY44" t="s">
        <v>3695</v>
      </c>
      <c r="BB44" t="s">
        <v>6621</v>
      </c>
      <c r="BC44" t="s">
        <v>3759</v>
      </c>
      <c r="BD44" t="s">
        <v>1818</v>
      </c>
      <c r="BE44" t="s">
        <v>3891</v>
      </c>
      <c r="BF44" t="s">
        <v>1468</v>
      </c>
      <c r="BG44" t="s">
        <v>5315</v>
      </c>
      <c r="BH44" t="s">
        <v>6132</v>
      </c>
      <c r="BI44" t="s">
        <v>6206</v>
      </c>
      <c r="BJ44" t="s">
        <v>7622</v>
      </c>
      <c r="BK44" t="s">
        <v>6726</v>
      </c>
      <c r="BL44" t="s">
        <v>1864</v>
      </c>
      <c r="BM44" t="s">
        <v>3946</v>
      </c>
      <c r="BN44" t="s">
        <v>7398</v>
      </c>
      <c r="BO44" t="s">
        <v>4511</v>
      </c>
      <c r="BP44" t="s">
        <v>550</v>
      </c>
      <c r="BQ44" t="s">
        <v>1907</v>
      </c>
      <c r="BT44" t="s">
        <v>2060</v>
      </c>
      <c r="BU44" t="s">
        <v>672</v>
      </c>
      <c r="BY44" t="s">
        <v>1025</v>
      </c>
      <c r="CA44" t="s">
        <v>2370</v>
      </c>
      <c r="CC44" t="s">
        <v>2442</v>
      </c>
      <c r="CD44" t="s">
        <v>7721</v>
      </c>
      <c r="CE44" t="s">
        <v>1559</v>
      </c>
      <c r="CF44" t="s">
        <v>6292</v>
      </c>
      <c r="CG44" t="s">
        <v>2782</v>
      </c>
      <c r="CJ44" t="s">
        <v>4130</v>
      </c>
      <c r="CK44" t="s">
        <v>6383</v>
      </c>
      <c r="CM44" t="s">
        <v>595</v>
      </c>
      <c r="CO44" t="s">
        <v>5401</v>
      </c>
      <c r="CQ44" t="s">
        <v>7236</v>
      </c>
      <c r="CR44" t="s">
        <v>7770</v>
      </c>
      <c r="CT44" t="s">
        <v>2115</v>
      </c>
      <c r="CU44" t="s">
        <v>7489</v>
      </c>
      <c r="CV44" t="s">
        <v>4206</v>
      </c>
      <c r="CW44" t="s">
        <v>79</v>
      </c>
      <c r="CX44" t="s">
        <v>5711</v>
      </c>
      <c r="CY44" t="s">
        <v>5785</v>
      </c>
      <c r="CZ44" t="s">
        <v>7906</v>
      </c>
      <c r="DA44" t="s">
        <v>1122</v>
      </c>
      <c r="DB44" t="s">
        <v>8003</v>
      </c>
      <c r="DC44" t="s">
        <v>2562</v>
      </c>
    </row>
    <row r="45" spans="1:107" x14ac:dyDescent="0.35">
      <c r="B45" t="s">
        <v>4694</v>
      </c>
      <c r="C45" t="s">
        <v>4341</v>
      </c>
      <c r="F45" t="s">
        <v>4880</v>
      </c>
      <c r="G45" t="s">
        <v>1171</v>
      </c>
      <c r="J45" t="s">
        <v>7563</v>
      </c>
      <c r="K45" t="s">
        <v>1288</v>
      </c>
      <c r="L45" t="s">
        <v>2850</v>
      </c>
      <c r="M45" t="s">
        <v>4996</v>
      </c>
      <c r="N45" t="s">
        <v>1716</v>
      </c>
      <c r="O45" t="s">
        <v>7121</v>
      </c>
      <c r="P45" t="s">
        <v>3092</v>
      </c>
      <c r="T45" t="s">
        <v>4560</v>
      </c>
      <c r="U45" t="s">
        <v>1365</v>
      </c>
      <c r="V45" t="s">
        <v>6546</v>
      </c>
      <c r="W45" t="s">
        <v>771</v>
      </c>
      <c r="X45" t="s">
        <v>341</v>
      </c>
      <c r="Y45" t="s">
        <v>3297</v>
      </c>
      <c r="Z45" t="s">
        <v>851</v>
      </c>
      <c r="AA45" t="s">
        <v>3442</v>
      </c>
      <c r="AC45" t="s">
        <v>5070</v>
      </c>
      <c r="AH45" t="s">
        <v>5935</v>
      </c>
      <c r="AJ45" t="s">
        <v>2248</v>
      </c>
      <c r="AK45" t="s">
        <v>2621</v>
      </c>
      <c r="AN45" t="s">
        <v>2687</v>
      </c>
      <c r="AO45" t="s">
        <v>4643</v>
      </c>
      <c r="AP45" t="s">
        <v>445</v>
      </c>
      <c r="AS45" t="s">
        <v>5994</v>
      </c>
      <c r="AT45" t="s">
        <v>3554</v>
      </c>
      <c r="AV45" t="s">
        <v>3637</v>
      </c>
      <c r="AX45" t="s">
        <v>4458</v>
      </c>
      <c r="AY45" t="s">
        <v>3696</v>
      </c>
      <c r="BB45" t="s">
        <v>6622</v>
      </c>
      <c r="BC45" t="s">
        <v>3760</v>
      </c>
      <c r="BD45" t="s">
        <v>1819</v>
      </c>
      <c r="BE45" t="s">
        <v>3892</v>
      </c>
      <c r="BF45" t="s">
        <v>1469</v>
      </c>
      <c r="BG45" t="s">
        <v>5316</v>
      </c>
      <c r="BH45" t="s">
        <v>6133</v>
      </c>
      <c r="BI45" t="s">
        <v>6207</v>
      </c>
      <c r="BJ45" t="s">
        <v>7623</v>
      </c>
      <c r="BK45" t="s">
        <v>6727</v>
      </c>
      <c r="BL45" t="s">
        <v>1865</v>
      </c>
      <c r="BM45" t="s">
        <v>3947</v>
      </c>
      <c r="BN45" t="s">
        <v>7399</v>
      </c>
      <c r="BO45" t="s">
        <v>4512</v>
      </c>
      <c r="BP45" t="s">
        <v>551</v>
      </c>
      <c r="BQ45" t="s">
        <v>1908</v>
      </c>
      <c r="BT45" t="s">
        <v>2061</v>
      </c>
      <c r="BU45" t="s">
        <v>673</v>
      </c>
      <c r="BY45" t="s">
        <v>1026</v>
      </c>
      <c r="CA45" t="s">
        <v>2371</v>
      </c>
      <c r="CC45" t="s">
        <v>2443</v>
      </c>
      <c r="CD45" t="s">
        <v>7722</v>
      </c>
      <c r="CE45" t="s">
        <v>1560</v>
      </c>
      <c r="CF45" t="s">
        <v>6293</v>
      </c>
      <c r="CG45" t="s">
        <v>2783</v>
      </c>
      <c r="CJ45" t="s">
        <v>4131</v>
      </c>
      <c r="CK45" t="s">
        <v>6384</v>
      </c>
      <c r="CM45" t="s">
        <v>596</v>
      </c>
      <c r="CO45" t="s">
        <v>5402</v>
      </c>
      <c r="CQ45" t="s">
        <v>7237</v>
      </c>
      <c r="CR45" t="s">
        <v>7771</v>
      </c>
      <c r="CT45" t="s">
        <v>2116</v>
      </c>
      <c r="CU45" t="s">
        <v>7490</v>
      </c>
      <c r="CV45" t="s">
        <v>4207</v>
      </c>
      <c r="CW45" t="s">
        <v>7863</v>
      </c>
      <c r="CX45" t="s">
        <v>5712</v>
      </c>
      <c r="CY45" t="s">
        <v>5786</v>
      </c>
      <c r="CZ45" t="s">
        <v>7907</v>
      </c>
      <c r="DA45" t="s">
        <v>1123</v>
      </c>
      <c r="DB45" t="s">
        <v>8004</v>
      </c>
      <c r="DC45" t="s">
        <v>2563</v>
      </c>
    </row>
    <row r="46" spans="1:107" x14ac:dyDescent="0.35">
      <c r="B46" t="s">
        <v>4695</v>
      </c>
      <c r="C46" t="s">
        <v>4342</v>
      </c>
      <c r="F46" t="s">
        <v>4881</v>
      </c>
      <c r="G46" t="s">
        <v>1172</v>
      </c>
      <c r="J46" t="s">
        <v>7564</v>
      </c>
      <c r="K46" t="s">
        <v>1289</v>
      </c>
      <c r="L46" t="s">
        <v>2851</v>
      </c>
      <c r="M46" t="s">
        <v>4997</v>
      </c>
      <c r="N46" t="s">
        <v>1717</v>
      </c>
      <c r="O46" t="s">
        <v>7122</v>
      </c>
      <c r="P46" t="s">
        <v>3093</v>
      </c>
      <c r="T46" t="s">
        <v>4561</v>
      </c>
      <c r="U46" t="s">
        <v>1366</v>
      </c>
      <c r="V46" t="s">
        <v>6547</v>
      </c>
      <c r="W46" t="s">
        <v>772</v>
      </c>
      <c r="X46" t="s">
        <v>342</v>
      </c>
      <c r="Y46" t="s">
        <v>3298</v>
      </c>
      <c r="Z46" t="s">
        <v>52</v>
      </c>
      <c r="AA46" t="s">
        <v>3443</v>
      </c>
      <c r="AC46" t="s">
        <v>5071</v>
      </c>
      <c r="AH46" t="s">
        <v>5936</v>
      </c>
      <c r="AJ46" t="s">
        <v>2249</v>
      </c>
      <c r="AK46" t="s">
        <v>2622</v>
      </c>
      <c r="AN46" t="s">
        <v>2688</v>
      </c>
      <c r="AO46" t="s">
        <v>4644</v>
      </c>
      <c r="AP46" t="s">
        <v>446</v>
      </c>
      <c r="AS46" t="s">
        <v>5995</v>
      </c>
      <c r="AT46" t="s">
        <v>3555</v>
      </c>
      <c r="AV46" t="s">
        <v>3638</v>
      </c>
      <c r="AX46" t="s">
        <v>4459</v>
      </c>
      <c r="AY46" t="s">
        <v>3697</v>
      </c>
      <c r="BB46" t="s">
        <v>6623</v>
      </c>
      <c r="BC46" t="s">
        <v>3761</v>
      </c>
      <c r="BD46" t="s">
        <v>1820</v>
      </c>
      <c r="BE46" t="s">
        <v>3893</v>
      </c>
      <c r="BF46" t="s">
        <v>1470</v>
      </c>
      <c r="BG46" t="s">
        <v>5317</v>
      </c>
      <c r="BH46" t="s">
        <v>6134</v>
      </c>
      <c r="BI46" t="s">
        <v>260</v>
      </c>
      <c r="BJ46" t="s">
        <v>7624</v>
      </c>
      <c r="BK46" t="s">
        <v>6728</v>
      </c>
      <c r="BM46" t="s">
        <v>3948</v>
      </c>
      <c r="BN46" t="s">
        <v>7400</v>
      </c>
      <c r="BO46" t="s">
        <v>4513</v>
      </c>
      <c r="BP46" t="s">
        <v>552</v>
      </c>
      <c r="BQ46" t="s">
        <v>1909</v>
      </c>
      <c r="BT46" t="s">
        <v>2062</v>
      </c>
      <c r="BU46" t="s">
        <v>674</v>
      </c>
      <c r="BY46" t="s">
        <v>1027</v>
      </c>
      <c r="CA46" t="s">
        <v>2372</v>
      </c>
      <c r="CC46" t="s">
        <v>2444</v>
      </c>
      <c r="CD46" t="s">
        <v>7723</v>
      </c>
      <c r="CE46" t="s">
        <v>1561</v>
      </c>
      <c r="CF46" t="s">
        <v>6294</v>
      </c>
      <c r="CG46" t="s">
        <v>2784</v>
      </c>
      <c r="CJ46" t="s">
        <v>4132</v>
      </c>
      <c r="CK46" t="s">
        <v>6385</v>
      </c>
      <c r="CM46" t="s">
        <v>597</v>
      </c>
      <c r="CO46" t="s">
        <v>5403</v>
      </c>
      <c r="CQ46" t="s">
        <v>7238</v>
      </c>
      <c r="CR46" t="s">
        <v>7772</v>
      </c>
      <c r="CT46" t="s">
        <v>2117</v>
      </c>
      <c r="CU46" t="s">
        <v>7491</v>
      </c>
      <c r="CV46" t="s">
        <v>4208</v>
      </c>
      <c r="CX46" t="s">
        <v>5713</v>
      </c>
      <c r="CY46" t="s">
        <v>5787</v>
      </c>
      <c r="CZ46" t="s">
        <v>7908</v>
      </c>
      <c r="DA46" t="s">
        <v>1124</v>
      </c>
      <c r="DB46" t="s">
        <v>8005</v>
      </c>
      <c r="DC46" t="s">
        <v>2564</v>
      </c>
    </row>
    <row r="47" spans="1:107" x14ac:dyDescent="0.35">
      <c r="B47" t="s">
        <v>4696</v>
      </c>
      <c r="C47" t="s">
        <v>4343</v>
      </c>
      <c r="F47" t="s">
        <v>4882</v>
      </c>
      <c r="G47" t="s">
        <v>1173</v>
      </c>
      <c r="J47" t="s">
        <v>7565</v>
      </c>
      <c r="K47" t="s">
        <v>1290</v>
      </c>
      <c r="L47" t="s">
        <v>2852</v>
      </c>
      <c r="M47" t="s">
        <v>4998</v>
      </c>
      <c r="N47" t="s">
        <v>1718</v>
      </c>
      <c r="O47" t="s">
        <v>7123</v>
      </c>
      <c r="P47" t="s">
        <v>3094</v>
      </c>
      <c r="T47" t="s">
        <v>4562</v>
      </c>
      <c r="U47" t="s">
        <v>1367</v>
      </c>
      <c r="V47" t="s">
        <v>6548</v>
      </c>
      <c r="W47" t="s">
        <v>773</v>
      </c>
      <c r="X47" t="s">
        <v>343</v>
      </c>
      <c r="Y47" t="s">
        <v>3299</v>
      </c>
      <c r="Z47" t="s">
        <v>852</v>
      </c>
      <c r="AA47" t="s">
        <v>3444</v>
      </c>
      <c r="AC47" t="s">
        <v>5072</v>
      </c>
      <c r="AH47" t="s">
        <v>5937</v>
      </c>
      <c r="AJ47" t="s">
        <v>2250</v>
      </c>
      <c r="AK47" t="s">
        <v>2623</v>
      </c>
      <c r="AN47" t="s">
        <v>2689</v>
      </c>
      <c r="AO47" t="s">
        <v>4645</v>
      </c>
      <c r="AP47" t="s">
        <v>447</v>
      </c>
      <c r="AS47" t="s">
        <v>5996</v>
      </c>
      <c r="AT47" t="s">
        <v>3556</v>
      </c>
      <c r="AV47" t="s">
        <v>3639</v>
      </c>
      <c r="AX47" t="s">
        <v>4460</v>
      </c>
      <c r="AY47" t="s">
        <v>3698</v>
      </c>
      <c r="BB47" t="s">
        <v>6624</v>
      </c>
      <c r="BC47" t="s">
        <v>3762</v>
      </c>
      <c r="BD47" t="s">
        <v>1821</v>
      </c>
      <c r="BE47" t="s">
        <v>3894</v>
      </c>
      <c r="BF47" t="s">
        <v>1471</v>
      </c>
      <c r="BG47" t="s">
        <v>5318</v>
      </c>
      <c r="BH47" t="s">
        <v>6135</v>
      </c>
      <c r="BI47" t="s">
        <v>6208</v>
      </c>
      <c r="BJ47" t="s">
        <v>7625</v>
      </c>
      <c r="BK47" t="s">
        <v>6729</v>
      </c>
      <c r="BM47" t="s">
        <v>3949</v>
      </c>
      <c r="BN47" t="s">
        <v>7401</v>
      </c>
      <c r="BO47" t="s">
        <v>4514</v>
      </c>
      <c r="BP47" t="s">
        <v>553</v>
      </c>
      <c r="BQ47" t="s">
        <v>1910</v>
      </c>
      <c r="BT47" t="s">
        <v>2063</v>
      </c>
      <c r="BU47" t="s">
        <v>675</v>
      </c>
      <c r="BY47" t="s">
        <v>1028</v>
      </c>
      <c r="CA47" t="s">
        <v>2373</v>
      </c>
      <c r="CC47" t="s">
        <v>2445</v>
      </c>
      <c r="CD47" t="s">
        <v>7724</v>
      </c>
      <c r="CE47" t="s">
        <v>1562</v>
      </c>
      <c r="CF47" t="s">
        <v>6295</v>
      </c>
      <c r="CG47" t="s">
        <v>2785</v>
      </c>
      <c r="CJ47" t="s">
        <v>4133</v>
      </c>
      <c r="CK47" t="s">
        <v>6386</v>
      </c>
      <c r="CM47" t="s">
        <v>598</v>
      </c>
      <c r="CO47" t="s">
        <v>5404</v>
      </c>
      <c r="CQ47" t="s">
        <v>7239</v>
      </c>
      <c r="CR47" t="s">
        <v>7773</v>
      </c>
      <c r="CT47" t="s">
        <v>2118</v>
      </c>
      <c r="CU47" t="s">
        <v>7492</v>
      </c>
      <c r="CV47" t="s">
        <v>4209</v>
      </c>
      <c r="CX47" t="s">
        <v>5714</v>
      </c>
      <c r="CY47" t="s">
        <v>5788</v>
      </c>
      <c r="CZ47" t="s">
        <v>7909</v>
      </c>
      <c r="DA47" t="s">
        <v>1125</v>
      </c>
      <c r="DB47" t="s">
        <v>8006</v>
      </c>
      <c r="DC47" t="s">
        <v>2565</v>
      </c>
    </row>
    <row r="48" spans="1:107" x14ac:dyDescent="0.35">
      <c r="B48" t="s">
        <v>4697</v>
      </c>
      <c r="C48" t="s">
        <v>4344</v>
      </c>
      <c r="F48" t="s">
        <v>4883</v>
      </c>
      <c r="G48" t="s">
        <v>1174</v>
      </c>
      <c r="J48" t="s">
        <v>7566</v>
      </c>
      <c r="K48" t="s">
        <v>1291</v>
      </c>
      <c r="L48" t="s">
        <v>2853</v>
      </c>
      <c r="M48" t="s">
        <v>4999</v>
      </c>
      <c r="N48" t="s">
        <v>1719</v>
      </c>
      <c r="O48" t="s">
        <v>7124</v>
      </c>
      <c r="P48" t="s">
        <v>3095</v>
      </c>
      <c r="T48" t="s">
        <v>4563</v>
      </c>
      <c r="U48" t="s">
        <v>1368</v>
      </c>
      <c r="V48" t="s">
        <v>6549</v>
      </c>
      <c r="W48" t="s">
        <v>774</v>
      </c>
      <c r="X48" t="s">
        <v>344</v>
      </c>
      <c r="Y48" t="s">
        <v>3300</v>
      </c>
      <c r="Z48" t="s">
        <v>853</v>
      </c>
      <c r="AA48" t="s">
        <v>3445</v>
      </c>
      <c r="AC48" t="s">
        <v>5073</v>
      </c>
      <c r="AH48" t="s">
        <v>5938</v>
      </c>
      <c r="AJ48" t="s">
        <v>2251</v>
      </c>
      <c r="AK48" t="s">
        <v>2624</v>
      </c>
      <c r="AN48" t="s">
        <v>2690</v>
      </c>
      <c r="AO48" t="s">
        <v>4646</v>
      </c>
      <c r="AP48" t="s">
        <v>448</v>
      </c>
      <c r="AS48" t="s">
        <v>5997</v>
      </c>
      <c r="AT48" t="s">
        <v>3557</v>
      </c>
      <c r="AV48" t="s">
        <v>3640</v>
      </c>
      <c r="AX48" t="s">
        <v>4461</v>
      </c>
      <c r="AY48" t="s">
        <v>3699</v>
      </c>
      <c r="BB48" t="s">
        <v>6625</v>
      </c>
      <c r="BC48" t="s">
        <v>3763</v>
      </c>
      <c r="BD48" t="s">
        <v>1822</v>
      </c>
      <c r="BE48" t="s">
        <v>3895</v>
      </c>
      <c r="BF48" t="s">
        <v>1472</v>
      </c>
      <c r="BG48" t="s">
        <v>5319</v>
      </c>
      <c r="BH48" t="s">
        <v>6136</v>
      </c>
      <c r="BI48" t="s">
        <v>6209</v>
      </c>
      <c r="BJ48" t="s">
        <v>7626</v>
      </c>
      <c r="BK48" t="s">
        <v>6730</v>
      </c>
      <c r="BM48" t="s">
        <v>3950</v>
      </c>
      <c r="BN48" t="s">
        <v>7402</v>
      </c>
      <c r="BO48" t="s">
        <v>4515</v>
      </c>
      <c r="BT48" t="s">
        <v>2064</v>
      </c>
      <c r="BU48" t="s">
        <v>676</v>
      </c>
      <c r="BY48" t="s">
        <v>1029</v>
      </c>
      <c r="CA48" t="s">
        <v>2374</v>
      </c>
      <c r="CC48" t="s">
        <v>2446</v>
      </c>
      <c r="CD48" t="s">
        <v>7725</v>
      </c>
      <c r="CE48" t="s">
        <v>1563</v>
      </c>
      <c r="CF48" t="s">
        <v>6296</v>
      </c>
      <c r="CG48" t="s">
        <v>2786</v>
      </c>
      <c r="CJ48" t="s">
        <v>4134</v>
      </c>
      <c r="CK48" t="s">
        <v>6387</v>
      </c>
      <c r="CM48" t="s">
        <v>599</v>
      </c>
      <c r="CO48" t="s">
        <v>5405</v>
      </c>
      <c r="CQ48" t="s">
        <v>7240</v>
      </c>
      <c r="CR48" t="s">
        <v>7774</v>
      </c>
      <c r="CT48" t="s">
        <v>2119</v>
      </c>
      <c r="CU48" t="s">
        <v>7493</v>
      </c>
      <c r="CV48" t="s">
        <v>4210</v>
      </c>
      <c r="CX48" t="s">
        <v>5715</v>
      </c>
      <c r="CY48" t="s">
        <v>5789</v>
      </c>
      <c r="CZ48" t="s">
        <v>7910</v>
      </c>
      <c r="DA48" t="s">
        <v>271</v>
      </c>
      <c r="DB48" t="s">
        <v>8007</v>
      </c>
      <c r="DC48" t="s">
        <v>2566</v>
      </c>
    </row>
    <row r="49" spans="2:107" x14ac:dyDescent="0.35">
      <c r="B49" t="s">
        <v>4698</v>
      </c>
      <c r="F49" t="s">
        <v>4884</v>
      </c>
      <c r="G49" t="s">
        <v>1175</v>
      </c>
      <c r="J49" t="s">
        <v>7567</v>
      </c>
      <c r="K49" t="s">
        <v>1292</v>
      </c>
      <c r="L49" t="s">
        <v>2854</v>
      </c>
      <c r="M49" t="s">
        <v>5000</v>
      </c>
      <c r="N49" t="s">
        <v>1720</v>
      </c>
      <c r="O49" t="s">
        <v>7125</v>
      </c>
      <c r="P49" t="s">
        <v>3096</v>
      </c>
      <c r="T49" t="s">
        <v>4564</v>
      </c>
      <c r="U49" t="s">
        <v>1369</v>
      </c>
      <c r="V49" t="s">
        <v>6550</v>
      </c>
      <c r="W49" t="s">
        <v>775</v>
      </c>
      <c r="X49" t="s">
        <v>345</v>
      </c>
      <c r="Y49" t="s">
        <v>3301</v>
      </c>
      <c r="Z49" t="s">
        <v>854</v>
      </c>
      <c r="AA49" t="s">
        <v>3446</v>
      </c>
      <c r="AC49" t="s">
        <v>5074</v>
      </c>
      <c r="AH49" t="s">
        <v>5939</v>
      </c>
      <c r="AJ49" t="s">
        <v>2252</v>
      </c>
      <c r="AK49" t="s">
        <v>2625</v>
      </c>
      <c r="AN49" t="s">
        <v>2691</v>
      </c>
      <c r="AO49" t="s">
        <v>4647</v>
      </c>
      <c r="AP49" t="s">
        <v>449</v>
      </c>
      <c r="AS49" t="s">
        <v>5998</v>
      </c>
      <c r="AT49" t="s">
        <v>3558</v>
      </c>
      <c r="AV49" t="s">
        <v>3641</v>
      </c>
      <c r="AX49" t="s">
        <v>4462</v>
      </c>
      <c r="AY49" t="s">
        <v>3700</v>
      </c>
      <c r="BB49" t="s">
        <v>6626</v>
      </c>
      <c r="BC49" t="s">
        <v>3764</v>
      </c>
      <c r="BE49" t="s">
        <v>3896</v>
      </c>
      <c r="BF49" t="s">
        <v>1473</v>
      </c>
      <c r="BG49" t="s">
        <v>5320</v>
      </c>
      <c r="BH49" t="s">
        <v>6137</v>
      </c>
      <c r="BI49" t="s">
        <v>6210</v>
      </c>
      <c r="BJ49" t="s">
        <v>7627</v>
      </c>
      <c r="BK49" t="s">
        <v>6731</v>
      </c>
      <c r="BM49" t="s">
        <v>3951</v>
      </c>
      <c r="BN49" t="s">
        <v>7403</v>
      </c>
      <c r="BO49" t="s">
        <v>4516</v>
      </c>
      <c r="BT49" t="s">
        <v>2065</v>
      </c>
      <c r="BU49" t="s">
        <v>677</v>
      </c>
      <c r="BY49" t="s">
        <v>1030</v>
      </c>
      <c r="CA49" t="s">
        <v>2375</v>
      </c>
      <c r="CC49" t="s">
        <v>2447</v>
      </c>
      <c r="CD49" t="s">
        <v>7726</v>
      </c>
      <c r="CE49" t="s">
        <v>1564</v>
      </c>
      <c r="CF49" t="s">
        <v>6297</v>
      </c>
      <c r="CG49" t="s">
        <v>2787</v>
      </c>
      <c r="CJ49" t="s">
        <v>4135</v>
      </c>
      <c r="CK49" t="s">
        <v>6388</v>
      </c>
      <c r="CO49" t="s">
        <v>5406</v>
      </c>
      <c r="CQ49" t="s">
        <v>7241</v>
      </c>
      <c r="CR49" t="s">
        <v>7775</v>
      </c>
      <c r="CT49" t="s">
        <v>2120</v>
      </c>
      <c r="CU49" t="s">
        <v>7494</v>
      </c>
      <c r="CV49" t="s">
        <v>4211</v>
      </c>
      <c r="CX49" t="s">
        <v>5716</v>
      </c>
      <c r="CY49" t="s">
        <v>5790</v>
      </c>
      <c r="CZ49" t="s">
        <v>7911</v>
      </c>
      <c r="DA49" t="s">
        <v>1126</v>
      </c>
      <c r="DB49" t="s">
        <v>8008</v>
      </c>
      <c r="DC49" t="s">
        <v>2567</v>
      </c>
    </row>
    <row r="50" spans="2:107" x14ac:dyDescent="0.35">
      <c r="B50" t="s">
        <v>4699</v>
      </c>
      <c r="F50" t="s">
        <v>4885</v>
      </c>
      <c r="G50" t="s">
        <v>1176</v>
      </c>
      <c r="J50" t="s">
        <v>7568</v>
      </c>
      <c r="K50" t="s">
        <v>1293</v>
      </c>
      <c r="L50" t="s">
        <v>2855</v>
      </c>
      <c r="M50" t="s">
        <v>5001</v>
      </c>
      <c r="N50" t="s">
        <v>1721</v>
      </c>
      <c r="O50" t="s">
        <v>7126</v>
      </c>
      <c r="P50" t="s">
        <v>3097</v>
      </c>
      <c r="T50" t="s">
        <v>4565</v>
      </c>
      <c r="U50" t="s">
        <v>1370</v>
      </c>
      <c r="V50" t="s">
        <v>6551</v>
      </c>
      <c r="W50" t="s">
        <v>776</v>
      </c>
      <c r="X50" t="s">
        <v>346</v>
      </c>
      <c r="Y50" t="s">
        <v>3302</v>
      </c>
      <c r="Z50" t="s">
        <v>855</v>
      </c>
      <c r="AA50" t="s">
        <v>3447</v>
      </c>
      <c r="AC50" t="s">
        <v>5075</v>
      </c>
      <c r="AH50" t="s">
        <v>5940</v>
      </c>
      <c r="AJ50" t="s">
        <v>2253</v>
      </c>
      <c r="AK50" t="s">
        <v>2626</v>
      </c>
      <c r="AN50" t="s">
        <v>2692</v>
      </c>
      <c r="AO50" t="s">
        <v>4648</v>
      </c>
      <c r="AP50" t="s">
        <v>235</v>
      </c>
      <c r="AS50" t="s">
        <v>5999</v>
      </c>
      <c r="AT50" t="s">
        <v>3559</v>
      </c>
      <c r="AV50" t="s">
        <v>3642</v>
      </c>
      <c r="AX50" t="s">
        <v>4463</v>
      </c>
      <c r="AY50" t="s">
        <v>3701</v>
      </c>
      <c r="BB50" t="s">
        <v>277</v>
      </c>
      <c r="BC50" t="s">
        <v>3765</v>
      </c>
      <c r="BE50" t="s">
        <v>3897</v>
      </c>
      <c r="BF50" t="s">
        <v>1474</v>
      </c>
      <c r="BG50" t="s">
        <v>5321</v>
      </c>
      <c r="BH50" t="s">
        <v>6138</v>
      </c>
      <c r="BI50" t="s">
        <v>6211</v>
      </c>
      <c r="BJ50" t="s">
        <v>7628</v>
      </c>
      <c r="BK50" t="s">
        <v>6732</v>
      </c>
      <c r="BM50" t="s">
        <v>3952</v>
      </c>
      <c r="BN50" t="s">
        <v>7404</v>
      </c>
      <c r="BO50" t="s">
        <v>4517</v>
      </c>
      <c r="BT50" t="s">
        <v>2066</v>
      </c>
      <c r="BU50" t="s">
        <v>678</v>
      </c>
      <c r="BY50" t="s">
        <v>1031</v>
      </c>
      <c r="CA50" t="s">
        <v>2376</v>
      </c>
      <c r="CC50" t="s">
        <v>2448</v>
      </c>
      <c r="CD50" t="s">
        <v>7727</v>
      </c>
      <c r="CE50" t="s">
        <v>1565</v>
      </c>
      <c r="CF50" t="s">
        <v>6298</v>
      </c>
      <c r="CG50" t="s">
        <v>2788</v>
      </c>
      <c r="CJ50" t="s">
        <v>4136</v>
      </c>
      <c r="CK50" t="s">
        <v>6389</v>
      </c>
      <c r="CO50" t="s">
        <v>5407</v>
      </c>
      <c r="CQ50" t="s">
        <v>7242</v>
      </c>
      <c r="CR50" t="s">
        <v>7776</v>
      </c>
      <c r="CT50" t="s">
        <v>2121</v>
      </c>
      <c r="CU50" t="s">
        <v>7495</v>
      </c>
      <c r="CV50" t="s">
        <v>4212</v>
      </c>
      <c r="CX50" t="s">
        <v>5717</v>
      </c>
      <c r="CY50" t="s">
        <v>5791</v>
      </c>
      <c r="CZ50" t="s">
        <v>7912</v>
      </c>
      <c r="DA50" t="s">
        <v>1127</v>
      </c>
      <c r="DB50" t="s">
        <v>8009</v>
      </c>
      <c r="DC50" t="s">
        <v>2568</v>
      </c>
    </row>
    <row r="51" spans="2:107" x14ac:dyDescent="0.35">
      <c r="B51" t="s">
        <v>4700</v>
      </c>
      <c r="F51" t="s">
        <v>4886</v>
      </c>
      <c r="G51" t="s">
        <v>1177</v>
      </c>
      <c r="J51" t="s">
        <v>7569</v>
      </c>
      <c r="K51" t="s">
        <v>1294</v>
      </c>
      <c r="L51" t="s">
        <v>2856</v>
      </c>
      <c r="M51" t="s">
        <v>5002</v>
      </c>
      <c r="N51" t="s">
        <v>1722</v>
      </c>
      <c r="O51" t="s">
        <v>7127</v>
      </c>
      <c r="P51" t="s">
        <v>3098</v>
      </c>
      <c r="T51" t="s">
        <v>4566</v>
      </c>
      <c r="U51" t="s">
        <v>1371</v>
      </c>
      <c r="V51" t="s">
        <v>6552</v>
      </c>
      <c r="W51" t="s">
        <v>777</v>
      </c>
      <c r="X51" t="s">
        <v>347</v>
      </c>
      <c r="Y51" t="s">
        <v>3303</v>
      </c>
      <c r="Z51" t="s">
        <v>856</v>
      </c>
      <c r="AA51" t="s">
        <v>3448</v>
      </c>
      <c r="AC51" t="s">
        <v>5076</v>
      </c>
      <c r="AH51" t="s">
        <v>5941</v>
      </c>
      <c r="AJ51" t="s">
        <v>2254</v>
      </c>
      <c r="AK51" t="s">
        <v>2627</v>
      </c>
      <c r="AN51" t="s">
        <v>2693</v>
      </c>
      <c r="AO51" t="s">
        <v>4649</v>
      </c>
      <c r="AP51" t="s">
        <v>450</v>
      </c>
      <c r="AS51" t="s">
        <v>6000</v>
      </c>
      <c r="AT51" t="s">
        <v>3560</v>
      </c>
      <c r="AV51" t="s">
        <v>3643</v>
      </c>
      <c r="AX51" t="s">
        <v>4464</v>
      </c>
      <c r="AY51" t="s">
        <v>3702</v>
      </c>
      <c r="BB51" t="s">
        <v>6627</v>
      </c>
      <c r="BC51" t="s">
        <v>3766</v>
      </c>
      <c r="BE51" t="s">
        <v>3898</v>
      </c>
      <c r="BF51" t="s">
        <v>1475</v>
      </c>
      <c r="BG51" t="s">
        <v>5322</v>
      </c>
      <c r="BH51" t="s">
        <v>6139</v>
      </c>
      <c r="BI51" t="s">
        <v>6212</v>
      </c>
      <c r="BJ51" t="s">
        <v>7629</v>
      </c>
      <c r="BK51" t="s">
        <v>176</v>
      </c>
      <c r="BM51" t="s">
        <v>3953</v>
      </c>
      <c r="BN51" t="s">
        <v>7405</v>
      </c>
      <c r="BO51" t="s">
        <v>4518</v>
      </c>
      <c r="BT51" t="s">
        <v>2067</v>
      </c>
      <c r="BU51" t="s">
        <v>679</v>
      </c>
      <c r="BY51" t="s">
        <v>1032</v>
      </c>
      <c r="CA51" t="s">
        <v>2377</v>
      </c>
      <c r="CC51" t="s">
        <v>2449</v>
      </c>
      <c r="CD51" t="s">
        <v>7728</v>
      </c>
      <c r="CE51" t="s">
        <v>1566</v>
      </c>
      <c r="CF51" t="s">
        <v>6299</v>
      </c>
      <c r="CG51" t="s">
        <v>2789</v>
      </c>
      <c r="CJ51" t="s">
        <v>4137</v>
      </c>
      <c r="CK51" t="s">
        <v>6390</v>
      </c>
      <c r="CO51" t="s">
        <v>5408</v>
      </c>
      <c r="CQ51" t="s">
        <v>7243</v>
      </c>
      <c r="CR51" t="s">
        <v>7777</v>
      </c>
      <c r="CT51" t="s">
        <v>2122</v>
      </c>
      <c r="CU51" t="s">
        <v>7496</v>
      </c>
      <c r="CV51" t="s">
        <v>4213</v>
      </c>
      <c r="CX51" t="s">
        <v>5718</v>
      </c>
      <c r="CY51" t="s">
        <v>5792</v>
      </c>
      <c r="CZ51" t="s">
        <v>7913</v>
      </c>
      <c r="DA51" t="s">
        <v>1128</v>
      </c>
      <c r="DB51" t="s">
        <v>8010</v>
      </c>
      <c r="DC51" t="s">
        <v>2569</v>
      </c>
    </row>
    <row r="52" spans="2:107" x14ac:dyDescent="0.35">
      <c r="B52" t="s">
        <v>4701</v>
      </c>
      <c r="F52" t="s">
        <v>4887</v>
      </c>
      <c r="G52" t="s">
        <v>1178</v>
      </c>
      <c r="J52" t="s">
        <v>7570</v>
      </c>
      <c r="K52" t="s">
        <v>1295</v>
      </c>
      <c r="L52" t="s">
        <v>2857</v>
      </c>
      <c r="M52" t="s">
        <v>5003</v>
      </c>
      <c r="N52" t="s">
        <v>1723</v>
      </c>
      <c r="O52" t="s">
        <v>7128</v>
      </c>
      <c r="P52" t="s">
        <v>3099</v>
      </c>
      <c r="T52" t="s">
        <v>4567</v>
      </c>
      <c r="U52" t="s">
        <v>1372</v>
      </c>
      <c r="V52" t="s">
        <v>6553</v>
      </c>
      <c r="W52" t="s">
        <v>778</v>
      </c>
      <c r="X52" t="s">
        <v>348</v>
      </c>
      <c r="Y52" t="s">
        <v>256</v>
      </c>
      <c r="Z52" t="s">
        <v>857</v>
      </c>
      <c r="AA52" t="s">
        <v>3449</v>
      </c>
      <c r="AC52" t="s">
        <v>5077</v>
      </c>
      <c r="AH52" t="s">
        <v>5942</v>
      </c>
      <c r="AJ52" t="s">
        <v>2255</v>
      </c>
      <c r="AK52" t="s">
        <v>2628</v>
      </c>
      <c r="AN52" t="s">
        <v>2694</v>
      </c>
      <c r="AO52" t="s">
        <v>4650</v>
      </c>
      <c r="AP52" t="s">
        <v>451</v>
      </c>
      <c r="AS52" t="s">
        <v>6001</v>
      </c>
      <c r="AT52" t="s">
        <v>3561</v>
      </c>
      <c r="AV52" t="s">
        <v>3644</v>
      </c>
      <c r="AX52" t="s">
        <v>4465</v>
      </c>
      <c r="AY52" t="s">
        <v>3703</v>
      </c>
      <c r="BB52" t="s">
        <v>6628</v>
      </c>
      <c r="BC52" t="s">
        <v>3767</v>
      </c>
      <c r="BE52" t="s">
        <v>3899</v>
      </c>
      <c r="BF52" t="s">
        <v>64</v>
      </c>
      <c r="BG52" t="s">
        <v>5323</v>
      </c>
      <c r="BH52" t="s">
        <v>6140</v>
      </c>
      <c r="BI52" t="s">
        <v>6213</v>
      </c>
      <c r="BJ52" t="s">
        <v>7630</v>
      </c>
      <c r="BK52" t="s">
        <v>6733</v>
      </c>
      <c r="BM52" t="s">
        <v>3954</v>
      </c>
      <c r="BN52" t="s">
        <v>7406</v>
      </c>
      <c r="BU52" t="s">
        <v>680</v>
      </c>
      <c r="BY52" t="s">
        <v>1033</v>
      </c>
      <c r="CA52" t="s">
        <v>2378</v>
      </c>
      <c r="CC52" t="s">
        <v>2450</v>
      </c>
      <c r="CE52" t="s">
        <v>1567</v>
      </c>
      <c r="CF52" t="s">
        <v>6300</v>
      </c>
      <c r="CG52" t="s">
        <v>2790</v>
      </c>
      <c r="CJ52" t="s">
        <v>4138</v>
      </c>
      <c r="CK52" t="s">
        <v>6391</v>
      </c>
      <c r="CO52" t="s">
        <v>5409</v>
      </c>
      <c r="CQ52" t="s">
        <v>7244</v>
      </c>
      <c r="CR52" t="s">
        <v>7778</v>
      </c>
      <c r="CT52" t="s">
        <v>2123</v>
      </c>
      <c r="CU52" t="s">
        <v>7497</v>
      </c>
      <c r="CV52" t="s">
        <v>4214</v>
      </c>
      <c r="CX52" t="s">
        <v>5719</v>
      </c>
      <c r="CY52" t="s">
        <v>5793</v>
      </c>
      <c r="CZ52" t="s">
        <v>7914</v>
      </c>
      <c r="DB52" t="s">
        <v>8011</v>
      </c>
      <c r="DC52" t="s">
        <v>2570</v>
      </c>
    </row>
    <row r="53" spans="2:107" x14ac:dyDescent="0.35">
      <c r="B53" t="s">
        <v>4702</v>
      </c>
      <c r="F53" t="s">
        <v>4888</v>
      </c>
      <c r="G53" t="s">
        <v>1179</v>
      </c>
      <c r="J53" t="s">
        <v>7571</v>
      </c>
      <c r="K53" t="s">
        <v>1296</v>
      </c>
      <c r="L53" t="s">
        <v>2858</v>
      </c>
      <c r="M53" t="s">
        <v>5004</v>
      </c>
      <c r="N53" t="s">
        <v>1724</v>
      </c>
      <c r="O53" t="s">
        <v>7129</v>
      </c>
      <c r="P53" t="s">
        <v>3100</v>
      </c>
      <c r="T53" t="s">
        <v>4568</v>
      </c>
      <c r="U53" t="s">
        <v>1373</v>
      </c>
      <c r="V53" t="s">
        <v>6554</v>
      </c>
      <c r="W53" t="s">
        <v>779</v>
      </c>
      <c r="X53" t="s">
        <v>349</v>
      </c>
      <c r="Y53" t="s">
        <v>3304</v>
      </c>
      <c r="Z53" t="s">
        <v>858</v>
      </c>
      <c r="AA53" t="s">
        <v>3450</v>
      </c>
      <c r="AC53" t="s">
        <v>5078</v>
      </c>
      <c r="AH53" t="s">
        <v>5943</v>
      </c>
      <c r="AJ53" t="s">
        <v>2256</v>
      </c>
      <c r="AK53" t="s">
        <v>2629</v>
      </c>
      <c r="AN53" t="s">
        <v>2695</v>
      </c>
      <c r="AO53" t="s">
        <v>4651</v>
      </c>
      <c r="AP53" t="s">
        <v>452</v>
      </c>
      <c r="AS53" t="s">
        <v>6002</v>
      </c>
      <c r="AT53" t="s">
        <v>3562</v>
      </c>
      <c r="AV53" t="s">
        <v>3645</v>
      </c>
      <c r="AX53" t="s">
        <v>4466</v>
      </c>
      <c r="AY53" t="s">
        <v>3704</v>
      </c>
      <c r="BB53" t="s">
        <v>6629</v>
      </c>
      <c r="BC53" t="s">
        <v>3768</v>
      </c>
      <c r="BE53" t="s">
        <v>3900</v>
      </c>
      <c r="BF53" t="s">
        <v>1476</v>
      </c>
      <c r="BG53" t="s">
        <v>5324</v>
      </c>
      <c r="BH53" t="s">
        <v>6141</v>
      </c>
      <c r="BI53" t="s">
        <v>6214</v>
      </c>
      <c r="BJ53" t="s">
        <v>7631</v>
      </c>
      <c r="BK53" t="s">
        <v>6734</v>
      </c>
      <c r="BM53" t="s">
        <v>3955</v>
      </c>
      <c r="BN53" t="s">
        <v>7407</v>
      </c>
      <c r="BU53" t="s">
        <v>681</v>
      </c>
      <c r="BY53" t="s">
        <v>1034</v>
      </c>
      <c r="CA53" t="s">
        <v>2379</v>
      </c>
      <c r="CC53" t="s">
        <v>2451</v>
      </c>
      <c r="CE53" t="s">
        <v>1568</v>
      </c>
      <c r="CF53" t="s">
        <v>6301</v>
      </c>
      <c r="CG53" t="s">
        <v>2791</v>
      </c>
      <c r="CJ53" t="s">
        <v>4139</v>
      </c>
      <c r="CK53" t="s">
        <v>6392</v>
      </c>
      <c r="CO53" t="s">
        <v>5410</v>
      </c>
      <c r="CQ53" t="s">
        <v>7245</v>
      </c>
      <c r="CR53" t="s">
        <v>7779</v>
      </c>
      <c r="CT53" t="s">
        <v>2124</v>
      </c>
      <c r="CU53" t="s">
        <v>7498</v>
      </c>
      <c r="CV53" t="s">
        <v>4215</v>
      </c>
      <c r="CX53" t="s">
        <v>5720</v>
      </c>
      <c r="CY53" t="s">
        <v>5794</v>
      </c>
      <c r="CZ53" t="s">
        <v>7915</v>
      </c>
      <c r="DB53" t="s">
        <v>8012</v>
      </c>
      <c r="DC53" t="s">
        <v>2571</v>
      </c>
    </row>
    <row r="54" spans="2:107" x14ac:dyDescent="0.35">
      <c r="B54" t="s">
        <v>4703</v>
      </c>
      <c r="F54" t="s">
        <v>4889</v>
      </c>
      <c r="G54" t="s">
        <v>1180</v>
      </c>
      <c r="J54" t="s">
        <v>7572</v>
      </c>
      <c r="K54" t="s">
        <v>1297</v>
      </c>
      <c r="L54" t="s">
        <v>2859</v>
      </c>
      <c r="M54" t="s">
        <v>5005</v>
      </c>
      <c r="N54" t="s">
        <v>1725</v>
      </c>
      <c r="O54" t="s">
        <v>7130</v>
      </c>
      <c r="P54" t="s">
        <v>3101</v>
      </c>
      <c r="T54" t="s">
        <v>4569</v>
      </c>
      <c r="U54" t="s">
        <v>1374</v>
      </c>
      <c r="V54" t="s">
        <v>6555</v>
      </c>
      <c r="W54" t="s">
        <v>780</v>
      </c>
      <c r="X54" t="s">
        <v>350</v>
      </c>
      <c r="Y54" t="s">
        <v>3305</v>
      </c>
      <c r="Z54" t="s">
        <v>859</v>
      </c>
      <c r="AA54" t="s">
        <v>3451</v>
      </c>
      <c r="AC54" t="s">
        <v>5079</v>
      </c>
      <c r="AH54" t="s">
        <v>5944</v>
      </c>
      <c r="AJ54" t="s">
        <v>2257</v>
      </c>
      <c r="AK54" t="s">
        <v>2630</v>
      </c>
      <c r="AN54" t="s">
        <v>2696</v>
      </c>
      <c r="AP54" t="s">
        <v>453</v>
      </c>
      <c r="AS54" t="s">
        <v>6003</v>
      </c>
      <c r="AT54" t="s">
        <v>3563</v>
      </c>
      <c r="AV54" t="s">
        <v>3646</v>
      </c>
      <c r="AX54" t="s">
        <v>4467</v>
      </c>
      <c r="AY54" t="s">
        <v>3705</v>
      </c>
      <c r="BB54" t="s">
        <v>6630</v>
      </c>
      <c r="BC54" t="s">
        <v>3769</v>
      </c>
      <c r="BE54" t="s">
        <v>3901</v>
      </c>
      <c r="BF54" t="s">
        <v>1477</v>
      </c>
      <c r="BG54" t="s">
        <v>5325</v>
      </c>
      <c r="BH54" t="s">
        <v>6142</v>
      </c>
      <c r="BI54" t="s">
        <v>6215</v>
      </c>
      <c r="BJ54" t="s">
        <v>7632</v>
      </c>
      <c r="BK54" t="s">
        <v>6735</v>
      </c>
      <c r="BM54" t="s">
        <v>3956</v>
      </c>
      <c r="BN54" t="s">
        <v>7408</v>
      </c>
      <c r="BU54" t="s">
        <v>682</v>
      </c>
      <c r="BY54" t="s">
        <v>1035</v>
      </c>
      <c r="CA54" t="s">
        <v>2380</v>
      </c>
      <c r="CC54" t="s">
        <v>2452</v>
      </c>
      <c r="CE54" t="s">
        <v>1569</v>
      </c>
      <c r="CF54" t="s">
        <v>6302</v>
      </c>
      <c r="CG54" t="s">
        <v>2792</v>
      </c>
      <c r="CJ54" t="s">
        <v>4140</v>
      </c>
      <c r="CK54" t="s">
        <v>6393</v>
      </c>
      <c r="CO54" t="s">
        <v>5411</v>
      </c>
      <c r="CQ54" t="s">
        <v>7246</v>
      </c>
      <c r="CR54" t="s">
        <v>7780</v>
      </c>
      <c r="CT54" t="s">
        <v>2125</v>
      </c>
      <c r="CU54" t="s">
        <v>7499</v>
      </c>
      <c r="CV54" t="s">
        <v>4216</v>
      </c>
      <c r="CX54" t="s">
        <v>5721</v>
      </c>
      <c r="CY54" t="s">
        <v>5795</v>
      </c>
      <c r="CZ54" t="s">
        <v>7916</v>
      </c>
      <c r="DB54" t="s">
        <v>8013</v>
      </c>
      <c r="DC54" t="s">
        <v>2572</v>
      </c>
    </row>
    <row r="55" spans="2:107" x14ac:dyDescent="0.35">
      <c r="B55" t="s">
        <v>4704</v>
      </c>
      <c r="F55" t="s">
        <v>4890</v>
      </c>
      <c r="G55" t="s">
        <v>1181</v>
      </c>
      <c r="J55" t="s">
        <v>7573</v>
      </c>
      <c r="K55" t="s">
        <v>1298</v>
      </c>
      <c r="L55" t="s">
        <v>2860</v>
      </c>
      <c r="M55" t="s">
        <v>5006</v>
      </c>
      <c r="N55" t="s">
        <v>1726</v>
      </c>
      <c r="O55" t="s">
        <v>7131</v>
      </c>
      <c r="P55" t="s">
        <v>3102</v>
      </c>
      <c r="T55" t="s">
        <v>4570</v>
      </c>
      <c r="U55" t="s">
        <v>1375</v>
      </c>
      <c r="V55" t="s">
        <v>6556</v>
      </c>
      <c r="W55" t="s">
        <v>781</v>
      </c>
      <c r="X55" t="s">
        <v>351</v>
      </c>
      <c r="Y55" t="s">
        <v>3306</v>
      </c>
      <c r="Z55" t="s">
        <v>860</v>
      </c>
      <c r="AA55" t="s">
        <v>3452</v>
      </c>
      <c r="AC55" t="s">
        <v>5080</v>
      </c>
      <c r="AH55" t="s">
        <v>5945</v>
      </c>
      <c r="AJ55" t="s">
        <v>2258</v>
      </c>
      <c r="AK55" t="s">
        <v>2631</v>
      </c>
      <c r="AN55" t="s">
        <v>2697</v>
      </c>
      <c r="AP55" t="s">
        <v>454</v>
      </c>
      <c r="AS55" t="s">
        <v>6004</v>
      </c>
      <c r="AT55" t="s">
        <v>3564</v>
      </c>
      <c r="AV55" t="s">
        <v>3647</v>
      </c>
      <c r="AX55" t="s">
        <v>4468</v>
      </c>
      <c r="AY55" t="s">
        <v>3706</v>
      </c>
      <c r="BB55" t="s">
        <v>6631</v>
      </c>
      <c r="BC55" t="s">
        <v>3770</v>
      </c>
      <c r="BE55" t="s">
        <v>3902</v>
      </c>
      <c r="BF55" t="s">
        <v>1478</v>
      </c>
      <c r="BG55" t="s">
        <v>5326</v>
      </c>
      <c r="BH55" t="s">
        <v>6143</v>
      </c>
      <c r="BI55" t="s">
        <v>6216</v>
      </c>
      <c r="BJ55" t="s">
        <v>7633</v>
      </c>
      <c r="BK55" t="s">
        <v>141</v>
      </c>
      <c r="BM55" t="s">
        <v>3957</v>
      </c>
      <c r="BN55" t="s">
        <v>7409</v>
      </c>
      <c r="BU55" t="s">
        <v>683</v>
      </c>
      <c r="BY55" t="s">
        <v>1036</v>
      </c>
      <c r="CA55" t="s">
        <v>2381</v>
      </c>
      <c r="CC55" t="s">
        <v>2453</v>
      </c>
      <c r="CE55" t="s">
        <v>1570</v>
      </c>
      <c r="CF55" t="s">
        <v>6303</v>
      </c>
      <c r="CG55" t="s">
        <v>2793</v>
      </c>
      <c r="CJ55" t="s">
        <v>4141</v>
      </c>
      <c r="CK55" t="s">
        <v>6394</v>
      </c>
      <c r="CO55" t="s">
        <v>5412</v>
      </c>
      <c r="CQ55" t="s">
        <v>7247</v>
      </c>
      <c r="CR55" t="s">
        <v>7781</v>
      </c>
      <c r="CT55" t="s">
        <v>2126</v>
      </c>
      <c r="CU55" t="s">
        <v>7500</v>
      </c>
      <c r="CV55" t="s">
        <v>4217</v>
      </c>
      <c r="CX55" t="s">
        <v>5722</v>
      </c>
      <c r="CY55" t="s">
        <v>5796</v>
      </c>
      <c r="CZ55" t="s">
        <v>7917</v>
      </c>
      <c r="DB55" t="s">
        <v>8014</v>
      </c>
      <c r="DC55" t="s">
        <v>2573</v>
      </c>
    </row>
    <row r="56" spans="2:107" x14ac:dyDescent="0.35">
      <c r="B56" t="s">
        <v>4705</v>
      </c>
      <c r="F56" t="s">
        <v>4891</v>
      </c>
      <c r="G56" t="s">
        <v>1182</v>
      </c>
      <c r="J56" t="s">
        <v>7574</v>
      </c>
      <c r="K56" t="s">
        <v>1299</v>
      </c>
      <c r="L56" t="s">
        <v>2861</v>
      </c>
      <c r="M56" t="s">
        <v>5007</v>
      </c>
      <c r="N56" t="s">
        <v>1727</v>
      </c>
      <c r="O56" t="s">
        <v>7132</v>
      </c>
      <c r="P56" t="s">
        <v>3103</v>
      </c>
      <c r="T56" t="s">
        <v>4571</v>
      </c>
      <c r="U56" t="s">
        <v>1376</v>
      </c>
      <c r="V56" t="s">
        <v>6557</v>
      </c>
      <c r="W56" t="s">
        <v>782</v>
      </c>
      <c r="X56" t="s">
        <v>352</v>
      </c>
      <c r="Y56" t="s">
        <v>3307</v>
      </c>
      <c r="Z56" t="s">
        <v>861</v>
      </c>
      <c r="AA56" t="s">
        <v>3453</v>
      </c>
      <c r="AC56" t="s">
        <v>5081</v>
      </c>
      <c r="AH56" t="s">
        <v>5946</v>
      </c>
      <c r="AJ56" t="s">
        <v>2259</v>
      </c>
      <c r="AK56" t="s">
        <v>2632</v>
      </c>
      <c r="AN56" t="s">
        <v>2698</v>
      </c>
      <c r="AP56" t="s">
        <v>455</v>
      </c>
      <c r="AS56" t="s">
        <v>6005</v>
      </c>
      <c r="AT56" t="s">
        <v>3565</v>
      </c>
      <c r="AV56" t="s">
        <v>3648</v>
      </c>
      <c r="AX56" t="s">
        <v>4469</v>
      </c>
      <c r="AY56" t="s">
        <v>3707</v>
      </c>
      <c r="BB56" t="s">
        <v>6632</v>
      </c>
      <c r="BC56" t="s">
        <v>3771</v>
      </c>
      <c r="BE56" t="s">
        <v>3903</v>
      </c>
      <c r="BF56" t="s">
        <v>1479</v>
      </c>
      <c r="BG56" t="s">
        <v>5327</v>
      </c>
      <c r="BH56" t="s">
        <v>6144</v>
      </c>
      <c r="BI56" t="s">
        <v>6217</v>
      </c>
      <c r="BJ56" t="s">
        <v>7634</v>
      </c>
      <c r="BK56" t="s">
        <v>6736</v>
      </c>
      <c r="BM56" t="s">
        <v>3958</v>
      </c>
      <c r="BN56" t="s">
        <v>7410</v>
      </c>
      <c r="BU56" t="s">
        <v>684</v>
      </c>
      <c r="BY56" t="s">
        <v>1037</v>
      </c>
      <c r="CA56" t="s">
        <v>2382</v>
      </c>
      <c r="CC56" t="s">
        <v>2454</v>
      </c>
      <c r="CE56" t="s">
        <v>1571</v>
      </c>
      <c r="CF56" t="s">
        <v>6304</v>
      </c>
      <c r="CG56" t="s">
        <v>2794</v>
      </c>
      <c r="CJ56" t="s">
        <v>4142</v>
      </c>
      <c r="CK56" t="s">
        <v>6395</v>
      </c>
      <c r="CO56" t="s">
        <v>5413</v>
      </c>
      <c r="CQ56" t="s">
        <v>7248</v>
      </c>
      <c r="CR56" t="s">
        <v>7782</v>
      </c>
      <c r="CT56" t="s">
        <v>2127</v>
      </c>
      <c r="CU56" t="s">
        <v>7501</v>
      </c>
      <c r="CV56" t="s">
        <v>4218</v>
      </c>
      <c r="CX56" t="s">
        <v>5723</v>
      </c>
      <c r="CY56" t="s">
        <v>5797</v>
      </c>
      <c r="CZ56" t="s">
        <v>7918</v>
      </c>
      <c r="DB56" t="s">
        <v>8015</v>
      </c>
      <c r="DC56" t="s">
        <v>2574</v>
      </c>
    </row>
    <row r="57" spans="2:107" x14ac:dyDescent="0.35">
      <c r="B57" t="s">
        <v>4706</v>
      </c>
      <c r="F57" t="s">
        <v>4892</v>
      </c>
      <c r="G57" t="s">
        <v>1183</v>
      </c>
      <c r="J57" t="s">
        <v>7575</v>
      </c>
      <c r="K57" t="s">
        <v>1300</v>
      </c>
      <c r="L57" t="s">
        <v>2862</v>
      </c>
      <c r="M57" t="s">
        <v>5008</v>
      </c>
      <c r="O57" t="s">
        <v>7133</v>
      </c>
      <c r="P57" t="s">
        <v>3104</v>
      </c>
      <c r="T57" t="s">
        <v>4572</v>
      </c>
      <c r="U57" t="s">
        <v>1377</v>
      </c>
      <c r="V57" t="s">
        <v>6558</v>
      </c>
      <c r="W57" t="s">
        <v>783</v>
      </c>
      <c r="X57" t="s">
        <v>353</v>
      </c>
      <c r="Y57" t="s">
        <v>3308</v>
      </c>
      <c r="Z57" t="s">
        <v>862</v>
      </c>
      <c r="AA57" t="s">
        <v>3454</v>
      </c>
      <c r="AC57" t="s">
        <v>5082</v>
      </c>
      <c r="AH57" t="s">
        <v>5947</v>
      </c>
      <c r="AJ57" t="s">
        <v>2260</v>
      </c>
      <c r="AK57" t="s">
        <v>2633</v>
      </c>
      <c r="AN57" t="s">
        <v>2699</v>
      </c>
      <c r="AP57" t="s">
        <v>456</v>
      </c>
      <c r="AS57" t="s">
        <v>6006</v>
      </c>
      <c r="AT57" t="s">
        <v>3566</v>
      </c>
      <c r="AV57" t="s">
        <v>3649</v>
      </c>
      <c r="AY57" t="s">
        <v>3708</v>
      </c>
      <c r="BB57" t="s">
        <v>6633</v>
      </c>
      <c r="BC57" t="s">
        <v>3772</v>
      </c>
      <c r="BF57" t="s">
        <v>1480</v>
      </c>
      <c r="BG57" t="s">
        <v>5328</v>
      </c>
      <c r="BH57" t="s">
        <v>6145</v>
      </c>
      <c r="BI57" t="s">
        <v>6218</v>
      </c>
      <c r="BJ57" t="s">
        <v>7635</v>
      </c>
      <c r="BK57" t="s">
        <v>6737</v>
      </c>
      <c r="BM57" t="s">
        <v>3959</v>
      </c>
      <c r="BN57" t="s">
        <v>7411</v>
      </c>
      <c r="BU57" t="s">
        <v>685</v>
      </c>
      <c r="BY57" t="s">
        <v>1038</v>
      </c>
      <c r="CA57" t="s">
        <v>2383</v>
      </c>
      <c r="CC57" t="s">
        <v>2455</v>
      </c>
      <c r="CE57" t="s">
        <v>1572</v>
      </c>
      <c r="CF57" t="s">
        <v>6305</v>
      </c>
      <c r="CG57" t="s">
        <v>267</v>
      </c>
      <c r="CJ57" t="s">
        <v>4143</v>
      </c>
      <c r="CK57" t="s">
        <v>6396</v>
      </c>
      <c r="CO57" t="s">
        <v>5414</v>
      </c>
      <c r="CQ57" t="s">
        <v>7249</v>
      </c>
      <c r="CR57" t="s">
        <v>7783</v>
      </c>
      <c r="CT57" t="s">
        <v>2128</v>
      </c>
      <c r="CU57" t="s">
        <v>7502</v>
      </c>
      <c r="CV57" t="s">
        <v>4219</v>
      </c>
      <c r="CX57" t="s">
        <v>5724</v>
      </c>
      <c r="CY57" t="s">
        <v>5798</v>
      </c>
      <c r="CZ57" t="s">
        <v>7919</v>
      </c>
      <c r="DB57" t="s">
        <v>8016</v>
      </c>
      <c r="DC57" t="s">
        <v>2575</v>
      </c>
    </row>
    <row r="58" spans="2:107" x14ac:dyDescent="0.35">
      <c r="B58" t="s">
        <v>4707</v>
      </c>
      <c r="F58" t="s">
        <v>4893</v>
      </c>
      <c r="G58" t="s">
        <v>1184</v>
      </c>
      <c r="J58" t="s">
        <v>7576</v>
      </c>
      <c r="K58" t="s">
        <v>1301</v>
      </c>
      <c r="L58" t="s">
        <v>2863</v>
      </c>
      <c r="M58" t="s">
        <v>5009</v>
      </c>
      <c r="O58" t="s">
        <v>7134</v>
      </c>
      <c r="P58" t="s">
        <v>3105</v>
      </c>
      <c r="T58" t="s">
        <v>4573</v>
      </c>
      <c r="U58" t="s">
        <v>1378</v>
      </c>
      <c r="V58" t="s">
        <v>6559</v>
      </c>
      <c r="W58" t="s">
        <v>784</v>
      </c>
      <c r="X58" t="s">
        <v>354</v>
      </c>
      <c r="Y58" t="s">
        <v>3309</v>
      </c>
      <c r="Z58" t="s">
        <v>863</v>
      </c>
      <c r="AA58" t="s">
        <v>3455</v>
      </c>
      <c r="AC58" t="s">
        <v>5083</v>
      </c>
      <c r="AH58" t="s">
        <v>5948</v>
      </c>
      <c r="AJ58" t="s">
        <v>2261</v>
      </c>
      <c r="AK58" t="s">
        <v>2634</v>
      </c>
      <c r="AN58" t="s">
        <v>2700</v>
      </c>
      <c r="AP58" t="s">
        <v>457</v>
      </c>
      <c r="AS58" t="s">
        <v>6007</v>
      </c>
      <c r="AT58" t="s">
        <v>3567</v>
      </c>
      <c r="AV58" t="s">
        <v>3650</v>
      </c>
      <c r="AY58" t="s">
        <v>3709</v>
      </c>
      <c r="BB58" t="s">
        <v>6634</v>
      </c>
      <c r="BC58" t="s">
        <v>3773</v>
      </c>
      <c r="BF58" t="s">
        <v>1481</v>
      </c>
      <c r="BG58" t="s">
        <v>5329</v>
      </c>
      <c r="BH58" t="s">
        <v>6146</v>
      </c>
      <c r="BI58" t="s">
        <v>6219</v>
      </c>
      <c r="BJ58" t="s">
        <v>7636</v>
      </c>
      <c r="BK58" t="s">
        <v>6738</v>
      </c>
      <c r="BM58" t="s">
        <v>3960</v>
      </c>
      <c r="BN58" t="s">
        <v>7412</v>
      </c>
      <c r="BU58" t="s">
        <v>686</v>
      </c>
      <c r="BY58" t="s">
        <v>1039</v>
      </c>
      <c r="CA58" t="s">
        <v>2384</v>
      </c>
      <c r="CC58" t="s">
        <v>2456</v>
      </c>
      <c r="CE58" t="s">
        <v>1573</v>
      </c>
      <c r="CF58" t="s">
        <v>6306</v>
      </c>
      <c r="CG58" t="s">
        <v>2795</v>
      </c>
      <c r="CJ58" t="s">
        <v>4144</v>
      </c>
      <c r="CK58" t="s">
        <v>6397</v>
      </c>
      <c r="CO58" t="s">
        <v>5415</v>
      </c>
      <c r="CQ58" t="s">
        <v>7250</v>
      </c>
      <c r="CR58" t="s">
        <v>7784</v>
      </c>
      <c r="CT58" t="s">
        <v>2129</v>
      </c>
      <c r="CU58" t="s">
        <v>7503</v>
      </c>
      <c r="CV58" t="s">
        <v>4220</v>
      </c>
      <c r="CX58" t="s">
        <v>5725</v>
      </c>
      <c r="CY58" t="s">
        <v>5799</v>
      </c>
      <c r="CZ58" t="s">
        <v>7920</v>
      </c>
      <c r="DB58" t="s">
        <v>8017</v>
      </c>
      <c r="DC58" t="s">
        <v>2576</v>
      </c>
    </row>
    <row r="59" spans="2:107" x14ac:dyDescent="0.35">
      <c r="B59" t="s">
        <v>4708</v>
      </c>
      <c r="F59" t="s">
        <v>4894</v>
      </c>
      <c r="G59" t="s">
        <v>1185</v>
      </c>
      <c r="J59" t="s">
        <v>7577</v>
      </c>
      <c r="K59" t="s">
        <v>1302</v>
      </c>
      <c r="L59" t="s">
        <v>2864</v>
      </c>
      <c r="M59" t="s">
        <v>5010</v>
      </c>
      <c r="O59" t="s">
        <v>7135</v>
      </c>
      <c r="P59" t="s">
        <v>3106</v>
      </c>
      <c r="T59" t="s">
        <v>4574</v>
      </c>
      <c r="U59" t="s">
        <v>1379</v>
      </c>
      <c r="V59" t="s">
        <v>6560</v>
      </c>
      <c r="W59" t="s">
        <v>785</v>
      </c>
      <c r="X59" t="s">
        <v>355</v>
      </c>
      <c r="Y59" t="s">
        <v>3310</v>
      </c>
      <c r="Z59" t="s">
        <v>864</v>
      </c>
      <c r="AA59" t="s">
        <v>3456</v>
      </c>
      <c r="AC59" t="s">
        <v>5084</v>
      </c>
      <c r="AH59" t="s">
        <v>5949</v>
      </c>
      <c r="AJ59" t="s">
        <v>2262</v>
      </c>
      <c r="AK59" t="s">
        <v>2635</v>
      </c>
      <c r="AN59" t="s">
        <v>2701</v>
      </c>
      <c r="AP59" t="s">
        <v>458</v>
      </c>
      <c r="AS59" t="s">
        <v>6008</v>
      </c>
      <c r="AT59" t="s">
        <v>3568</v>
      </c>
      <c r="AV59" t="s">
        <v>3651</v>
      </c>
      <c r="AY59" t="s">
        <v>3710</v>
      </c>
      <c r="BB59" t="s">
        <v>6635</v>
      </c>
      <c r="BC59" t="s">
        <v>3774</v>
      </c>
      <c r="BF59" t="s">
        <v>1482</v>
      </c>
      <c r="BG59" t="s">
        <v>274</v>
      </c>
      <c r="BH59" t="s">
        <v>6147</v>
      </c>
      <c r="BI59" t="s">
        <v>6220</v>
      </c>
      <c r="BJ59" t="s">
        <v>65</v>
      </c>
      <c r="BK59" t="s">
        <v>142</v>
      </c>
      <c r="BM59" t="s">
        <v>3961</v>
      </c>
      <c r="BN59" t="s">
        <v>7413</v>
      </c>
      <c r="BU59" t="s">
        <v>687</v>
      </c>
      <c r="BY59" t="s">
        <v>1040</v>
      </c>
      <c r="CA59" t="s">
        <v>2385</v>
      </c>
      <c r="CC59" t="s">
        <v>2457</v>
      </c>
      <c r="CE59" t="s">
        <v>1574</v>
      </c>
      <c r="CF59" t="s">
        <v>6307</v>
      </c>
      <c r="CG59" t="s">
        <v>2796</v>
      </c>
      <c r="CJ59" t="s">
        <v>4145</v>
      </c>
      <c r="CK59" t="s">
        <v>6398</v>
      </c>
      <c r="CO59" t="s">
        <v>5416</v>
      </c>
      <c r="CQ59" t="s">
        <v>7251</v>
      </c>
      <c r="CR59" t="s">
        <v>7785</v>
      </c>
      <c r="CT59" t="s">
        <v>2130</v>
      </c>
      <c r="CU59" t="s">
        <v>7504</v>
      </c>
      <c r="CV59" t="s">
        <v>4221</v>
      </c>
      <c r="CX59" t="s">
        <v>5726</v>
      </c>
      <c r="CY59" t="s">
        <v>5800</v>
      </c>
      <c r="CZ59" t="s">
        <v>7921</v>
      </c>
      <c r="DB59" t="s">
        <v>8018</v>
      </c>
      <c r="DC59" t="s">
        <v>2577</v>
      </c>
    </row>
    <row r="60" spans="2:107" x14ac:dyDescent="0.35">
      <c r="B60" t="s">
        <v>4709</v>
      </c>
      <c r="F60" t="s">
        <v>4895</v>
      </c>
      <c r="G60" t="s">
        <v>1186</v>
      </c>
      <c r="J60" t="s">
        <v>7578</v>
      </c>
      <c r="K60" t="s">
        <v>1303</v>
      </c>
      <c r="L60" t="s">
        <v>2865</v>
      </c>
      <c r="M60" t="s">
        <v>5011</v>
      </c>
      <c r="O60" t="s">
        <v>7136</v>
      </c>
      <c r="P60" t="s">
        <v>3107</v>
      </c>
      <c r="T60" t="s">
        <v>4575</v>
      </c>
      <c r="U60" t="s">
        <v>1380</v>
      </c>
      <c r="W60" t="s">
        <v>786</v>
      </c>
      <c r="X60" t="s">
        <v>356</v>
      </c>
      <c r="Y60" t="s">
        <v>3311</v>
      </c>
      <c r="Z60" t="s">
        <v>865</v>
      </c>
      <c r="AA60" t="s">
        <v>3457</v>
      </c>
      <c r="AC60" t="s">
        <v>5085</v>
      </c>
      <c r="AH60" t="s">
        <v>5950</v>
      </c>
      <c r="AJ60" t="s">
        <v>2263</v>
      </c>
      <c r="AK60" t="s">
        <v>2636</v>
      </c>
      <c r="AN60" t="s">
        <v>2702</v>
      </c>
      <c r="AP60" t="s">
        <v>459</v>
      </c>
      <c r="AS60" t="s">
        <v>6009</v>
      </c>
      <c r="AT60" t="s">
        <v>3569</v>
      </c>
      <c r="AV60" t="s">
        <v>3652</v>
      </c>
      <c r="AY60" t="s">
        <v>3711</v>
      </c>
      <c r="BB60" t="s">
        <v>6636</v>
      </c>
      <c r="BC60" t="s">
        <v>3775</v>
      </c>
      <c r="BF60" t="s">
        <v>1483</v>
      </c>
      <c r="BG60" t="s">
        <v>5330</v>
      </c>
      <c r="BH60" t="s">
        <v>6148</v>
      </c>
      <c r="BI60" t="s">
        <v>6221</v>
      </c>
      <c r="BJ60" t="s">
        <v>7637</v>
      </c>
      <c r="BK60" t="s">
        <v>6739</v>
      </c>
      <c r="BM60" t="s">
        <v>3962</v>
      </c>
      <c r="BN60" t="s">
        <v>7414</v>
      </c>
      <c r="BU60" t="s">
        <v>688</v>
      </c>
      <c r="BY60" t="s">
        <v>1041</v>
      </c>
      <c r="CA60" t="s">
        <v>254</v>
      </c>
      <c r="CC60" t="s">
        <v>2458</v>
      </c>
      <c r="CE60" t="s">
        <v>1575</v>
      </c>
      <c r="CF60" t="s">
        <v>6308</v>
      </c>
      <c r="CG60" t="s">
        <v>2797</v>
      </c>
      <c r="CJ60" t="s">
        <v>4146</v>
      </c>
      <c r="CK60" t="s">
        <v>6399</v>
      </c>
      <c r="CO60" t="s">
        <v>5417</v>
      </c>
      <c r="CQ60" t="s">
        <v>7252</v>
      </c>
      <c r="CR60" t="s">
        <v>7786</v>
      </c>
      <c r="CT60" t="s">
        <v>2131</v>
      </c>
      <c r="CU60" t="s">
        <v>7505</v>
      </c>
      <c r="CV60" t="s">
        <v>4222</v>
      </c>
      <c r="CX60" t="s">
        <v>5727</v>
      </c>
      <c r="CY60" t="s">
        <v>5801</v>
      </c>
      <c r="CZ60" t="s">
        <v>7922</v>
      </c>
      <c r="DB60" t="s">
        <v>8019</v>
      </c>
      <c r="DC60" t="s">
        <v>272</v>
      </c>
    </row>
    <row r="61" spans="2:107" x14ac:dyDescent="0.35">
      <c r="B61" t="s">
        <v>4710</v>
      </c>
      <c r="F61" t="s">
        <v>4896</v>
      </c>
      <c r="G61" t="s">
        <v>1187</v>
      </c>
      <c r="J61" t="s">
        <v>7579</v>
      </c>
      <c r="K61" t="s">
        <v>1304</v>
      </c>
      <c r="L61" t="s">
        <v>2866</v>
      </c>
      <c r="M61" t="s">
        <v>5012</v>
      </c>
      <c r="O61" t="s">
        <v>7137</v>
      </c>
      <c r="P61" t="s">
        <v>3108</v>
      </c>
      <c r="T61" t="s">
        <v>4576</v>
      </c>
      <c r="U61" t="s">
        <v>1381</v>
      </c>
      <c r="W61" t="s">
        <v>787</v>
      </c>
      <c r="X61" t="s">
        <v>357</v>
      </c>
      <c r="Y61" t="s">
        <v>3312</v>
      </c>
      <c r="Z61" t="s">
        <v>866</v>
      </c>
      <c r="AA61" t="s">
        <v>3458</v>
      </c>
      <c r="AC61" t="s">
        <v>5086</v>
      </c>
      <c r="AH61" t="s">
        <v>5951</v>
      </c>
      <c r="AJ61" t="s">
        <v>2264</v>
      </c>
      <c r="AK61" t="s">
        <v>2637</v>
      </c>
      <c r="AN61" t="s">
        <v>2703</v>
      </c>
      <c r="AP61" t="s">
        <v>460</v>
      </c>
      <c r="AS61" t="s">
        <v>6010</v>
      </c>
      <c r="AT61" t="s">
        <v>3570</v>
      </c>
      <c r="AV61" t="s">
        <v>3653</v>
      </c>
      <c r="AY61" t="s">
        <v>3712</v>
      </c>
      <c r="BB61" t="s">
        <v>6637</v>
      </c>
      <c r="BC61" t="s">
        <v>3776</v>
      </c>
      <c r="BF61" t="s">
        <v>1484</v>
      </c>
      <c r="BG61" t="s">
        <v>5331</v>
      </c>
      <c r="BH61" t="s">
        <v>6149</v>
      </c>
      <c r="BI61" t="s">
        <v>6222</v>
      </c>
      <c r="BJ61" t="s">
        <v>7638</v>
      </c>
      <c r="BK61" t="s">
        <v>6740</v>
      </c>
      <c r="BM61" t="s">
        <v>3963</v>
      </c>
      <c r="BU61" t="s">
        <v>689</v>
      </c>
      <c r="BY61" t="s">
        <v>1042</v>
      </c>
      <c r="CA61" t="s">
        <v>2386</v>
      </c>
      <c r="CC61" t="s">
        <v>2459</v>
      </c>
      <c r="CE61" t="s">
        <v>1576</v>
      </c>
      <c r="CF61" t="s">
        <v>6309</v>
      </c>
      <c r="CG61" t="s">
        <v>2798</v>
      </c>
      <c r="CJ61" t="s">
        <v>74</v>
      </c>
      <c r="CK61" t="s">
        <v>6400</v>
      </c>
      <c r="CO61" t="s">
        <v>5418</v>
      </c>
      <c r="CQ61" t="s">
        <v>7253</v>
      </c>
      <c r="CR61" t="s">
        <v>7787</v>
      </c>
      <c r="CT61" t="s">
        <v>2132</v>
      </c>
      <c r="CU61" t="s">
        <v>7506</v>
      </c>
      <c r="CV61" t="s">
        <v>4223</v>
      </c>
      <c r="CX61" t="s">
        <v>5728</v>
      </c>
      <c r="CY61" t="s">
        <v>5802</v>
      </c>
      <c r="CZ61" t="s">
        <v>7923</v>
      </c>
      <c r="DB61" t="s">
        <v>8020</v>
      </c>
      <c r="DC61" t="s">
        <v>2578</v>
      </c>
    </row>
    <row r="62" spans="2:107" x14ac:dyDescent="0.35">
      <c r="B62" t="s">
        <v>4711</v>
      </c>
      <c r="F62" t="s">
        <v>4897</v>
      </c>
      <c r="G62" t="s">
        <v>1188</v>
      </c>
      <c r="K62" t="s">
        <v>1305</v>
      </c>
      <c r="L62" t="s">
        <v>2867</v>
      </c>
      <c r="M62" t="s">
        <v>5013</v>
      </c>
      <c r="O62" t="s">
        <v>7138</v>
      </c>
      <c r="P62" t="s">
        <v>3109</v>
      </c>
      <c r="T62" t="s">
        <v>4577</v>
      </c>
      <c r="U62" t="s">
        <v>1382</v>
      </c>
      <c r="W62" t="s">
        <v>788</v>
      </c>
      <c r="X62" t="s">
        <v>358</v>
      </c>
      <c r="Y62" t="s">
        <v>3313</v>
      </c>
      <c r="Z62" t="s">
        <v>867</v>
      </c>
      <c r="AA62" t="s">
        <v>3459</v>
      </c>
      <c r="AC62" t="s">
        <v>5087</v>
      </c>
      <c r="AH62" t="s">
        <v>5952</v>
      </c>
      <c r="AJ62" t="s">
        <v>2265</v>
      </c>
      <c r="AK62" t="s">
        <v>2638</v>
      </c>
      <c r="AN62" t="s">
        <v>2704</v>
      </c>
      <c r="AP62" t="s">
        <v>461</v>
      </c>
      <c r="AS62" t="s">
        <v>6011</v>
      </c>
      <c r="AT62" t="s">
        <v>3571</v>
      </c>
      <c r="AY62" t="s">
        <v>3713</v>
      </c>
      <c r="BB62" t="s">
        <v>6638</v>
      </c>
      <c r="BC62" t="s">
        <v>3777</v>
      </c>
      <c r="BF62" t="s">
        <v>1485</v>
      </c>
      <c r="BG62" t="s">
        <v>5332</v>
      </c>
      <c r="BH62" t="s">
        <v>6150</v>
      </c>
      <c r="BI62" t="s">
        <v>6223</v>
      </c>
      <c r="BJ62" t="s">
        <v>7639</v>
      </c>
      <c r="BK62" t="s">
        <v>6741</v>
      </c>
      <c r="BM62" t="s">
        <v>3964</v>
      </c>
      <c r="BU62" t="s">
        <v>690</v>
      </c>
      <c r="BY62" t="s">
        <v>1043</v>
      </c>
      <c r="CA62" t="s">
        <v>2387</v>
      </c>
      <c r="CC62" t="s">
        <v>2460</v>
      </c>
      <c r="CE62" t="s">
        <v>1577</v>
      </c>
      <c r="CF62" t="s">
        <v>6310</v>
      </c>
      <c r="CG62" t="s">
        <v>2799</v>
      </c>
      <c r="CJ62" t="s">
        <v>4147</v>
      </c>
      <c r="CK62" t="s">
        <v>6401</v>
      </c>
      <c r="CO62" t="s">
        <v>5419</v>
      </c>
      <c r="CQ62" t="s">
        <v>7254</v>
      </c>
      <c r="CR62" t="s">
        <v>7788</v>
      </c>
      <c r="CT62" t="s">
        <v>2133</v>
      </c>
      <c r="CU62" t="s">
        <v>7507</v>
      </c>
      <c r="CV62" t="s">
        <v>4224</v>
      </c>
      <c r="CX62" t="s">
        <v>5729</v>
      </c>
      <c r="CY62" t="s">
        <v>5803</v>
      </c>
      <c r="CZ62" t="s">
        <v>7924</v>
      </c>
      <c r="DB62" t="s">
        <v>8021</v>
      </c>
    </row>
    <row r="63" spans="2:107" x14ac:dyDescent="0.35">
      <c r="B63" t="s">
        <v>4712</v>
      </c>
      <c r="F63" t="s">
        <v>4898</v>
      </c>
      <c r="G63" t="s">
        <v>1189</v>
      </c>
      <c r="K63" t="s">
        <v>1306</v>
      </c>
      <c r="L63" t="s">
        <v>2868</v>
      </c>
      <c r="M63" t="s">
        <v>5014</v>
      </c>
      <c r="O63" t="s">
        <v>7139</v>
      </c>
      <c r="P63" t="s">
        <v>3110</v>
      </c>
      <c r="T63" t="s">
        <v>4578</v>
      </c>
      <c r="U63" t="s">
        <v>1383</v>
      </c>
      <c r="W63" t="s">
        <v>789</v>
      </c>
      <c r="X63" t="s">
        <v>359</v>
      </c>
      <c r="Y63" t="s">
        <v>3314</v>
      </c>
      <c r="Z63" t="s">
        <v>868</v>
      </c>
      <c r="AA63" t="s">
        <v>3460</v>
      </c>
      <c r="AC63" t="s">
        <v>5088</v>
      </c>
      <c r="AJ63" t="s">
        <v>2266</v>
      </c>
      <c r="AK63" t="s">
        <v>2639</v>
      </c>
      <c r="AN63" t="s">
        <v>2705</v>
      </c>
      <c r="AP63" t="s">
        <v>462</v>
      </c>
      <c r="AS63" t="s">
        <v>6012</v>
      </c>
      <c r="AT63" t="s">
        <v>3572</v>
      </c>
      <c r="AY63" t="s">
        <v>3714</v>
      </c>
      <c r="BB63" t="s">
        <v>6639</v>
      </c>
      <c r="BC63" t="s">
        <v>3778</v>
      </c>
      <c r="BF63" t="s">
        <v>1486</v>
      </c>
      <c r="BG63" t="s">
        <v>5333</v>
      </c>
      <c r="BH63" t="s">
        <v>6151</v>
      </c>
      <c r="BI63" t="s">
        <v>6224</v>
      </c>
      <c r="BJ63" t="s">
        <v>7640</v>
      </c>
      <c r="BK63" t="s">
        <v>6742</v>
      </c>
      <c r="BM63" t="s">
        <v>3965</v>
      </c>
      <c r="BU63" t="s">
        <v>691</v>
      </c>
      <c r="BY63" t="s">
        <v>1044</v>
      </c>
      <c r="CA63" t="s">
        <v>2388</v>
      </c>
      <c r="CC63" t="s">
        <v>2461</v>
      </c>
      <c r="CE63" t="s">
        <v>1578</v>
      </c>
      <c r="CF63" t="s">
        <v>6311</v>
      </c>
      <c r="CG63" t="s">
        <v>2800</v>
      </c>
      <c r="CJ63" t="s">
        <v>4148</v>
      </c>
      <c r="CK63" t="s">
        <v>6402</v>
      </c>
      <c r="CO63" t="s">
        <v>5420</v>
      </c>
      <c r="CQ63" t="s">
        <v>7255</v>
      </c>
      <c r="CR63" t="s">
        <v>7789</v>
      </c>
      <c r="CT63" t="s">
        <v>2134</v>
      </c>
      <c r="CU63" t="s">
        <v>7508</v>
      </c>
      <c r="CV63" t="s">
        <v>4225</v>
      </c>
      <c r="CX63" t="s">
        <v>5730</v>
      </c>
      <c r="CY63" t="s">
        <v>5804</v>
      </c>
      <c r="CZ63" t="s">
        <v>7925</v>
      </c>
      <c r="DB63" t="s">
        <v>8022</v>
      </c>
    </row>
    <row r="64" spans="2:107" x14ac:dyDescent="0.35">
      <c r="B64" t="s">
        <v>4713</v>
      </c>
      <c r="F64" t="s">
        <v>4899</v>
      </c>
      <c r="G64" t="s">
        <v>1190</v>
      </c>
      <c r="K64" t="s">
        <v>1307</v>
      </c>
      <c r="L64" t="s">
        <v>2869</v>
      </c>
      <c r="M64" t="s">
        <v>5015</v>
      </c>
      <c r="O64" t="s">
        <v>7140</v>
      </c>
      <c r="P64" t="s">
        <v>3111</v>
      </c>
      <c r="T64" t="s">
        <v>4579</v>
      </c>
      <c r="U64" t="s">
        <v>1384</v>
      </c>
      <c r="W64" t="s">
        <v>790</v>
      </c>
      <c r="X64" t="s">
        <v>360</v>
      </c>
      <c r="Y64" t="s">
        <v>3315</v>
      </c>
      <c r="Z64" t="s">
        <v>869</v>
      </c>
      <c r="AA64" t="s">
        <v>3461</v>
      </c>
      <c r="AC64" t="s">
        <v>5089</v>
      </c>
      <c r="AJ64" t="s">
        <v>2267</v>
      </c>
      <c r="AK64" t="s">
        <v>2640</v>
      </c>
      <c r="AN64" t="s">
        <v>2706</v>
      </c>
      <c r="AP64" t="s">
        <v>463</v>
      </c>
      <c r="AS64" t="s">
        <v>6013</v>
      </c>
      <c r="AT64" t="s">
        <v>3573</v>
      </c>
      <c r="AY64" t="s">
        <v>3715</v>
      </c>
      <c r="BB64" t="s">
        <v>6640</v>
      </c>
      <c r="BC64" t="s">
        <v>3779</v>
      </c>
      <c r="BF64" t="s">
        <v>1487</v>
      </c>
      <c r="BG64" t="s">
        <v>5334</v>
      </c>
      <c r="BH64" t="s">
        <v>6152</v>
      </c>
      <c r="BI64" t="s">
        <v>6225</v>
      </c>
      <c r="BJ64" t="s">
        <v>7641</v>
      </c>
      <c r="BK64" t="s">
        <v>6743</v>
      </c>
      <c r="BM64" t="s">
        <v>3966</v>
      </c>
      <c r="BU64" t="s">
        <v>692</v>
      </c>
      <c r="BY64" t="s">
        <v>1045</v>
      </c>
      <c r="CA64" t="s">
        <v>2389</v>
      </c>
      <c r="CC64" t="s">
        <v>2462</v>
      </c>
      <c r="CE64" t="s">
        <v>1579</v>
      </c>
      <c r="CF64" t="s">
        <v>6312</v>
      </c>
      <c r="CG64" t="s">
        <v>2801</v>
      </c>
      <c r="CJ64" t="s">
        <v>4149</v>
      </c>
      <c r="CK64" t="s">
        <v>6403</v>
      </c>
      <c r="CO64" t="s">
        <v>5421</v>
      </c>
      <c r="CQ64" t="s">
        <v>7256</v>
      </c>
      <c r="CR64" t="s">
        <v>7790</v>
      </c>
      <c r="CT64" t="s">
        <v>2135</v>
      </c>
      <c r="CU64" t="s">
        <v>7509</v>
      </c>
      <c r="CV64" t="s">
        <v>4226</v>
      </c>
      <c r="CX64" t="s">
        <v>5731</v>
      </c>
      <c r="CY64" t="s">
        <v>5805</v>
      </c>
      <c r="CZ64" t="s">
        <v>7926</v>
      </c>
      <c r="DB64" t="s">
        <v>8023</v>
      </c>
    </row>
    <row r="65" spans="2:106" x14ac:dyDescent="0.35">
      <c r="B65" t="s">
        <v>4714</v>
      </c>
      <c r="F65" t="s">
        <v>4900</v>
      </c>
      <c r="G65" t="s">
        <v>1191</v>
      </c>
      <c r="K65" t="s">
        <v>1308</v>
      </c>
      <c r="L65" t="s">
        <v>2870</v>
      </c>
      <c r="M65" t="s">
        <v>5016</v>
      </c>
      <c r="O65" t="s">
        <v>7141</v>
      </c>
      <c r="P65" t="s">
        <v>3112</v>
      </c>
      <c r="T65" t="s">
        <v>4580</v>
      </c>
      <c r="U65" t="s">
        <v>1385</v>
      </c>
      <c r="W65" t="s">
        <v>791</v>
      </c>
      <c r="X65" t="s">
        <v>361</v>
      </c>
      <c r="Y65" t="s">
        <v>3316</v>
      </c>
      <c r="Z65" t="s">
        <v>870</v>
      </c>
      <c r="AA65" t="s">
        <v>3462</v>
      </c>
      <c r="AC65" t="s">
        <v>5090</v>
      </c>
      <c r="AJ65" t="s">
        <v>2268</v>
      </c>
      <c r="AK65" t="s">
        <v>2641</v>
      </c>
      <c r="AN65" t="s">
        <v>2707</v>
      </c>
      <c r="AP65" t="s">
        <v>464</v>
      </c>
      <c r="AS65" t="s">
        <v>6014</v>
      </c>
      <c r="AT65" t="s">
        <v>3574</v>
      </c>
      <c r="AY65" t="s">
        <v>3716</v>
      </c>
      <c r="BB65" t="s">
        <v>6641</v>
      </c>
      <c r="BC65" t="s">
        <v>3780</v>
      </c>
      <c r="BF65" t="s">
        <v>1488</v>
      </c>
      <c r="BG65" t="s">
        <v>5335</v>
      </c>
      <c r="BH65" t="s">
        <v>6153</v>
      </c>
      <c r="BI65" t="s">
        <v>6226</v>
      </c>
      <c r="BJ65" t="s">
        <v>7642</v>
      </c>
      <c r="BK65" t="s">
        <v>6744</v>
      </c>
      <c r="BM65" t="s">
        <v>3967</v>
      </c>
      <c r="BU65" t="s">
        <v>236</v>
      </c>
      <c r="BY65" t="s">
        <v>1046</v>
      </c>
      <c r="CA65" t="s">
        <v>2390</v>
      </c>
      <c r="CC65" t="s">
        <v>2463</v>
      </c>
      <c r="CE65" t="s">
        <v>1580</v>
      </c>
      <c r="CF65" t="s">
        <v>6313</v>
      </c>
      <c r="CG65" t="s">
        <v>2802</v>
      </c>
      <c r="CJ65" t="s">
        <v>4150</v>
      </c>
      <c r="CK65" t="s">
        <v>6404</v>
      </c>
      <c r="CO65" t="s">
        <v>5422</v>
      </c>
      <c r="CQ65" t="s">
        <v>7257</v>
      </c>
      <c r="CR65" t="s">
        <v>7791</v>
      </c>
      <c r="CT65" t="s">
        <v>2136</v>
      </c>
      <c r="CU65" t="s">
        <v>7510</v>
      </c>
      <c r="CV65" t="s">
        <v>4227</v>
      </c>
      <c r="CX65" t="s">
        <v>5732</v>
      </c>
      <c r="CY65" t="s">
        <v>5806</v>
      </c>
      <c r="CZ65" t="s">
        <v>7927</v>
      </c>
      <c r="DB65" t="s">
        <v>8024</v>
      </c>
    </row>
    <row r="66" spans="2:106" x14ac:dyDescent="0.35">
      <c r="B66" t="s">
        <v>4715</v>
      </c>
      <c r="F66" t="s">
        <v>4901</v>
      </c>
      <c r="G66" t="s">
        <v>1192</v>
      </c>
      <c r="K66" t="s">
        <v>1309</v>
      </c>
      <c r="L66" t="s">
        <v>2871</v>
      </c>
      <c r="M66" t="s">
        <v>5017</v>
      </c>
      <c r="O66" t="s">
        <v>7142</v>
      </c>
      <c r="P66" t="s">
        <v>3113</v>
      </c>
      <c r="T66" t="s">
        <v>4581</v>
      </c>
      <c r="U66" t="s">
        <v>1386</v>
      </c>
      <c r="W66" t="s">
        <v>792</v>
      </c>
      <c r="X66" t="s">
        <v>362</v>
      </c>
      <c r="Y66" t="s">
        <v>3317</v>
      </c>
      <c r="Z66" t="s">
        <v>871</v>
      </c>
      <c r="AA66" t="s">
        <v>3463</v>
      </c>
      <c r="AC66" t="s">
        <v>5091</v>
      </c>
      <c r="AJ66" t="s">
        <v>2269</v>
      </c>
      <c r="AK66" t="s">
        <v>2642</v>
      </c>
      <c r="AN66" t="s">
        <v>2708</v>
      </c>
      <c r="AP66" t="s">
        <v>465</v>
      </c>
      <c r="AS66" t="s">
        <v>6015</v>
      </c>
      <c r="AT66" t="s">
        <v>3575</v>
      </c>
      <c r="BB66" t="s">
        <v>6642</v>
      </c>
      <c r="BC66" t="s">
        <v>3781</v>
      </c>
      <c r="BF66" t="s">
        <v>1489</v>
      </c>
      <c r="BG66" t="s">
        <v>5336</v>
      </c>
      <c r="BH66" t="s">
        <v>6154</v>
      </c>
      <c r="BI66" t="s">
        <v>6227</v>
      </c>
      <c r="BJ66" t="s">
        <v>7643</v>
      </c>
      <c r="BK66" t="s">
        <v>6745</v>
      </c>
      <c r="BM66" t="s">
        <v>3968</v>
      </c>
      <c r="BU66" t="s">
        <v>693</v>
      </c>
      <c r="BY66" t="s">
        <v>1047</v>
      </c>
      <c r="CA66" t="s">
        <v>2391</v>
      </c>
      <c r="CC66" t="s">
        <v>2464</v>
      </c>
      <c r="CE66" t="s">
        <v>1581</v>
      </c>
      <c r="CF66" t="s">
        <v>6314</v>
      </c>
      <c r="CG66" t="s">
        <v>2803</v>
      </c>
      <c r="CJ66" t="s">
        <v>4151</v>
      </c>
      <c r="CK66" t="s">
        <v>6405</v>
      </c>
      <c r="CO66" t="s">
        <v>5423</v>
      </c>
      <c r="CQ66" t="s">
        <v>7258</v>
      </c>
      <c r="CR66" t="s">
        <v>7792</v>
      </c>
      <c r="CT66" t="s">
        <v>2137</v>
      </c>
      <c r="CU66" t="s">
        <v>7511</v>
      </c>
      <c r="CV66" t="s">
        <v>4228</v>
      </c>
      <c r="CX66" t="s">
        <v>5733</v>
      </c>
      <c r="CY66" t="s">
        <v>5807</v>
      </c>
      <c r="CZ66" t="s">
        <v>7928</v>
      </c>
      <c r="DB66" t="s">
        <v>8025</v>
      </c>
    </row>
    <row r="67" spans="2:106" x14ac:dyDescent="0.35">
      <c r="B67" t="s">
        <v>4716</v>
      </c>
      <c r="F67" t="s">
        <v>4902</v>
      </c>
      <c r="G67" t="s">
        <v>1193</v>
      </c>
      <c r="K67" t="s">
        <v>1310</v>
      </c>
      <c r="L67" t="s">
        <v>2872</v>
      </c>
      <c r="M67" t="s">
        <v>5018</v>
      </c>
      <c r="O67" t="s">
        <v>7143</v>
      </c>
      <c r="P67" t="s">
        <v>3114</v>
      </c>
      <c r="T67" t="s">
        <v>4582</v>
      </c>
      <c r="U67" t="s">
        <v>1387</v>
      </c>
      <c r="W67" t="s">
        <v>793</v>
      </c>
      <c r="X67" t="s">
        <v>363</v>
      </c>
      <c r="Y67" t="s">
        <v>3318</v>
      </c>
      <c r="Z67" t="s">
        <v>872</v>
      </c>
      <c r="AA67" t="s">
        <v>3464</v>
      </c>
      <c r="AC67" t="s">
        <v>5092</v>
      </c>
      <c r="AJ67" t="s">
        <v>2270</v>
      </c>
      <c r="AK67" t="s">
        <v>2643</v>
      </c>
      <c r="AN67" t="s">
        <v>2709</v>
      </c>
      <c r="AP67" t="s">
        <v>466</v>
      </c>
      <c r="AS67" t="s">
        <v>6016</v>
      </c>
      <c r="AT67" t="s">
        <v>3576</v>
      </c>
      <c r="BB67" t="s">
        <v>6643</v>
      </c>
      <c r="BC67" t="s">
        <v>3782</v>
      </c>
      <c r="BF67" t="s">
        <v>1490</v>
      </c>
      <c r="BG67" t="s">
        <v>5337</v>
      </c>
      <c r="BH67" t="s">
        <v>6155</v>
      </c>
      <c r="BI67" t="s">
        <v>6228</v>
      </c>
      <c r="BJ67" t="s">
        <v>7644</v>
      </c>
      <c r="BK67" t="s">
        <v>6746</v>
      </c>
      <c r="BM67" t="s">
        <v>3969</v>
      </c>
      <c r="BU67" t="s">
        <v>694</v>
      </c>
      <c r="BY67" t="s">
        <v>1048</v>
      </c>
      <c r="CA67" t="s">
        <v>2392</v>
      </c>
      <c r="CC67" t="s">
        <v>2465</v>
      </c>
      <c r="CE67" t="s">
        <v>1582</v>
      </c>
      <c r="CF67" t="s">
        <v>6315</v>
      </c>
      <c r="CG67" t="s">
        <v>2804</v>
      </c>
      <c r="CJ67" t="s">
        <v>4152</v>
      </c>
      <c r="CK67" t="s">
        <v>6406</v>
      </c>
      <c r="CO67" t="s">
        <v>5424</v>
      </c>
      <c r="CQ67" t="s">
        <v>7259</v>
      </c>
      <c r="CR67" t="s">
        <v>7793</v>
      </c>
      <c r="CT67" t="s">
        <v>2138</v>
      </c>
      <c r="CU67" t="s">
        <v>7512</v>
      </c>
      <c r="CV67" t="s">
        <v>4229</v>
      </c>
      <c r="CX67" t="s">
        <v>5734</v>
      </c>
      <c r="CY67" t="s">
        <v>5808</v>
      </c>
      <c r="CZ67" t="s">
        <v>7929</v>
      </c>
      <c r="DB67" t="s">
        <v>8026</v>
      </c>
    </row>
    <row r="68" spans="2:106" x14ac:dyDescent="0.35">
      <c r="B68" t="s">
        <v>4717</v>
      </c>
      <c r="F68" t="s">
        <v>4903</v>
      </c>
      <c r="G68" t="s">
        <v>1194</v>
      </c>
      <c r="K68" t="s">
        <v>1311</v>
      </c>
      <c r="L68" t="s">
        <v>2873</v>
      </c>
      <c r="M68" t="s">
        <v>5019</v>
      </c>
      <c r="O68" t="s">
        <v>7144</v>
      </c>
      <c r="P68" t="s">
        <v>3115</v>
      </c>
      <c r="T68" t="s">
        <v>4583</v>
      </c>
      <c r="U68" t="s">
        <v>1388</v>
      </c>
      <c r="W68" t="s">
        <v>794</v>
      </c>
      <c r="X68" t="s">
        <v>364</v>
      </c>
      <c r="Y68" t="s">
        <v>3319</v>
      </c>
      <c r="Z68" t="s">
        <v>873</v>
      </c>
      <c r="AA68" t="s">
        <v>3465</v>
      </c>
      <c r="AC68" t="s">
        <v>5093</v>
      </c>
      <c r="AJ68" t="s">
        <v>2271</v>
      </c>
      <c r="AK68" t="s">
        <v>2644</v>
      </c>
      <c r="AP68" t="s">
        <v>467</v>
      </c>
      <c r="AS68" t="s">
        <v>6017</v>
      </c>
      <c r="AT68" t="s">
        <v>3577</v>
      </c>
      <c r="BB68" t="s">
        <v>6644</v>
      </c>
      <c r="BC68" t="s">
        <v>3783</v>
      </c>
      <c r="BF68" t="s">
        <v>1491</v>
      </c>
      <c r="BG68" t="s">
        <v>5338</v>
      </c>
      <c r="BH68" t="s">
        <v>6156</v>
      </c>
      <c r="BI68" t="s">
        <v>6229</v>
      </c>
      <c r="BJ68" t="s">
        <v>7645</v>
      </c>
      <c r="BK68" t="s">
        <v>6747</v>
      </c>
      <c r="BM68" t="s">
        <v>3970</v>
      </c>
      <c r="BU68" t="s">
        <v>695</v>
      </c>
      <c r="BY68" t="s">
        <v>1049</v>
      </c>
      <c r="CA68" t="s">
        <v>2393</v>
      </c>
      <c r="CC68" t="s">
        <v>2466</v>
      </c>
      <c r="CE68" t="s">
        <v>1583</v>
      </c>
      <c r="CF68" t="s">
        <v>6316</v>
      </c>
      <c r="CG68" t="s">
        <v>2805</v>
      </c>
      <c r="CJ68" t="s">
        <v>4153</v>
      </c>
      <c r="CK68" t="s">
        <v>6407</v>
      </c>
      <c r="CO68" t="s">
        <v>5425</v>
      </c>
      <c r="CQ68" t="s">
        <v>7260</v>
      </c>
      <c r="CR68" t="s">
        <v>7794</v>
      </c>
      <c r="CT68" t="s">
        <v>2139</v>
      </c>
      <c r="CU68" t="s">
        <v>7513</v>
      </c>
      <c r="CV68" t="s">
        <v>4230</v>
      </c>
      <c r="CX68" t="s">
        <v>5735</v>
      </c>
      <c r="CY68" t="s">
        <v>5809</v>
      </c>
      <c r="CZ68" t="s">
        <v>7930</v>
      </c>
      <c r="DB68" t="s">
        <v>8027</v>
      </c>
    </row>
    <row r="69" spans="2:106" x14ac:dyDescent="0.35">
      <c r="B69" t="s">
        <v>4718</v>
      </c>
      <c r="F69" t="s">
        <v>4904</v>
      </c>
      <c r="G69" t="s">
        <v>1195</v>
      </c>
      <c r="K69" t="s">
        <v>1312</v>
      </c>
      <c r="L69" t="s">
        <v>2874</v>
      </c>
      <c r="M69" t="s">
        <v>5020</v>
      </c>
      <c r="O69" t="s">
        <v>7145</v>
      </c>
      <c r="P69" t="s">
        <v>3116</v>
      </c>
      <c r="T69" t="s">
        <v>4584</v>
      </c>
      <c r="U69" t="s">
        <v>1389</v>
      </c>
      <c r="W69" t="s">
        <v>795</v>
      </c>
      <c r="X69" t="s">
        <v>365</v>
      </c>
      <c r="Y69" t="s">
        <v>3320</v>
      </c>
      <c r="Z69" t="s">
        <v>874</v>
      </c>
      <c r="AA69" t="s">
        <v>3466</v>
      </c>
      <c r="AC69" t="s">
        <v>5094</v>
      </c>
      <c r="AJ69" t="s">
        <v>2272</v>
      </c>
      <c r="AP69" t="s">
        <v>468</v>
      </c>
      <c r="AS69" t="s">
        <v>6018</v>
      </c>
      <c r="AT69" t="s">
        <v>3578</v>
      </c>
      <c r="BB69" t="s">
        <v>6645</v>
      </c>
      <c r="BC69" t="s">
        <v>3784</v>
      </c>
      <c r="BF69" t="s">
        <v>1492</v>
      </c>
      <c r="BG69" t="s">
        <v>5339</v>
      </c>
      <c r="BH69" t="s">
        <v>6157</v>
      </c>
      <c r="BI69" t="s">
        <v>6230</v>
      </c>
      <c r="BJ69" t="s">
        <v>7646</v>
      </c>
      <c r="BK69" t="s">
        <v>6748</v>
      </c>
      <c r="BM69" t="s">
        <v>3971</v>
      </c>
      <c r="BU69" t="s">
        <v>696</v>
      </c>
      <c r="BY69" t="s">
        <v>1050</v>
      </c>
      <c r="CA69" t="s">
        <v>2394</v>
      </c>
      <c r="CC69" t="s">
        <v>2467</v>
      </c>
      <c r="CE69" t="s">
        <v>1584</v>
      </c>
      <c r="CF69" t="s">
        <v>6317</v>
      </c>
      <c r="CG69" t="s">
        <v>2806</v>
      </c>
      <c r="CJ69" t="s">
        <v>4154</v>
      </c>
      <c r="CK69" t="s">
        <v>6408</v>
      </c>
      <c r="CO69" t="s">
        <v>5426</v>
      </c>
      <c r="CQ69" t="s">
        <v>7261</v>
      </c>
      <c r="CR69" t="s">
        <v>7795</v>
      </c>
      <c r="CT69" t="s">
        <v>2140</v>
      </c>
      <c r="CU69" t="s">
        <v>7514</v>
      </c>
      <c r="CV69" t="s">
        <v>4231</v>
      </c>
      <c r="CX69" t="s">
        <v>5736</v>
      </c>
      <c r="CY69" t="s">
        <v>5810</v>
      </c>
      <c r="CZ69" t="s">
        <v>7931</v>
      </c>
      <c r="DB69" t="s">
        <v>8028</v>
      </c>
    </row>
    <row r="70" spans="2:106" x14ac:dyDescent="0.35">
      <c r="B70" t="s">
        <v>4719</v>
      </c>
      <c r="F70" t="s">
        <v>4905</v>
      </c>
      <c r="G70" t="s">
        <v>1196</v>
      </c>
      <c r="K70" t="s">
        <v>1313</v>
      </c>
      <c r="L70" t="s">
        <v>2875</v>
      </c>
      <c r="M70" t="s">
        <v>5021</v>
      </c>
      <c r="O70" t="s">
        <v>7146</v>
      </c>
      <c r="P70" t="s">
        <v>3117</v>
      </c>
      <c r="T70" t="s">
        <v>4585</v>
      </c>
      <c r="U70" t="s">
        <v>1390</v>
      </c>
      <c r="W70" t="s">
        <v>796</v>
      </c>
      <c r="X70" t="s">
        <v>366</v>
      </c>
      <c r="Y70" t="s">
        <v>3321</v>
      </c>
      <c r="Z70" t="s">
        <v>875</v>
      </c>
      <c r="AA70" t="s">
        <v>3467</v>
      </c>
      <c r="AC70" t="s">
        <v>5095</v>
      </c>
      <c r="AJ70" t="s">
        <v>2273</v>
      </c>
      <c r="AP70" t="s">
        <v>469</v>
      </c>
      <c r="AS70" t="s">
        <v>6019</v>
      </c>
      <c r="AT70" t="s">
        <v>3579</v>
      </c>
      <c r="BB70" t="s">
        <v>6646</v>
      </c>
      <c r="BC70" t="s">
        <v>3785</v>
      </c>
      <c r="BF70" t="s">
        <v>1493</v>
      </c>
      <c r="BG70" t="s">
        <v>5340</v>
      </c>
      <c r="BH70" t="s">
        <v>6158</v>
      </c>
      <c r="BI70" t="s">
        <v>6231</v>
      </c>
      <c r="BJ70" t="s">
        <v>7647</v>
      </c>
      <c r="BK70" t="s">
        <v>6749</v>
      </c>
      <c r="BM70" t="s">
        <v>3972</v>
      </c>
      <c r="BU70" t="s">
        <v>697</v>
      </c>
      <c r="BY70" t="s">
        <v>1051</v>
      </c>
      <c r="CA70" t="s">
        <v>2395</v>
      </c>
      <c r="CC70" t="s">
        <v>2468</v>
      </c>
      <c r="CE70" t="s">
        <v>1585</v>
      </c>
      <c r="CF70" t="s">
        <v>6318</v>
      </c>
      <c r="CG70" t="s">
        <v>2807</v>
      </c>
      <c r="CJ70" t="s">
        <v>4155</v>
      </c>
      <c r="CK70" t="s">
        <v>6409</v>
      </c>
      <c r="CO70" t="s">
        <v>5427</v>
      </c>
      <c r="CQ70" t="s">
        <v>7262</v>
      </c>
      <c r="CR70" t="s">
        <v>7796</v>
      </c>
      <c r="CT70" t="s">
        <v>2141</v>
      </c>
      <c r="CU70" t="s">
        <v>7515</v>
      </c>
      <c r="CV70" t="s">
        <v>4232</v>
      </c>
      <c r="CX70" t="s">
        <v>5737</v>
      </c>
      <c r="CY70" t="s">
        <v>5811</v>
      </c>
      <c r="CZ70" t="s">
        <v>7932</v>
      </c>
      <c r="DB70" t="s">
        <v>8029</v>
      </c>
    </row>
    <row r="71" spans="2:106" x14ac:dyDescent="0.35">
      <c r="B71" t="s">
        <v>4720</v>
      </c>
      <c r="F71" t="s">
        <v>4906</v>
      </c>
      <c r="G71" t="s">
        <v>1197</v>
      </c>
      <c r="K71" t="s">
        <v>1314</v>
      </c>
      <c r="L71" t="s">
        <v>2876</v>
      </c>
      <c r="M71" t="s">
        <v>5022</v>
      </c>
      <c r="O71" t="s">
        <v>7147</v>
      </c>
      <c r="P71" t="s">
        <v>3118</v>
      </c>
      <c r="T71" t="s">
        <v>4586</v>
      </c>
      <c r="U71" t="s">
        <v>1391</v>
      </c>
      <c r="W71" t="s">
        <v>797</v>
      </c>
      <c r="X71" t="s">
        <v>367</v>
      </c>
      <c r="Y71" t="s">
        <v>3322</v>
      </c>
      <c r="Z71" t="s">
        <v>876</v>
      </c>
      <c r="AA71" t="s">
        <v>3468</v>
      </c>
      <c r="AC71" t="s">
        <v>5096</v>
      </c>
      <c r="AJ71" t="s">
        <v>2274</v>
      </c>
      <c r="AP71" t="s">
        <v>470</v>
      </c>
      <c r="AS71" t="s">
        <v>6020</v>
      </c>
      <c r="AT71" t="s">
        <v>3580</v>
      </c>
      <c r="BB71" t="s">
        <v>6647</v>
      </c>
      <c r="BC71" t="s">
        <v>3786</v>
      </c>
      <c r="BF71" t="s">
        <v>1494</v>
      </c>
      <c r="BG71" t="s">
        <v>5341</v>
      </c>
      <c r="BH71" t="s">
        <v>6159</v>
      </c>
      <c r="BI71" t="s">
        <v>6232</v>
      </c>
      <c r="BJ71" t="s">
        <v>7648</v>
      </c>
      <c r="BK71" t="s">
        <v>6750</v>
      </c>
      <c r="BM71" t="s">
        <v>3973</v>
      </c>
      <c r="BU71" t="s">
        <v>698</v>
      </c>
      <c r="BY71" t="s">
        <v>1052</v>
      </c>
      <c r="CA71" t="s">
        <v>2396</v>
      </c>
      <c r="CC71" t="s">
        <v>2469</v>
      </c>
      <c r="CE71" t="s">
        <v>1586</v>
      </c>
      <c r="CF71" t="s">
        <v>6319</v>
      </c>
      <c r="CJ71" t="s">
        <v>4156</v>
      </c>
      <c r="CK71" t="s">
        <v>6410</v>
      </c>
      <c r="CO71" t="s">
        <v>5428</v>
      </c>
      <c r="CQ71" t="s">
        <v>7263</v>
      </c>
      <c r="CR71" t="s">
        <v>7797</v>
      </c>
      <c r="CT71" t="s">
        <v>2142</v>
      </c>
      <c r="CU71" t="s">
        <v>7516</v>
      </c>
      <c r="CV71" t="s">
        <v>4233</v>
      </c>
      <c r="CX71" t="s">
        <v>5738</v>
      </c>
      <c r="CY71" t="s">
        <v>5812</v>
      </c>
      <c r="CZ71" t="s">
        <v>7933</v>
      </c>
      <c r="DB71" t="s">
        <v>8030</v>
      </c>
    </row>
    <row r="72" spans="2:106" x14ac:dyDescent="0.35">
      <c r="B72" t="s">
        <v>4721</v>
      </c>
      <c r="F72" t="s">
        <v>4907</v>
      </c>
      <c r="G72" t="s">
        <v>1198</v>
      </c>
      <c r="K72" t="s">
        <v>1315</v>
      </c>
      <c r="L72" t="s">
        <v>2877</v>
      </c>
      <c r="M72" t="s">
        <v>5023</v>
      </c>
      <c r="O72" t="s">
        <v>7148</v>
      </c>
      <c r="P72" t="s">
        <v>3119</v>
      </c>
      <c r="T72" t="s">
        <v>4587</v>
      </c>
      <c r="U72" t="s">
        <v>1392</v>
      </c>
      <c r="W72" t="s">
        <v>798</v>
      </c>
      <c r="X72" t="s">
        <v>368</v>
      </c>
      <c r="Y72" t="s">
        <v>3323</v>
      </c>
      <c r="Z72" t="s">
        <v>877</v>
      </c>
      <c r="AA72" t="s">
        <v>3469</v>
      </c>
      <c r="AC72" t="s">
        <v>5097</v>
      </c>
      <c r="AJ72" t="s">
        <v>2275</v>
      </c>
      <c r="AP72" t="s">
        <v>471</v>
      </c>
      <c r="AS72" t="s">
        <v>6021</v>
      </c>
      <c r="AT72" t="s">
        <v>3581</v>
      </c>
      <c r="BB72" t="s">
        <v>6648</v>
      </c>
      <c r="BC72" t="s">
        <v>3787</v>
      </c>
      <c r="BF72" t="s">
        <v>1495</v>
      </c>
      <c r="BG72" t="s">
        <v>5342</v>
      </c>
      <c r="BH72" t="s">
        <v>6160</v>
      </c>
      <c r="BI72" t="s">
        <v>6233</v>
      </c>
      <c r="BJ72" t="s">
        <v>7649</v>
      </c>
      <c r="BK72" t="s">
        <v>6751</v>
      </c>
      <c r="BM72" t="s">
        <v>3974</v>
      </c>
      <c r="BU72" t="s">
        <v>699</v>
      </c>
      <c r="BY72" t="s">
        <v>1053</v>
      </c>
      <c r="CA72" t="s">
        <v>2397</v>
      </c>
      <c r="CC72" t="s">
        <v>2470</v>
      </c>
      <c r="CE72" t="s">
        <v>1587</v>
      </c>
      <c r="CF72" t="s">
        <v>6320</v>
      </c>
      <c r="CJ72" t="s">
        <v>4157</v>
      </c>
      <c r="CK72" t="s">
        <v>6411</v>
      </c>
      <c r="CO72" t="s">
        <v>5429</v>
      </c>
      <c r="CQ72" t="s">
        <v>7264</v>
      </c>
      <c r="CR72" t="s">
        <v>7798</v>
      </c>
      <c r="CT72" t="s">
        <v>2143</v>
      </c>
      <c r="CU72" t="s">
        <v>7517</v>
      </c>
      <c r="CV72" t="s">
        <v>4234</v>
      </c>
      <c r="CX72" t="s">
        <v>5739</v>
      </c>
      <c r="CY72" t="s">
        <v>5813</v>
      </c>
      <c r="CZ72" t="s">
        <v>7934</v>
      </c>
      <c r="DB72" t="s">
        <v>8031</v>
      </c>
    </row>
    <row r="73" spans="2:106" x14ac:dyDescent="0.35">
      <c r="B73" t="s">
        <v>4722</v>
      </c>
      <c r="F73" t="s">
        <v>4908</v>
      </c>
      <c r="G73" t="s">
        <v>1199</v>
      </c>
      <c r="K73" t="s">
        <v>1316</v>
      </c>
      <c r="L73" t="s">
        <v>2878</v>
      </c>
      <c r="M73" t="s">
        <v>5024</v>
      </c>
      <c r="O73" t="s">
        <v>7149</v>
      </c>
      <c r="P73" t="s">
        <v>3120</v>
      </c>
      <c r="T73" t="s">
        <v>4588</v>
      </c>
      <c r="U73" t="s">
        <v>1393</v>
      </c>
      <c r="W73" t="s">
        <v>799</v>
      </c>
      <c r="X73" t="s">
        <v>369</v>
      </c>
      <c r="Y73" t="s">
        <v>3324</v>
      </c>
      <c r="Z73" t="s">
        <v>878</v>
      </c>
      <c r="AA73" t="s">
        <v>3470</v>
      </c>
      <c r="AC73" t="s">
        <v>5098</v>
      </c>
      <c r="AJ73" t="s">
        <v>2276</v>
      </c>
      <c r="AP73" t="s">
        <v>472</v>
      </c>
      <c r="AS73" t="s">
        <v>6022</v>
      </c>
      <c r="AT73" t="s">
        <v>3582</v>
      </c>
      <c r="BB73" t="s">
        <v>6649</v>
      </c>
      <c r="BC73" t="s">
        <v>3788</v>
      </c>
      <c r="BF73" t="s">
        <v>1496</v>
      </c>
      <c r="BG73" t="s">
        <v>5343</v>
      </c>
      <c r="BH73" t="s">
        <v>6161</v>
      </c>
      <c r="BI73" t="s">
        <v>6234</v>
      </c>
      <c r="BJ73" t="s">
        <v>7650</v>
      </c>
      <c r="BK73" t="s">
        <v>6752</v>
      </c>
      <c r="BM73" t="s">
        <v>3975</v>
      </c>
      <c r="BU73" t="s">
        <v>700</v>
      </c>
      <c r="BY73" t="s">
        <v>1054</v>
      </c>
      <c r="CA73" t="s">
        <v>2398</v>
      </c>
      <c r="CC73" t="s">
        <v>2471</v>
      </c>
      <c r="CE73" t="s">
        <v>1588</v>
      </c>
      <c r="CF73" t="s">
        <v>6321</v>
      </c>
      <c r="CJ73" t="s">
        <v>4158</v>
      </c>
      <c r="CK73" t="s">
        <v>6412</v>
      </c>
      <c r="CO73" t="s">
        <v>5430</v>
      </c>
      <c r="CQ73" t="s">
        <v>7265</v>
      </c>
      <c r="CR73" t="s">
        <v>7799</v>
      </c>
      <c r="CT73" t="s">
        <v>2144</v>
      </c>
      <c r="CU73" t="s">
        <v>7518</v>
      </c>
      <c r="CV73" t="s">
        <v>4235</v>
      </c>
      <c r="CX73" t="s">
        <v>5740</v>
      </c>
      <c r="CY73" t="s">
        <v>5814</v>
      </c>
      <c r="CZ73" t="s">
        <v>7935</v>
      </c>
      <c r="DB73" t="s">
        <v>8032</v>
      </c>
    </row>
    <row r="74" spans="2:106" x14ac:dyDescent="0.35">
      <c r="B74" t="s">
        <v>4723</v>
      </c>
      <c r="F74" t="s">
        <v>4909</v>
      </c>
      <c r="G74" t="s">
        <v>1200</v>
      </c>
      <c r="K74" t="s">
        <v>1317</v>
      </c>
      <c r="L74" t="s">
        <v>2879</v>
      </c>
      <c r="M74" t="s">
        <v>5025</v>
      </c>
      <c r="O74" t="s">
        <v>7150</v>
      </c>
      <c r="P74" t="s">
        <v>3121</v>
      </c>
      <c r="T74" t="s">
        <v>4589</v>
      </c>
      <c r="U74" t="s">
        <v>1394</v>
      </c>
      <c r="W74" t="s">
        <v>800</v>
      </c>
      <c r="X74" t="s">
        <v>370</v>
      </c>
      <c r="Y74" t="s">
        <v>3325</v>
      </c>
      <c r="Z74" t="s">
        <v>879</v>
      </c>
      <c r="AA74" t="s">
        <v>3471</v>
      </c>
      <c r="AC74" t="s">
        <v>5099</v>
      </c>
      <c r="AJ74" t="s">
        <v>2277</v>
      </c>
      <c r="AP74" t="s">
        <v>473</v>
      </c>
      <c r="AS74" t="s">
        <v>6023</v>
      </c>
      <c r="AT74" t="s">
        <v>3583</v>
      </c>
      <c r="BB74" t="s">
        <v>6650</v>
      </c>
      <c r="BC74" t="s">
        <v>288</v>
      </c>
      <c r="BF74" t="s">
        <v>1497</v>
      </c>
      <c r="BG74" t="s">
        <v>5344</v>
      </c>
      <c r="BH74" t="s">
        <v>6162</v>
      </c>
      <c r="BI74" t="s">
        <v>6235</v>
      </c>
      <c r="BJ74" t="s">
        <v>7651</v>
      </c>
      <c r="BK74" t="s">
        <v>6753</v>
      </c>
      <c r="BM74" t="s">
        <v>3976</v>
      </c>
      <c r="BU74" t="s">
        <v>701</v>
      </c>
      <c r="BY74" t="s">
        <v>1055</v>
      </c>
      <c r="CA74" t="s">
        <v>2399</v>
      </c>
      <c r="CC74" t="s">
        <v>2472</v>
      </c>
      <c r="CE74" t="s">
        <v>1589</v>
      </c>
      <c r="CF74" t="s">
        <v>72</v>
      </c>
      <c r="CJ74" t="s">
        <v>4159</v>
      </c>
      <c r="CK74" t="s">
        <v>6413</v>
      </c>
      <c r="CO74" t="s">
        <v>5431</v>
      </c>
      <c r="CQ74" t="s">
        <v>7266</v>
      </c>
      <c r="CR74" t="s">
        <v>7800</v>
      </c>
      <c r="CT74" t="s">
        <v>2145</v>
      </c>
      <c r="CU74" t="s">
        <v>7519</v>
      </c>
      <c r="CV74" t="s">
        <v>4236</v>
      </c>
      <c r="CX74" t="s">
        <v>5741</v>
      </c>
      <c r="CY74" t="s">
        <v>5815</v>
      </c>
      <c r="CZ74" t="s">
        <v>7936</v>
      </c>
      <c r="DB74" t="s">
        <v>8033</v>
      </c>
    </row>
    <row r="75" spans="2:106" x14ac:dyDescent="0.35">
      <c r="B75" t="s">
        <v>4724</v>
      </c>
      <c r="F75" t="s">
        <v>4910</v>
      </c>
      <c r="G75" t="s">
        <v>1201</v>
      </c>
      <c r="K75" t="s">
        <v>1318</v>
      </c>
      <c r="L75" t="s">
        <v>2880</v>
      </c>
      <c r="M75" t="s">
        <v>5026</v>
      </c>
      <c r="O75" t="s">
        <v>7151</v>
      </c>
      <c r="P75" t="s">
        <v>3122</v>
      </c>
      <c r="T75" t="s">
        <v>4590</v>
      </c>
      <c r="U75" t="s">
        <v>1395</v>
      </c>
      <c r="W75" t="s">
        <v>801</v>
      </c>
      <c r="X75" t="s">
        <v>371</v>
      </c>
      <c r="Y75" t="s">
        <v>3326</v>
      </c>
      <c r="Z75" t="s">
        <v>880</v>
      </c>
      <c r="AA75" t="s">
        <v>3472</v>
      </c>
      <c r="AC75" t="s">
        <v>5100</v>
      </c>
      <c r="AJ75" t="s">
        <v>2278</v>
      </c>
      <c r="AP75" t="s">
        <v>474</v>
      </c>
      <c r="AS75" t="s">
        <v>6024</v>
      </c>
      <c r="AT75" t="s">
        <v>3584</v>
      </c>
      <c r="BB75" t="s">
        <v>6651</v>
      </c>
      <c r="BC75" t="s">
        <v>3789</v>
      </c>
      <c r="BF75" t="s">
        <v>1498</v>
      </c>
      <c r="BG75" t="s">
        <v>5345</v>
      </c>
      <c r="BH75" t="s">
        <v>6163</v>
      </c>
      <c r="BI75" t="s">
        <v>6236</v>
      </c>
      <c r="BJ75" t="s">
        <v>7652</v>
      </c>
      <c r="BK75" t="s">
        <v>6754</v>
      </c>
      <c r="BM75" t="s">
        <v>3977</v>
      </c>
      <c r="BU75" t="s">
        <v>702</v>
      </c>
      <c r="BY75" t="s">
        <v>1056</v>
      </c>
      <c r="CC75" t="s">
        <v>2473</v>
      </c>
      <c r="CE75" t="s">
        <v>1590</v>
      </c>
      <c r="CF75" t="s">
        <v>6322</v>
      </c>
      <c r="CJ75" t="s">
        <v>4160</v>
      </c>
      <c r="CK75" t="s">
        <v>6414</v>
      </c>
      <c r="CO75" t="s">
        <v>5432</v>
      </c>
      <c r="CQ75" t="s">
        <v>7267</v>
      </c>
      <c r="CR75" t="s">
        <v>7801</v>
      </c>
      <c r="CT75" t="s">
        <v>2146</v>
      </c>
      <c r="CU75" t="s">
        <v>7520</v>
      </c>
      <c r="CV75" t="s">
        <v>4237</v>
      </c>
      <c r="CX75" t="s">
        <v>5742</v>
      </c>
      <c r="CY75" t="s">
        <v>5816</v>
      </c>
      <c r="CZ75" t="s">
        <v>7937</v>
      </c>
      <c r="DB75" t="s">
        <v>8034</v>
      </c>
    </row>
    <row r="76" spans="2:106" x14ac:dyDescent="0.35">
      <c r="B76" t="s">
        <v>4725</v>
      </c>
      <c r="F76" t="s">
        <v>4911</v>
      </c>
      <c r="G76" t="s">
        <v>1202</v>
      </c>
      <c r="K76" t="s">
        <v>1319</v>
      </c>
      <c r="L76" t="s">
        <v>2881</v>
      </c>
      <c r="O76" t="s">
        <v>7152</v>
      </c>
      <c r="P76" t="s">
        <v>3123</v>
      </c>
      <c r="T76" t="s">
        <v>4591</v>
      </c>
      <c r="U76" t="s">
        <v>1396</v>
      </c>
      <c r="W76" t="s">
        <v>802</v>
      </c>
      <c r="X76" t="s">
        <v>372</v>
      </c>
      <c r="Y76" t="s">
        <v>3327</v>
      </c>
      <c r="Z76" t="s">
        <v>881</v>
      </c>
      <c r="AA76" t="s">
        <v>3473</v>
      </c>
      <c r="AC76" t="s">
        <v>5101</v>
      </c>
      <c r="AJ76" t="s">
        <v>2279</v>
      </c>
      <c r="AP76" t="s">
        <v>475</v>
      </c>
      <c r="AS76" t="s">
        <v>6025</v>
      </c>
      <c r="AT76" t="s">
        <v>3585</v>
      </c>
      <c r="BB76" t="s">
        <v>6652</v>
      </c>
      <c r="BC76" t="s">
        <v>3790</v>
      </c>
      <c r="BF76" t="s">
        <v>1499</v>
      </c>
      <c r="BG76" t="s">
        <v>5346</v>
      </c>
      <c r="BI76" t="s">
        <v>6237</v>
      </c>
      <c r="BJ76" t="s">
        <v>7653</v>
      </c>
      <c r="BK76" t="s">
        <v>6755</v>
      </c>
      <c r="BM76" t="s">
        <v>3978</v>
      </c>
      <c r="BU76" t="s">
        <v>703</v>
      </c>
      <c r="BY76" t="s">
        <v>1057</v>
      </c>
      <c r="CC76" t="s">
        <v>2474</v>
      </c>
      <c r="CE76" t="s">
        <v>1591</v>
      </c>
      <c r="CF76" t="s">
        <v>6323</v>
      </c>
      <c r="CJ76" t="s">
        <v>4161</v>
      </c>
      <c r="CK76" t="s">
        <v>6415</v>
      </c>
      <c r="CO76" t="s">
        <v>5433</v>
      </c>
      <c r="CQ76" t="s">
        <v>7268</v>
      </c>
      <c r="CR76" t="s">
        <v>7802</v>
      </c>
      <c r="CT76" t="s">
        <v>2147</v>
      </c>
      <c r="CV76" t="s">
        <v>4238</v>
      </c>
      <c r="CY76" t="s">
        <v>5817</v>
      </c>
      <c r="CZ76" t="s">
        <v>7938</v>
      </c>
      <c r="DB76" t="s">
        <v>8035</v>
      </c>
    </row>
    <row r="77" spans="2:106" x14ac:dyDescent="0.35">
      <c r="B77" t="s">
        <v>4726</v>
      </c>
      <c r="F77" t="s">
        <v>4912</v>
      </c>
      <c r="G77" t="s">
        <v>1203</v>
      </c>
      <c r="K77" t="s">
        <v>1320</v>
      </c>
      <c r="L77" t="s">
        <v>2882</v>
      </c>
      <c r="O77" t="s">
        <v>7153</v>
      </c>
      <c r="P77" t="s">
        <v>3124</v>
      </c>
      <c r="T77" t="s">
        <v>4592</v>
      </c>
      <c r="U77" t="s">
        <v>1397</v>
      </c>
      <c r="W77" t="s">
        <v>803</v>
      </c>
      <c r="X77" t="s">
        <v>373</v>
      </c>
      <c r="Y77" t="s">
        <v>3328</v>
      </c>
      <c r="Z77" t="s">
        <v>882</v>
      </c>
      <c r="AA77" t="s">
        <v>3474</v>
      </c>
      <c r="AC77" t="s">
        <v>53</v>
      </c>
      <c r="AJ77" t="s">
        <v>2280</v>
      </c>
      <c r="AP77" t="s">
        <v>476</v>
      </c>
      <c r="AS77" t="s">
        <v>6026</v>
      </c>
      <c r="AT77" t="s">
        <v>3586</v>
      </c>
      <c r="BB77" t="s">
        <v>6653</v>
      </c>
      <c r="BC77" t="s">
        <v>3791</v>
      </c>
      <c r="BF77" t="s">
        <v>1500</v>
      </c>
      <c r="BG77" t="s">
        <v>5347</v>
      </c>
      <c r="BI77" t="s">
        <v>6238</v>
      </c>
      <c r="BJ77" t="s">
        <v>7654</v>
      </c>
      <c r="BK77" t="s">
        <v>6756</v>
      </c>
      <c r="BM77" t="s">
        <v>3979</v>
      </c>
      <c r="BU77" t="s">
        <v>704</v>
      </c>
      <c r="BY77" t="s">
        <v>1058</v>
      </c>
      <c r="CC77" t="s">
        <v>2475</v>
      </c>
      <c r="CE77" t="s">
        <v>1592</v>
      </c>
      <c r="CF77" t="s">
        <v>6324</v>
      </c>
      <c r="CJ77" t="s">
        <v>4162</v>
      </c>
      <c r="CK77" t="s">
        <v>6416</v>
      </c>
      <c r="CO77" t="s">
        <v>5434</v>
      </c>
      <c r="CQ77" t="s">
        <v>3334</v>
      </c>
      <c r="CR77" t="s">
        <v>7803</v>
      </c>
      <c r="CT77" t="s">
        <v>2148</v>
      </c>
      <c r="CV77" t="s">
        <v>4239</v>
      </c>
      <c r="CY77" t="s">
        <v>5818</v>
      </c>
      <c r="CZ77" t="s">
        <v>7939</v>
      </c>
      <c r="DB77" t="s">
        <v>8036</v>
      </c>
    </row>
    <row r="78" spans="2:106" x14ac:dyDescent="0.35">
      <c r="B78" t="s">
        <v>4727</v>
      </c>
      <c r="F78" t="s">
        <v>4913</v>
      </c>
      <c r="G78" t="s">
        <v>1204</v>
      </c>
      <c r="K78" t="s">
        <v>1321</v>
      </c>
      <c r="L78" t="s">
        <v>2883</v>
      </c>
      <c r="O78" t="s">
        <v>7154</v>
      </c>
      <c r="P78" t="s">
        <v>3125</v>
      </c>
      <c r="T78" t="s">
        <v>4593</v>
      </c>
      <c r="U78" t="s">
        <v>1398</v>
      </c>
      <c r="W78" t="s">
        <v>804</v>
      </c>
      <c r="X78" t="s">
        <v>374</v>
      </c>
      <c r="Y78" t="s">
        <v>3329</v>
      </c>
      <c r="Z78" t="s">
        <v>883</v>
      </c>
      <c r="AA78" t="s">
        <v>3475</v>
      </c>
      <c r="AC78" t="s">
        <v>5102</v>
      </c>
      <c r="AJ78" t="s">
        <v>2281</v>
      </c>
      <c r="AP78" t="s">
        <v>477</v>
      </c>
      <c r="AS78" t="s">
        <v>6027</v>
      </c>
      <c r="AT78" t="s">
        <v>3587</v>
      </c>
      <c r="BB78" t="s">
        <v>6654</v>
      </c>
      <c r="BC78" t="s">
        <v>3792</v>
      </c>
      <c r="BF78" t="s">
        <v>1501</v>
      </c>
      <c r="BG78" t="s">
        <v>5348</v>
      </c>
      <c r="BI78" t="s">
        <v>6239</v>
      </c>
      <c r="BJ78" t="s">
        <v>7655</v>
      </c>
      <c r="BK78" t="s">
        <v>6757</v>
      </c>
      <c r="BM78" t="s">
        <v>3980</v>
      </c>
      <c r="BU78" t="s">
        <v>705</v>
      </c>
      <c r="BY78" t="s">
        <v>1059</v>
      </c>
      <c r="CC78" t="s">
        <v>2476</v>
      </c>
      <c r="CE78" t="s">
        <v>1593</v>
      </c>
      <c r="CF78" t="s">
        <v>6325</v>
      </c>
      <c r="CJ78" t="s">
        <v>4163</v>
      </c>
      <c r="CK78" t="s">
        <v>6417</v>
      </c>
      <c r="CO78" t="s">
        <v>5435</v>
      </c>
      <c r="CQ78" t="s">
        <v>7269</v>
      </c>
      <c r="CR78" t="s">
        <v>7804</v>
      </c>
      <c r="CT78" t="s">
        <v>2149</v>
      </c>
      <c r="CV78" t="s">
        <v>4240</v>
      </c>
      <c r="CY78" t="s">
        <v>5819</v>
      </c>
      <c r="CZ78" t="s">
        <v>7940</v>
      </c>
      <c r="DB78" t="s">
        <v>8037</v>
      </c>
    </row>
    <row r="79" spans="2:106" x14ac:dyDescent="0.35">
      <c r="B79" t="s">
        <v>4728</v>
      </c>
      <c r="F79" t="s">
        <v>4914</v>
      </c>
      <c r="G79" t="s">
        <v>1205</v>
      </c>
      <c r="K79" t="s">
        <v>1322</v>
      </c>
      <c r="L79" t="s">
        <v>2884</v>
      </c>
      <c r="O79" t="s">
        <v>7155</v>
      </c>
      <c r="P79" t="s">
        <v>3126</v>
      </c>
      <c r="T79" t="s">
        <v>4594</v>
      </c>
      <c r="U79" t="s">
        <v>1399</v>
      </c>
      <c r="W79" t="s">
        <v>805</v>
      </c>
      <c r="X79" t="s">
        <v>375</v>
      </c>
      <c r="Y79" t="s">
        <v>3330</v>
      </c>
      <c r="Z79" t="s">
        <v>884</v>
      </c>
      <c r="AA79" t="s">
        <v>3476</v>
      </c>
      <c r="AC79" t="s">
        <v>5103</v>
      </c>
      <c r="AJ79" t="s">
        <v>2282</v>
      </c>
      <c r="AP79" t="s">
        <v>478</v>
      </c>
      <c r="AS79" t="s">
        <v>6028</v>
      </c>
      <c r="AT79" t="s">
        <v>3588</v>
      </c>
      <c r="BB79" t="s">
        <v>6655</v>
      </c>
      <c r="BC79" t="s">
        <v>3793</v>
      </c>
      <c r="BF79" t="s">
        <v>1502</v>
      </c>
      <c r="BG79" t="s">
        <v>5349</v>
      </c>
      <c r="BI79" t="s">
        <v>6240</v>
      </c>
      <c r="BJ79" t="s">
        <v>7656</v>
      </c>
      <c r="BK79" t="s">
        <v>6758</v>
      </c>
      <c r="BM79" t="s">
        <v>3981</v>
      </c>
      <c r="BU79" t="s">
        <v>706</v>
      </c>
      <c r="BY79" t="s">
        <v>1060</v>
      </c>
      <c r="CC79" t="s">
        <v>2477</v>
      </c>
      <c r="CE79" t="s">
        <v>1594</v>
      </c>
      <c r="CF79" t="s">
        <v>6326</v>
      </c>
      <c r="CK79" t="s">
        <v>6418</v>
      </c>
      <c r="CO79" t="s">
        <v>5436</v>
      </c>
      <c r="CQ79" t="s">
        <v>7270</v>
      </c>
      <c r="CR79" t="s">
        <v>7805</v>
      </c>
      <c r="CT79" t="s">
        <v>2150</v>
      </c>
      <c r="CV79" t="s">
        <v>4241</v>
      </c>
      <c r="CY79" t="s">
        <v>5820</v>
      </c>
      <c r="CZ79" t="s">
        <v>7941</v>
      </c>
      <c r="DB79" t="s">
        <v>8038</v>
      </c>
    </row>
    <row r="80" spans="2:106" x14ac:dyDescent="0.35">
      <c r="B80" t="s">
        <v>4729</v>
      </c>
      <c r="F80" t="s">
        <v>4915</v>
      </c>
      <c r="G80" t="s">
        <v>1206</v>
      </c>
      <c r="L80" t="s">
        <v>2885</v>
      </c>
      <c r="O80" t="s">
        <v>7156</v>
      </c>
      <c r="P80" t="s">
        <v>3127</v>
      </c>
      <c r="T80" t="s">
        <v>4595</v>
      </c>
      <c r="U80" t="s">
        <v>1400</v>
      </c>
      <c r="W80" t="s">
        <v>806</v>
      </c>
      <c r="X80" t="s">
        <v>376</v>
      </c>
      <c r="Y80" t="s">
        <v>3331</v>
      </c>
      <c r="Z80" t="s">
        <v>885</v>
      </c>
      <c r="AA80" t="s">
        <v>3477</v>
      </c>
      <c r="AC80" t="s">
        <v>5104</v>
      </c>
      <c r="AJ80" t="s">
        <v>2283</v>
      </c>
      <c r="AP80" t="s">
        <v>479</v>
      </c>
      <c r="AS80" t="s">
        <v>6029</v>
      </c>
      <c r="AT80" t="s">
        <v>3589</v>
      </c>
      <c r="BB80" t="s">
        <v>6656</v>
      </c>
      <c r="BC80" t="s">
        <v>3794</v>
      </c>
      <c r="BF80" t="s">
        <v>1503</v>
      </c>
      <c r="BG80" t="s">
        <v>5350</v>
      </c>
      <c r="BI80" t="s">
        <v>6241</v>
      </c>
      <c r="BJ80" t="s">
        <v>7657</v>
      </c>
      <c r="BK80" t="s">
        <v>6759</v>
      </c>
      <c r="BM80" t="s">
        <v>3982</v>
      </c>
      <c r="BU80" t="s">
        <v>707</v>
      </c>
      <c r="BY80" t="s">
        <v>1061</v>
      </c>
      <c r="CC80" t="s">
        <v>2478</v>
      </c>
      <c r="CE80" t="s">
        <v>1595</v>
      </c>
      <c r="CF80" t="s">
        <v>6327</v>
      </c>
      <c r="CK80" t="s">
        <v>6419</v>
      </c>
      <c r="CO80" t="s">
        <v>5437</v>
      </c>
      <c r="CQ80" t="s">
        <v>7271</v>
      </c>
      <c r="CR80" t="s">
        <v>7806</v>
      </c>
      <c r="CT80" t="s">
        <v>2151</v>
      </c>
      <c r="CV80" t="s">
        <v>4242</v>
      </c>
      <c r="CY80" t="s">
        <v>289</v>
      </c>
      <c r="CZ80" t="s">
        <v>7942</v>
      </c>
      <c r="DB80" t="s">
        <v>8039</v>
      </c>
    </row>
    <row r="81" spans="2:106" x14ac:dyDescent="0.35">
      <c r="B81" t="s">
        <v>4730</v>
      </c>
      <c r="F81" t="s">
        <v>4916</v>
      </c>
      <c r="G81" t="s">
        <v>1207</v>
      </c>
      <c r="L81" t="s">
        <v>2886</v>
      </c>
      <c r="O81" t="s">
        <v>7157</v>
      </c>
      <c r="P81" t="s">
        <v>3128</v>
      </c>
      <c r="T81" t="s">
        <v>4596</v>
      </c>
      <c r="U81" t="s">
        <v>1401</v>
      </c>
      <c r="W81" t="s">
        <v>807</v>
      </c>
      <c r="X81" t="s">
        <v>377</v>
      </c>
      <c r="Y81" t="s">
        <v>3332</v>
      </c>
      <c r="Z81" t="s">
        <v>886</v>
      </c>
      <c r="AA81" t="s">
        <v>3478</v>
      </c>
      <c r="AC81" t="s">
        <v>5105</v>
      </c>
      <c r="AJ81" t="s">
        <v>2284</v>
      </c>
      <c r="AP81" t="s">
        <v>480</v>
      </c>
      <c r="AS81" t="s">
        <v>6030</v>
      </c>
      <c r="AT81" t="s">
        <v>3590</v>
      </c>
      <c r="BB81" t="s">
        <v>6657</v>
      </c>
      <c r="BC81" t="s">
        <v>3795</v>
      </c>
      <c r="BF81" t="s">
        <v>1504</v>
      </c>
      <c r="BG81" t="s">
        <v>5351</v>
      </c>
      <c r="BI81" t="s">
        <v>6242</v>
      </c>
      <c r="BJ81" t="s">
        <v>7658</v>
      </c>
      <c r="BK81" t="s">
        <v>6760</v>
      </c>
      <c r="BM81" t="s">
        <v>3983</v>
      </c>
      <c r="BU81" t="s">
        <v>708</v>
      </c>
      <c r="BY81" t="s">
        <v>1062</v>
      </c>
      <c r="CC81" t="s">
        <v>2479</v>
      </c>
      <c r="CE81" t="s">
        <v>1596</v>
      </c>
      <c r="CF81" t="s">
        <v>6328</v>
      </c>
      <c r="CK81" t="s">
        <v>6420</v>
      </c>
      <c r="CO81" t="s">
        <v>5438</v>
      </c>
      <c r="CQ81" t="s">
        <v>7272</v>
      </c>
      <c r="CR81" t="s">
        <v>7807</v>
      </c>
      <c r="CT81" t="s">
        <v>2152</v>
      </c>
      <c r="CV81" t="s">
        <v>4243</v>
      </c>
      <c r="CY81" t="s">
        <v>5821</v>
      </c>
      <c r="CZ81" t="s">
        <v>7943</v>
      </c>
      <c r="DB81" t="s">
        <v>8040</v>
      </c>
    </row>
    <row r="82" spans="2:106" x14ac:dyDescent="0.35">
      <c r="B82" t="s">
        <v>4731</v>
      </c>
      <c r="F82" t="s">
        <v>4917</v>
      </c>
      <c r="G82" t="s">
        <v>1208</v>
      </c>
      <c r="L82" t="s">
        <v>2887</v>
      </c>
      <c r="O82" t="s">
        <v>7158</v>
      </c>
      <c r="P82" t="s">
        <v>3129</v>
      </c>
      <c r="T82" t="s">
        <v>4597</v>
      </c>
      <c r="U82" t="s">
        <v>1402</v>
      </c>
      <c r="X82" t="s">
        <v>378</v>
      </c>
      <c r="Y82" t="s">
        <v>3333</v>
      </c>
      <c r="Z82" t="s">
        <v>887</v>
      </c>
      <c r="AA82" t="s">
        <v>3479</v>
      </c>
      <c r="AC82" t="s">
        <v>5106</v>
      </c>
      <c r="AJ82" t="s">
        <v>2285</v>
      </c>
      <c r="AP82" t="s">
        <v>481</v>
      </c>
      <c r="AS82" t="s">
        <v>6031</v>
      </c>
      <c r="AT82" t="s">
        <v>3591</v>
      </c>
      <c r="BB82" t="s">
        <v>6658</v>
      </c>
      <c r="BC82" t="s">
        <v>3796</v>
      </c>
      <c r="BF82" t="s">
        <v>1505</v>
      </c>
      <c r="BG82" t="s">
        <v>5352</v>
      </c>
      <c r="BI82" t="s">
        <v>6243</v>
      </c>
      <c r="BJ82" t="s">
        <v>7659</v>
      </c>
      <c r="BK82" t="s">
        <v>6761</v>
      </c>
      <c r="BM82" t="s">
        <v>3984</v>
      </c>
      <c r="BU82" t="s">
        <v>709</v>
      </c>
      <c r="BY82" t="s">
        <v>1063</v>
      </c>
      <c r="CC82" t="s">
        <v>2480</v>
      </c>
      <c r="CE82" t="s">
        <v>1597</v>
      </c>
      <c r="CF82" t="s">
        <v>6329</v>
      </c>
      <c r="CK82" t="s">
        <v>6421</v>
      </c>
      <c r="CO82" t="s">
        <v>5439</v>
      </c>
      <c r="CQ82" t="s">
        <v>7273</v>
      </c>
      <c r="CR82" t="s">
        <v>7808</v>
      </c>
      <c r="CT82" t="s">
        <v>2153</v>
      </c>
      <c r="CV82" t="s">
        <v>4244</v>
      </c>
      <c r="CY82" t="s">
        <v>5822</v>
      </c>
      <c r="CZ82" t="s">
        <v>7944</v>
      </c>
      <c r="DB82" t="s">
        <v>8041</v>
      </c>
    </row>
    <row r="83" spans="2:106" x14ac:dyDescent="0.35">
      <c r="B83" t="s">
        <v>4732</v>
      </c>
      <c r="F83" t="s">
        <v>4918</v>
      </c>
      <c r="G83" t="s">
        <v>1209</v>
      </c>
      <c r="L83" t="s">
        <v>2888</v>
      </c>
      <c r="O83" t="s">
        <v>7159</v>
      </c>
      <c r="P83" t="s">
        <v>3130</v>
      </c>
      <c r="T83" t="s">
        <v>4598</v>
      </c>
      <c r="U83" t="s">
        <v>1403</v>
      </c>
      <c r="X83" t="s">
        <v>379</v>
      </c>
      <c r="Y83" t="s">
        <v>3334</v>
      </c>
      <c r="Z83" t="s">
        <v>888</v>
      </c>
      <c r="AA83" t="s">
        <v>3480</v>
      </c>
      <c r="AC83" t="s">
        <v>5107</v>
      </c>
      <c r="AJ83" t="s">
        <v>2286</v>
      </c>
      <c r="AP83" t="s">
        <v>482</v>
      </c>
      <c r="AS83" t="s">
        <v>6032</v>
      </c>
      <c r="AT83" t="s">
        <v>3592</v>
      </c>
      <c r="BB83" t="s">
        <v>6659</v>
      </c>
      <c r="BC83" t="s">
        <v>3797</v>
      </c>
      <c r="BF83" t="s">
        <v>1506</v>
      </c>
      <c r="BG83" t="s">
        <v>5353</v>
      </c>
      <c r="BI83" t="s">
        <v>6244</v>
      </c>
      <c r="BJ83" t="s">
        <v>7660</v>
      </c>
      <c r="BK83" t="s">
        <v>6762</v>
      </c>
      <c r="BM83" t="s">
        <v>3985</v>
      </c>
      <c r="BU83" t="s">
        <v>710</v>
      </c>
      <c r="BY83" t="s">
        <v>1064</v>
      </c>
      <c r="CC83" t="s">
        <v>2481</v>
      </c>
      <c r="CE83" t="s">
        <v>1598</v>
      </c>
      <c r="CF83" t="s">
        <v>6330</v>
      </c>
      <c r="CK83" t="s">
        <v>6422</v>
      </c>
      <c r="CO83" t="s">
        <v>5440</v>
      </c>
      <c r="CQ83" t="s">
        <v>7274</v>
      </c>
      <c r="CR83" t="s">
        <v>7809</v>
      </c>
      <c r="CT83" t="s">
        <v>2154</v>
      </c>
      <c r="CV83" t="s">
        <v>4245</v>
      </c>
      <c r="CY83" t="s">
        <v>5823</v>
      </c>
      <c r="CZ83" t="s">
        <v>7945</v>
      </c>
      <c r="DB83" t="s">
        <v>8042</v>
      </c>
    </row>
    <row r="84" spans="2:106" x14ac:dyDescent="0.35">
      <c r="B84" t="s">
        <v>4733</v>
      </c>
      <c r="F84" t="s">
        <v>4919</v>
      </c>
      <c r="G84" t="s">
        <v>1210</v>
      </c>
      <c r="L84" t="s">
        <v>2889</v>
      </c>
      <c r="O84" t="s">
        <v>7160</v>
      </c>
      <c r="P84" t="s">
        <v>3131</v>
      </c>
      <c r="T84" t="s">
        <v>4599</v>
      </c>
      <c r="U84" t="s">
        <v>1404</v>
      </c>
      <c r="X84" t="s">
        <v>380</v>
      </c>
      <c r="Y84" t="s">
        <v>3335</v>
      </c>
      <c r="Z84" t="s">
        <v>889</v>
      </c>
      <c r="AA84" t="s">
        <v>3481</v>
      </c>
      <c r="AC84" t="s">
        <v>5108</v>
      </c>
      <c r="AJ84" t="s">
        <v>2287</v>
      </c>
      <c r="AP84" t="s">
        <v>483</v>
      </c>
      <c r="AS84" t="s">
        <v>6033</v>
      </c>
      <c r="AT84" t="s">
        <v>3593</v>
      </c>
      <c r="BB84" t="s">
        <v>6660</v>
      </c>
      <c r="BC84" t="s">
        <v>3798</v>
      </c>
      <c r="BF84" t="s">
        <v>1507</v>
      </c>
      <c r="BG84" t="s">
        <v>5354</v>
      </c>
      <c r="BI84" t="s">
        <v>6245</v>
      </c>
      <c r="BJ84" t="s">
        <v>7661</v>
      </c>
      <c r="BM84" t="s">
        <v>3986</v>
      </c>
      <c r="BU84" t="s">
        <v>711</v>
      </c>
      <c r="BY84" t="s">
        <v>1065</v>
      </c>
      <c r="CC84" t="s">
        <v>2482</v>
      </c>
      <c r="CE84" t="s">
        <v>1599</v>
      </c>
      <c r="CF84" t="s">
        <v>6331</v>
      </c>
      <c r="CK84" t="s">
        <v>6423</v>
      </c>
      <c r="CO84" t="s">
        <v>5441</v>
      </c>
      <c r="CQ84" t="s">
        <v>7275</v>
      </c>
      <c r="CR84" t="s">
        <v>7810</v>
      </c>
      <c r="CT84" t="s">
        <v>2155</v>
      </c>
      <c r="CV84" t="s">
        <v>4246</v>
      </c>
      <c r="CZ84" t="s">
        <v>7946</v>
      </c>
      <c r="DB84" t="s">
        <v>8043</v>
      </c>
    </row>
    <row r="85" spans="2:106" x14ac:dyDescent="0.35">
      <c r="B85" t="s">
        <v>4734</v>
      </c>
      <c r="F85" t="s">
        <v>4920</v>
      </c>
      <c r="G85" t="s">
        <v>1211</v>
      </c>
      <c r="L85" t="s">
        <v>2890</v>
      </c>
      <c r="O85" t="s">
        <v>7161</v>
      </c>
      <c r="P85" t="s">
        <v>3132</v>
      </c>
      <c r="T85" t="s">
        <v>4600</v>
      </c>
      <c r="U85" t="s">
        <v>1405</v>
      </c>
      <c r="X85" t="s">
        <v>381</v>
      </c>
      <c r="Y85" t="s">
        <v>3336</v>
      </c>
      <c r="Z85" t="s">
        <v>890</v>
      </c>
      <c r="AA85" t="s">
        <v>3482</v>
      </c>
      <c r="AC85" t="s">
        <v>5109</v>
      </c>
      <c r="AJ85" t="s">
        <v>2288</v>
      </c>
      <c r="AP85" t="s">
        <v>484</v>
      </c>
      <c r="AS85" t="s">
        <v>6034</v>
      </c>
      <c r="AT85" t="s">
        <v>3594</v>
      </c>
      <c r="BB85" t="s">
        <v>6318</v>
      </c>
      <c r="BC85" t="s">
        <v>3799</v>
      </c>
      <c r="BF85" t="s">
        <v>1508</v>
      </c>
      <c r="BG85" t="s">
        <v>5355</v>
      </c>
      <c r="BI85" t="s">
        <v>6246</v>
      </c>
      <c r="BJ85" t="s">
        <v>7662</v>
      </c>
      <c r="BM85" t="s">
        <v>3987</v>
      </c>
      <c r="BU85" t="s">
        <v>712</v>
      </c>
      <c r="BY85" t="s">
        <v>1066</v>
      </c>
      <c r="CC85" t="s">
        <v>2483</v>
      </c>
      <c r="CE85" t="s">
        <v>1600</v>
      </c>
      <c r="CF85" t="s">
        <v>6332</v>
      </c>
      <c r="CK85" t="s">
        <v>6424</v>
      </c>
      <c r="CO85" t="s">
        <v>5442</v>
      </c>
      <c r="CQ85" t="s">
        <v>7276</v>
      </c>
      <c r="CR85" t="s">
        <v>7811</v>
      </c>
      <c r="CT85" t="s">
        <v>2156</v>
      </c>
      <c r="CV85" t="s">
        <v>4247</v>
      </c>
      <c r="CZ85" t="s">
        <v>7947</v>
      </c>
      <c r="DB85" t="s">
        <v>8044</v>
      </c>
    </row>
    <row r="86" spans="2:106" x14ac:dyDescent="0.35">
      <c r="B86" t="s">
        <v>4735</v>
      </c>
      <c r="F86" t="s">
        <v>4921</v>
      </c>
      <c r="G86" t="s">
        <v>1212</v>
      </c>
      <c r="L86" t="s">
        <v>2891</v>
      </c>
      <c r="O86" t="s">
        <v>7162</v>
      </c>
      <c r="P86" t="s">
        <v>3133</v>
      </c>
      <c r="U86" t="s">
        <v>1406</v>
      </c>
      <c r="X86" t="s">
        <v>382</v>
      </c>
      <c r="Y86" t="s">
        <v>3337</v>
      </c>
      <c r="Z86" t="s">
        <v>891</v>
      </c>
      <c r="AA86" t="s">
        <v>3483</v>
      </c>
      <c r="AC86" t="s">
        <v>5110</v>
      </c>
      <c r="AJ86" t="s">
        <v>2289</v>
      </c>
      <c r="AP86" t="s">
        <v>485</v>
      </c>
      <c r="AS86" t="s">
        <v>6035</v>
      </c>
      <c r="BB86" t="s">
        <v>6661</v>
      </c>
      <c r="BC86" t="s">
        <v>3800</v>
      </c>
      <c r="BF86" t="s">
        <v>1509</v>
      </c>
      <c r="BG86" t="s">
        <v>5356</v>
      </c>
      <c r="BI86" t="s">
        <v>6247</v>
      </c>
      <c r="BJ86" t="s">
        <v>7663</v>
      </c>
      <c r="BM86" t="s">
        <v>3988</v>
      </c>
      <c r="BU86" t="s">
        <v>713</v>
      </c>
      <c r="BY86" t="s">
        <v>1067</v>
      </c>
      <c r="CC86" t="s">
        <v>2484</v>
      </c>
      <c r="CE86" t="s">
        <v>1601</v>
      </c>
      <c r="CF86" t="s">
        <v>6333</v>
      </c>
      <c r="CK86" t="s">
        <v>6425</v>
      </c>
      <c r="CO86" t="s">
        <v>5443</v>
      </c>
      <c r="CQ86" t="s">
        <v>7277</v>
      </c>
      <c r="CR86" t="s">
        <v>77</v>
      </c>
      <c r="CT86" t="s">
        <v>2157</v>
      </c>
      <c r="CV86" t="s">
        <v>4248</v>
      </c>
      <c r="CZ86" t="s">
        <v>7948</v>
      </c>
      <c r="DB86" t="s">
        <v>8045</v>
      </c>
    </row>
    <row r="87" spans="2:106" x14ac:dyDescent="0.35">
      <c r="B87" t="s">
        <v>4736</v>
      </c>
      <c r="F87" t="s">
        <v>4922</v>
      </c>
      <c r="G87" t="s">
        <v>1213</v>
      </c>
      <c r="L87" t="s">
        <v>2892</v>
      </c>
      <c r="O87" t="s">
        <v>7163</v>
      </c>
      <c r="P87" t="s">
        <v>3134</v>
      </c>
      <c r="U87" t="s">
        <v>1407</v>
      </c>
      <c r="X87" t="s">
        <v>383</v>
      </c>
      <c r="Y87" t="s">
        <v>3338</v>
      </c>
      <c r="Z87" t="s">
        <v>892</v>
      </c>
      <c r="AA87" t="s">
        <v>3484</v>
      </c>
      <c r="AC87" t="s">
        <v>5111</v>
      </c>
      <c r="AJ87" t="s">
        <v>2290</v>
      </c>
      <c r="AP87" t="s">
        <v>486</v>
      </c>
      <c r="AS87" t="s">
        <v>6036</v>
      </c>
      <c r="BB87" t="s">
        <v>6662</v>
      </c>
      <c r="BC87" t="s">
        <v>3801</v>
      </c>
      <c r="BF87" t="s">
        <v>1510</v>
      </c>
      <c r="BG87" t="s">
        <v>5357</v>
      </c>
      <c r="BI87" t="s">
        <v>6248</v>
      </c>
      <c r="BJ87" t="s">
        <v>7664</v>
      </c>
      <c r="BM87" t="s">
        <v>3989</v>
      </c>
      <c r="BU87" t="s">
        <v>714</v>
      </c>
      <c r="BY87" t="s">
        <v>1068</v>
      </c>
      <c r="CC87" t="s">
        <v>2485</v>
      </c>
      <c r="CE87" t="s">
        <v>1602</v>
      </c>
      <c r="CF87" t="s">
        <v>6334</v>
      </c>
      <c r="CK87" t="s">
        <v>6426</v>
      </c>
      <c r="CO87" t="s">
        <v>5444</v>
      </c>
      <c r="CQ87" t="s">
        <v>7278</v>
      </c>
      <c r="CR87" t="s">
        <v>7812</v>
      </c>
      <c r="CT87" t="s">
        <v>2158</v>
      </c>
      <c r="CV87" t="s">
        <v>4249</v>
      </c>
      <c r="CZ87" t="s">
        <v>7949</v>
      </c>
      <c r="DB87" t="s">
        <v>8046</v>
      </c>
    </row>
    <row r="88" spans="2:106" x14ac:dyDescent="0.35">
      <c r="B88" t="s">
        <v>4737</v>
      </c>
      <c r="F88" t="s">
        <v>4923</v>
      </c>
      <c r="G88" t="s">
        <v>1214</v>
      </c>
      <c r="L88" t="s">
        <v>2893</v>
      </c>
      <c r="O88" t="s">
        <v>7164</v>
      </c>
      <c r="P88" t="s">
        <v>3135</v>
      </c>
      <c r="U88" t="s">
        <v>1408</v>
      </c>
      <c r="X88" t="s">
        <v>384</v>
      </c>
      <c r="Y88" t="s">
        <v>3339</v>
      </c>
      <c r="Z88" t="s">
        <v>893</v>
      </c>
      <c r="AA88" t="s">
        <v>3485</v>
      </c>
      <c r="AC88" t="s">
        <v>5112</v>
      </c>
      <c r="AJ88" t="s">
        <v>2291</v>
      </c>
      <c r="AP88" t="s">
        <v>487</v>
      </c>
      <c r="AS88" t="s">
        <v>6037</v>
      </c>
      <c r="BB88" t="s">
        <v>6663</v>
      </c>
      <c r="BC88" t="s">
        <v>3802</v>
      </c>
      <c r="BF88" t="s">
        <v>1511</v>
      </c>
      <c r="BG88" t="s">
        <v>5358</v>
      </c>
      <c r="BI88" t="s">
        <v>6249</v>
      </c>
      <c r="BJ88" t="s">
        <v>7665</v>
      </c>
      <c r="BM88" t="s">
        <v>3990</v>
      </c>
      <c r="BU88" t="s">
        <v>715</v>
      </c>
      <c r="BY88" t="s">
        <v>1069</v>
      </c>
      <c r="CC88" t="s">
        <v>2486</v>
      </c>
      <c r="CE88" t="s">
        <v>1603</v>
      </c>
      <c r="CF88" t="s">
        <v>6335</v>
      </c>
      <c r="CK88" t="s">
        <v>6427</v>
      </c>
      <c r="CO88" t="s">
        <v>5445</v>
      </c>
      <c r="CQ88" t="s">
        <v>7279</v>
      </c>
      <c r="CR88" t="s">
        <v>7813</v>
      </c>
      <c r="CT88" t="s">
        <v>2159</v>
      </c>
      <c r="CV88" t="s">
        <v>4250</v>
      </c>
      <c r="CZ88" t="s">
        <v>7950</v>
      </c>
      <c r="DB88" t="s">
        <v>8047</v>
      </c>
    </row>
    <row r="89" spans="2:106" x14ac:dyDescent="0.35">
      <c r="B89" t="s">
        <v>4738</v>
      </c>
      <c r="F89" t="s">
        <v>4924</v>
      </c>
      <c r="G89" t="s">
        <v>1215</v>
      </c>
      <c r="L89" t="s">
        <v>2894</v>
      </c>
      <c r="O89" t="s">
        <v>7165</v>
      </c>
      <c r="P89" t="s">
        <v>3136</v>
      </c>
      <c r="U89" t="s">
        <v>1409</v>
      </c>
      <c r="X89" t="s">
        <v>385</v>
      </c>
      <c r="Y89" t="s">
        <v>3340</v>
      </c>
      <c r="Z89" t="s">
        <v>894</v>
      </c>
      <c r="AA89" t="s">
        <v>3486</v>
      </c>
      <c r="AC89" t="s">
        <v>5113</v>
      </c>
      <c r="AJ89" t="s">
        <v>2292</v>
      </c>
      <c r="AP89" t="s">
        <v>488</v>
      </c>
      <c r="AS89" t="s">
        <v>6038</v>
      </c>
      <c r="BB89" t="s">
        <v>6664</v>
      </c>
      <c r="BC89" t="s">
        <v>3803</v>
      </c>
      <c r="BF89" t="s">
        <v>1512</v>
      </c>
      <c r="BJ89" t="s">
        <v>7666</v>
      </c>
      <c r="BM89" t="s">
        <v>3991</v>
      </c>
      <c r="BU89" t="s">
        <v>716</v>
      </c>
      <c r="BY89" t="s">
        <v>1070</v>
      </c>
      <c r="CC89" t="s">
        <v>2487</v>
      </c>
      <c r="CE89" t="s">
        <v>1604</v>
      </c>
      <c r="CF89" t="s">
        <v>6336</v>
      </c>
      <c r="CK89" t="s">
        <v>6428</v>
      </c>
      <c r="CO89" t="s">
        <v>5446</v>
      </c>
      <c r="CQ89" t="s">
        <v>7280</v>
      </c>
      <c r="CR89" t="s">
        <v>7814</v>
      </c>
      <c r="CT89" t="s">
        <v>2160</v>
      </c>
      <c r="CV89" t="s">
        <v>4251</v>
      </c>
      <c r="CZ89" t="s">
        <v>7951</v>
      </c>
      <c r="DB89" t="s">
        <v>8048</v>
      </c>
    </row>
    <row r="90" spans="2:106" x14ac:dyDescent="0.35">
      <c r="B90" t="s">
        <v>4739</v>
      </c>
      <c r="F90" t="s">
        <v>4925</v>
      </c>
      <c r="G90" t="s">
        <v>1216</v>
      </c>
      <c r="L90" t="s">
        <v>2895</v>
      </c>
      <c r="O90" t="s">
        <v>7166</v>
      </c>
      <c r="P90" t="s">
        <v>3137</v>
      </c>
      <c r="U90" t="s">
        <v>1410</v>
      </c>
      <c r="X90" t="s">
        <v>386</v>
      </c>
      <c r="Y90" t="s">
        <v>3341</v>
      </c>
      <c r="Z90" t="s">
        <v>895</v>
      </c>
      <c r="AA90" t="s">
        <v>3487</v>
      </c>
      <c r="AC90" t="s">
        <v>5114</v>
      </c>
      <c r="AJ90" t="s">
        <v>2293</v>
      </c>
      <c r="AP90" t="s">
        <v>489</v>
      </c>
      <c r="AS90" t="s">
        <v>6039</v>
      </c>
      <c r="BB90" t="s">
        <v>6665</v>
      </c>
      <c r="BC90" t="s">
        <v>3804</v>
      </c>
      <c r="BF90" t="s">
        <v>1513</v>
      </c>
      <c r="BJ90" t="s">
        <v>7667</v>
      </c>
      <c r="BM90" t="s">
        <v>3992</v>
      </c>
      <c r="BU90" t="s">
        <v>717</v>
      </c>
      <c r="BY90" t="s">
        <v>1071</v>
      </c>
      <c r="CC90" t="s">
        <v>2488</v>
      </c>
      <c r="CE90" t="s">
        <v>1605</v>
      </c>
      <c r="CF90" t="s">
        <v>6337</v>
      </c>
      <c r="CK90" t="s">
        <v>6429</v>
      </c>
      <c r="CO90" t="s">
        <v>5447</v>
      </c>
      <c r="CQ90" t="s">
        <v>7281</v>
      </c>
      <c r="CR90" t="s">
        <v>7815</v>
      </c>
      <c r="CT90" t="s">
        <v>2161</v>
      </c>
      <c r="CV90" t="s">
        <v>4252</v>
      </c>
      <c r="CZ90" t="s">
        <v>7952</v>
      </c>
      <c r="DB90" t="s">
        <v>8049</v>
      </c>
    </row>
    <row r="91" spans="2:106" x14ac:dyDescent="0.35">
      <c r="B91" t="s">
        <v>4740</v>
      </c>
      <c r="F91" t="s">
        <v>4926</v>
      </c>
      <c r="G91" t="s">
        <v>1217</v>
      </c>
      <c r="L91" t="s">
        <v>2896</v>
      </c>
      <c r="O91" t="s">
        <v>7167</v>
      </c>
      <c r="P91" t="s">
        <v>3138</v>
      </c>
      <c r="U91" t="s">
        <v>1411</v>
      </c>
      <c r="X91" t="s">
        <v>387</v>
      </c>
      <c r="Y91" t="s">
        <v>3342</v>
      </c>
      <c r="Z91" t="s">
        <v>896</v>
      </c>
      <c r="AA91" t="s">
        <v>3488</v>
      </c>
      <c r="AC91" t="s">
        <v>5115</v>
      </c>
      <c r="AJ91" t="s">
        <v>2294</v>
      </c>
      <c r="AP91" t="s">
        <v>490</v>
      </c>
      <c r="AS91" t="s">
        <v>6040</v>
      </c>
      <c r="BB91" t="s">
        <v>6666</v>
      </c>
      <c r="BC91" t="s">
        <v>3805</v>
      </c>
      <c r="BF91" t="s">
        <v>1514</v>
      </c>
      <c r="BJ91" t="s">
        <v>7668</v>
      </c>
      <c r="BM91" t="s">
        <v>3993</v>
      </c>
      <c r="BU91" t="s">
        <v>718</v>
      </c>
      <c r="BY91" t="s">
        <v>1072</v>
      </c>
      <c r="CC91" t="s">
        <v>2489</v>
      </c>
      <c r="CE91" t="s">
        <v>1606</v>
      </c>
      <c r="CF91" t="s">
        <v>6338</v>
      </c>
      <c r="CK91" t="s">
        <v>6430</v>
      </c>
      <c r="CO91" t="s">
        <v>5448</v>
      </c>
      <c r="CQ91" t="s">
        <v>7282</v>
      </c>
      <c r="CR91" t="s">
        <v>7816</v>
      </c>
      <c r="CT91" t="s">
        <v>2162</v>
      </c>
      <c r="CV91" t="s">
        <v>4253</v>
      </c>
      <c r="CZ91" t="s">
        <v>7953</v>
      </c>
      <c r="DB91" t="s">
        <v>8050</v>
      </c>
    </row>
    <row r="92" spans="2:106" x14ac:dyDescent="0.35">
      <c r="B92" t="s">
        <v>4741</v>
      </c>
      <c r="F92" t="s">
        <v>4927</v>
      </c>
      <c r="G92" t="s">
        <v>1218</v>
      </c>
      <c r="L92" t="s">
        <v>2897</v>
      </c>
      <c r="O92" t="s">
        <v>7168</v>
      </c>
      <c r="P92" t="s">
        <v>3139</v>
      </c>
      <c r="U92" t="s">
        <v>1412</v>
      </c>
      <c r="X92" t="s">
        <v>388</v>
      </c>
      <c r="Y92" t="s">
        <v>3343</v>
      </c>
      <c r="Z92" t="s">
        <v>897</v>
      </c>
      <c r="AA92" t="s">
        <v>3489</v>
      </c>
      <c r="AC92" t="s">
        <v>5116</v>
      </c>
      <c r="AJ92" t="s">
        <v>2295</v>
      </c>
      <c r="AP92" t="s">
        <v>491</v>
      </c>
      <c r="AS92" t="s">
        <v>6041</v>
      </c>
      <c r="BB92" t="s">
        <v>6667</v>
      </c>
      <c r="BC92" t="s">
        <v>3806</v>
      </c>
      <c r="BF92" t="s">
        <v>1515</v>
      </c>
      <c r="BJ92" t="s">
        <v>7669</v>
      </c>
      <c r="BM92" t="s">
        <v>3994</v>
      </c>
      <c r="BU92" t="s">
        <v>719</v>
      </c>
      <c r="BY92" t="s">
        <v>1073</v>
      </c>
      <c r="CC92" t="s">
        <v>2490</v>
      </c>
      <c r="CE92" t="s">
        <v>1607</v>
      </c>
      <c r="CF92" t="s">
        <v>6339</v>
      </c>
      <c r="CK92" t="s">
        <v>6431</v>
      </c>
      <c r="CO92" t="s">
        <v>5449</v>
      </c>
      <c r="CQ92" t="s">
        <v>7283</v>
      </c>
      <c r="CR92" t="s">
        <v>7817</v>
      </c>
      <c r="CT92" t="s">
        <v>2163</v>
      </c>
      <c r="CV92" t="s">
        <v>4254</v>
      </c>
      <c r="CZ92" t="s">
        <v>80</v>
      </c>
      <c r="DB92" t="s">
        <v>8051</v>
      </c>
    </row>
    <row r="93" spans="2:106" x14ac:dyDescent="0.35">
      <c r="B93" t="s">
        <v>4742</v>
      </c>
      <c r="F93" t="s">
        <v>4928</v>
      </c>
      <c r="G93" t="s">
        <v>1219</v>
      </c>
      <c r="L93" t="s">
        <v>2898</v>
      </c>
      <c r="O93" t="s">
        <v>7169</v>
      </c>
      <c r="P93" t="s">
        <v>3140</v>
      </c>
      <c r="U93" t="s">
        <v>1413</v>
      </c>
      <c r="X93" t="s">
        <v>389</v>
      </c>
      <c r="Y93" t="s">
        <v>3344</v>
      </c>
      <c r="Z93" t="s">
        <v>898</v>
      </c>
      <c r="AA93" t="s">
        <v>3490</v>
      </c>
      <c r="AC93" t="s">
        <v>5117</v>
      </c>
      <c r="AP93" t="s">
        <v>492</v>
      </c>
      <c r="AS93" t="s">
        <v>6042</v>
      </c>
      <c r="BB93" t="s">
        <v>6668</v>
      </c>
      <c r="BC93" t="s">
        <v>3807</v>
      </c>
      <c r="BF93" t="s">
        <v>1516</v>
      </c>
      <c r="BJ93" t="s">
        <v>7670</v>
      </c>
      <c r="BM93" t="s">
        <v>3995</v>
      </c>
      <c r="BU93" t="s">
        <v>720</v>
      </c>
      <c r="BY93" t="s">
        <v>1074</v>
      </c>
      <c r="CC93" t="s">
        <v>2491</v>
      </c>
      <c r="CE93" t="s">
        <v>1608</v>
      </c>
      <c r="CF93" t="s">
        <v>6340</v>
      </c>
      <c r="CK93" t="s">
        <v>6432</v>
      </c>
      <c r="CO93" t="s">
        <v>5450</v>
      </c>
      <c r="CQ93" t="s">
        <v>7284</v>
      </c>
      <c r="CR93" t="s">
        <v>7818</v>
      </c>
      <c r="CT93" t="s">
        <v>2164</v>
      </c>
      <c r="CV93" t="s">
        <v>4255</v>
      </c>
      <c r="CZ93" t="s">
        <v>7954</v>
      </c>
      <c r="DB93" t="s">
        <v>8052</v>
      </c>
    </row>
    <row r="94" spans="2:106" x14ac:dyDescent="0.35">
      <c r="B94" t="s">
        <v>4743</v>
      </c>
      <c r="F94" t="s">
        <v>4929</v>
      </c>
      <c r="G94" t="s">
        <v>1220</v>
      </c>
      <c r="L94" t="s">
        <v>2899</v>
      </c>
      <c r="O94" t="s">
        <v>7170</v>
      </c>
      <c r="P94" t="s">
        <v>3141</v>
      </c>
      <c r="U94" t="s">
        <v>1414</v>
      </c>
      <c r="X94" t="s">
        <v>390</v>
      </c>
      <c r="Y94" t="s">
        <v>3345</v>
      </c>
      <c r="Z94" t="s">
        <v>899</v>
      </c>
      <c r="AA94" t="s">
        <v>3491</v>
      </c>
      <c r="AC94" t="s">
        <v>5118</v>
      </c>
      <c r="AP94" t="s">
        <v>493</v>
      </c>
      <c r="AS94" t="s">
        <v>6043</v>
      </c>
      <c r="BB94" t="s">
        <v>6669</v>
      </c>
      <c r="BC94" t="s">
        <v>3808</v>
      </c>
      <c r="BJ94" t="s">
        <v>7671</v>
      </c>
      <c r="BM94" t="s">
        <v>3996</v>
      </c>
      <c r="BU94" t="s">
        <v>721</v>
      </c>
      <c r="BY94" t="s">
        <v>1075</v>
      </c>
      <c r="CC94" t="s">
        <v>2492</v>
      </c>
      <c r="CE94" t="s">
        <v>1609</v>
      </c>
      <c r="CK94" t="s">
        <v>6433</v>
      </c>
      <c r="CO94" t="s">
        <v>5451</v>
      </c>
      <c r="CQ94" t="s">
        <v>7285</v>
      </c>
      <c r="CR94" t="s">
        <v>7819</v>
      </c>
      <c r="CT94" t="s">
        <v>2165</v>
      </c>
      <c r="CV94" t="s">
        <v>4256</v>
      </c>
      <c r="CZ94" t="s">
        <v>7955</v>
      </c>
      <c r="DB94" t="s">
        <v>8053</v>
      </c>
    </row>
    <row r="95" spans="2:106" x14ac:dyDescent="0.35">
      <c r="B95" t="s">
        <v>4744</v>
      </c>
      <c r="F95" t="s">
        <v>4930</v>
      </c>
      <c r="G95" t="s">
        <v>1221</v>
      </c>
      <c r="L95" t="s">
        <v>2900</v>
      </c>
      <c r="O95" t="s">
        <v>7171</v>
      </c>
      <c r="P95" t="s">
        <v>3142</v>
      </c>
      <c r="U95" t="s">
        <v>1415</v>
      </c>
      <c r="X95" t="s">
        <v>391</v>
      </c>
      <c r="Y95" t="s">
        <v>3346</v>
      </c>
      <c r="Z95" t="s">
        <v>900</v>
      </c>
      <c r="AA95" t="s">
        <v>3492</v>
      </c>
      <c r="AC95" t="s">
        <v>5119</v>
      </c>
      <c r="AP95" t="s">
        <v>494</v>
      </c>
      <c r="AS95" t="s">
        <v>6044</v>
      </c>
      <c r="BB95" t="s">
        <v>6670</v>
      </c>
      <c r="BC95" t="s">
        <v>3809</v>
      </c>
      <c r="BJ95" t="s">
        <v>7672</v>
      </c>
      <c r="BM95" t="s">
        <v>3997</v>
      </c>
      <c r="BU95" t="s">
        <v>722</v>
      </c>
      <c r="BY95" t="s">
        <v>1076</v>
      </c>
      <c r="CC95" t="s">
        <v>2493</v>
      </c>
      <c r="CE95" t="s">
        <v>1610</v>
      </c>
      <c r="CK95" t="s">
        <v>6434</v>
      </c>
      <c r="CO95" t="s">
        <v>5452</v>
      </c>
      <c r="CQ95" t="s">
        <v>7286</v>
      </c>
      <c r="CR95" t="s">
        <v>7820</v>
      </c>
      <c r="CT95" t="s">
        <v>2166</v>
      </c>
      <c r="CV95" t="s">
        <v>4257</v>
      </c>
      <c r="CZ95" t="s">
        <v>7956</v>
      </c>
      <c r="DB95" t="s">
        <v>8054</v>
      </c>
    </row>
    <row r="96" spans="2:106" x14ac:dyDescent="0.35">
      <c r="B96" t="s">
        <v>4745</v>
      </c>
      <c r="F96" t="s">
        <v>4931</v>
      </c>
      <c r="G96" t="s">
        <v>1222</v>
      </c>
      <c r="L96" t="s">
        <v>2901</v>
      </c>
      <c r="O96" t="s">
        <v>7172</v>
      </c>
      <c r="P96" t="s">
        <v>3143</v>
      </c>
      <c r="U96" t="s">
        <v>1416</v>
      </c>
      <c r="X96" t="s">
        <v>392</v>
      </c>
      <c r="Y96" t="s">
        <v>3347</v>
      </c>
      <c r="Z96" t="s">
        <v>901</v>
      </c>
      <c r="AA96" t="s">
        <v>3493</v>
      </c>
      <c r="AC96" t="s">
        <v>5120</v>
      </c>
      <c r="AP96" t="s">
        <v>495</v>
      </c>
      <c r="AS96" t="s">
        <v>6045</v>
      </c>
      <c r="BB96" t="s">
        <v>6671</v>
      </c>
      <c r="BC96" t="s">
        <v>3810</v>
      </c>
      <c r="BJ96" t="s">
        <v>7673</v>
      </c>
      <c r="BM96" t="s">
        <v>3998</v>
      </c>
      <c r="BU96" t="s">
        <v>723</v>
      </c>
      <c r="BY96" t="s">
        <v>1077</v>
      </c>
      <c r="CC96" t="s">
        <v>2494</v>
      </c>
      <c r="CE96" t="s">
        <v>1611</v>
      </c>
      <c r="CK96" t="s">
        <v>6435</v>
      </c>
      <c r="CO96" t="s">
        <v>5453</v>
      </c>
      <c r="CQ96" t="s">
        <v>7287</v>
      </c>
      <c r="CT96" t="s">
        <v>2167</v>
      </c>
      <c r="CV96" t="s">
        <v>4258</v>
      </c>
      <c r="CZ96" t="s">
        <v>7957</v>
      </c>
      <c r="DB96" t="s">
        <v>8055</v>
      </c>
    </row>
    <row r="97" spans="2:106" x14ac:dyDescent="0.35">
      <c r="B97" t="s">
        <v>4746</v>
      </c>
      <c r="F97" t="s">
        <v>4932</v>
      </c>
      <c r="G97" t="s">
        <v>1223</v>
      </c>
      <c r="L97" t="s">
        <v>2902</v>
      </c>
      <c r="O97" t="s">
        <v>7173</v>
      </c>
      <c r="P97" t="s">
        <v>3144</v>
      </c>
      <c r="U97" t="s">
        <v>1417</v>
      </c>
      <c r="X97" t="s">
        <v>393</v>
      </c>
      <c r="Y97" t="s">
        <v>3348</v>
      </c>
      <c r="Z97" t="s">
        <v>902</v>
      </c>
      <c r="AA97" t="s">
        <v>3494</v>
      </c>
      <c r="AC97" t="s">
        <v>5121</v>
      </c>
      <c r="AP97" t="s">
        <v>496</v>
      </c>
      <c r="AS97" t="s">
        <v>6046</v>
      </c>
      <c r="BB97" t="s">
        <v>6672</v>
      </c>
      <c r="BC97" t="s">
        <v>3811</v>
      </c>
      <c r="BJ97" t="s">
        <v>7674</v>
      </c>
      <c r="BM97" t="s">
        <v>3999</v>
      </c>
      <c r="BU97" t="s">
        <v>724</v>
      </c>
      <c r="BY97" t="s">
        <v>1078</v>
      </c>
      <c r="CC97" t="s">
        <v>2495</v>
      </c>
      <c r="CE97" t="s">
        <v>1612</v>
      </c>
      <c r="CK97" t="s">
        <v>6436</v>
      </c>
      <c r="CO97" t="s">
        <v>5454</v>
      </c>
      <c r="CQ97" t="s">
        <v>7288</v>
      </c>
      <c r="CT97" t="s">
        <v>2168</v>
      </c>
      <c r="CV97" t="s">
        <v>4259</v>
      </c>
      <c r="CZ97" t="s">
        <v>7958</v>
      </c>
      <c r="DB97" t="s">
        <v>8056</v>
      </c>
    </row>
    <row r="98" spans="2:106" x14ac:dyDescent="0.35">
      <c r="B98" t="s">
        <v>4747</v>
      </c>
      <c r="F98" t="s">
        <v>4933</v>
      </c>
      <c r="G98" t="s">
        <v>1224</v>
      </c>
      <c r="L98" t="s">
        <v>2903</v>
      </c>
      <c r="O98" t="s">
        <v>7174</v>
      </c>
      <c r="P98" t="s">
        <v>3145</v>
      </c>
      <c r="U98" t="s">
        <v>1418</v>
      </c>
      <c r="X98" t="s">
        <v>394</v>
      </c>
      <c r="Y98" t="s">
        <v>3349</v>
      </c>
      <c r="Z98" t="s">
        <v>903</v>
      </c>
      <c r="AA98" t="s">
        <v>3495</v>
      </c>
      <c r="AC98" t="s">
        <v>5122</v>
      </c>
      <c r="AP98" t="s">
        <v>497</v>
      </c>
      <c r="BB98" t="s">
        <v>6673</v>
      </c>
      <c r="BC98" t="s">
        <v>3812</v>
      </c>
      <c r="BJ98" t="s">
        <v>7675</v>
      </c>
      <c r="BM98" t="s">
        <v>4000</v>
      </c>
      <c r="BU98" t="s">
        <v>725</v>
      </c>
      <c r="BY98" t="s">
        <v>1079</v>
      </c>
      <c r="CC98" t="s">
        <v>266</v>
      </c>
      <c r="CE98" t="s">
        <v>1613</v>
      </c>
      <c r="CK98" t="s">
        <v>6437</v>
      </c>
      <c r="CO98" t="s">
        <v>5455</v>
      </c>
      <c r="CQ98" t="s">
        <v>7289</v>
      </c>
      <c r="CT98" t="s">
        <v>2169</v>
      </c>
      <c r="CV98" t="s">
        <v>4260</v>
      </c>
      <c r="CZ98" t="s">
        <v>7959</v>
      </c>
      <c r="DB98" t="s">
        <v>8057</v>
      </c>
    </row>
    <row r="99" spans="2:106" x14ac:dyDescent="0.35">
      <c r="B99" t="s">
        <v>4748</v>
      </c>
      <c r="F99" t="s">
        <v>4934</v>
      </c>
      <c r="G99" t="s">
        <v>1225</v>
      </c>
      <c r="L99" t="s">
        <v>2904</v>
      </c>
      <c r="O99" t="s">
        <v>7175</v>
      </c>
      <c r="P99" t="s">
        <v>3146</v>
      </c>
      <c r="U99" t="s">
        <v>1419</v>
      </c>
      <c r="X99" t="s">
        <v>395</v>
      </c>
      <c r="Y99" t="s">
        <v>3350</v>
      </c>
      <c r="Z99" t="s">
        <v>904</v>
      </c>
      <c r="AA99" t="s">
        <v>3496</v>
      </c>
      <c r="AC99" t="s">
        <v>5123</v>
      </c>
      <c r="AP99" t="s">
        <v>498</v>
      </c>
      <c r="BB99" t="s">
        <v>6674</v>
      </c>
      <c r="BC99" t="s">
        <v>3813</v>
      </c>
      <c r="BJ99" t="s">
        <v>7676</v>
      </c>
      <c r="BM99" t="s">
        <v>4001</v>
      </c>
      <c r="BU99" t="s">
        <v>726</v>
      </c>
      <c r="CC99" t="s">
        <v>2496</v>
      </c>
      <c r="CE99" t="s">
        <v>1614</v>
      </c>
      <c r="CK99" t="s">
        <v>6438</v>
      </c>
      <c r="CO99" t="s">
        <v>5456</v>
      </c>
      <c r="CQ99" t="s">
        <v>7290</v>
      </c>
      <c r="CT99" t="s">
        <v>2170</v>
      </c>
      <c r="CV99" t="s">
        <v>4261</v>
      </c>
      <c r="CZ99" t="s">
        <v>7960</v>
      </c>
      <c r="DB99" t="s">
        <v>8058</v>
      </c>
    </row>
    <row r="100" spans="2:106" x14ac:dyDescent="0.35">
      <c r="B100" t="s">
        <v>4749</v>
      </c>
      <c r="F100" t="s">
        <v>4935</v>
      </c>
      <c r="G100" t="s">
        <v>1226</v>
      </c>
      <c r="L100" t="s">
        <v>2905</v>
      </c>
      <c r="O100" t="s">
        <v>7176</v>
      </c>
      <c r="P100" t="s">
        <v>3147</v>
      </c>
      <c r="U100" t="s">
        <v>1420</v>
      </c>
      <c r="X100" t="s">
        <v>396</v>
      </c>
      <c r="Y100" t="s">
        <v>3351</v>
      </c>
      <c r="Z100" t="s">
        <v>905</v>
      </c>
      <c r="AA100" t="s">
        <v>3497</v>
      </c>
      <c r="AC100" t="s">
        <v>5124</v>
      </c>
      <c r="AP100" t="s">
        <v>499</v>
      </c>
      <c r="BB100" t="s">
        <v>6675</v>
      </c>
      <c r="BC100" t="s">
        <v>3814</v>
      </c>
      <c r="BJ100" t="s">
        <v>7677</v>
      </c>
      <c r="BM100" t="s">
        <v>4002</v>
      </c>
      <c r="BU100" t="s">
        <v>727</v>
      </c>
      <c r="CC100" t="s">
        <v>2497</v>
      </c>
      <c r="CE100" t="s">
        <v>1615</v>
      </c>
      <c r="CK100" t="s">
        <v>6439</v>
      </c>
      <c r="CO100" t="s">
        <v>5457</v>
      </c>
      <c r="CQ100" t="s">
        <v>7291</v>
      </c>
      <c r="CT100" t="s">
        <v>2171</v>
      </c>
      <c r="CV100" t="s">
        <v>4262</v>
      </c>
      <c r="DB100" t="s">
        <v>8059</v>
      </c>
    </row>
    <row r="101" spans="2:106" x14ac:dyDescent="0.35">
      <c r="B101" t="s">
        <v>4750</v>
      </c>
      <c r="F101" t="s">
        <v>4936</v>
      </c>
      <c r="G101" t="s">
        <v>1227</v>
      </c>
      <c r="L101" t="s">
        <v>2906</v>
      </c>
      <c r="O101" t="s">
        <v>7177</v>
      </c>
      <c r="P101" t="s">
        <v>3148</v>
      </c>
      <c r="U101" t="s">
        <v>1421</v>
      </c>
      <c r="X101" t="s">
        <v>397</v>
      </c>
      <c r="Y101" t="s">
        <v>3352</v>
      </c>
      <c r="Z101" t="s">
        <v>906</v>
      </c>
      <c r="AA101" t="s">
        <v>3498</v>
      </c>
      <c r="AC101" t="s">
        <v>5125</v>
      </c>
      <c r="AP101" t="s">
        <v>500</v>
      </c>
      <c r="BB101" t="s">
        <v>6676</v>
      </c>
      <c r="BC101" t="s">
        <v>3815</v>
      </c>
      <c r="BJ101" t="s">
        <v>7678</v>
      </c>
      <c r="BM101" t="s">
        <v>4003</v>
      </c>
      <c r="BU101" t="s">
        <v>728</v>
      </c>
      <c r="CC101" t="s">
        <v>2498</v>
      </c>
      <c r="CE101" t="s">
        <v>1616</v>
      </c>
      <c r="CK101" t="s">
        <v>6440</v>
      </c>
      <c r="CO101" t="s">
        <v>5458</v>
      </c>
      <c r="CQ101" t="s">
        <v>7292</v>
      </c>
      <c r="CT101" t="s">
        <v>2172</v>
      </c>
      <c r="CV101" t="s">
        <v>4263</v>
      </c>
      <c r="DB101" t="s">
        <v>8060</v>
      </c>
    </row>
    <row r="102" spans="2:106" x14ac:dyDescent="0.35">
      <c r="B102" t="s">
        <v>4751</v>
      </c>
      <c r="F102" t="s">
        <v>4937</v>
      </c>
      <c r="G102" t="s">
        <v>1228</v>
      </c>
      <c r="L102" t="s">
        <v>2907</v>
      </c>
      <c r="O102" t="s">
        <v>7178</v>
      </c>
      <c r="P102" t="s">
        <v>3149</v>
      </c>
      <c r="U102" t="s">
        <v>1422</v>
      </c>
      <c r="X102" t="s">
        <v>398</v>
      </c>
      <c r="Y102" t="s">
        <v>3353</v>
      </c>
      <c r="Z102" t="s">
        <v>907</v>
      </c>
      <c r="AA102" t="s">
        <v>3499</v>
      </c>
      <c r="AC102" t="s">
        <v>5126</v>
      </c>
      <c r="AP102" t="s">
        <v>501</v>
      </c>
      <c r="BB102" t="s">
        <v>6677</v>
      </c>
      <c r="BC102" t="s">
        <v>3816</v>
      </c>
      <c r="BJ102" t="s">
        <v>7679</v>
      </c>
      <c r="BM102" t="s">
        <v>4004</v>
      </c>
      <c r="CC102" t="s">
        <v>2499</v>
      </c>
      <c r="CE102" t="s">
        <v>1617</v>
      </c>
      <c r="CK102" t="s">
        <v>6441</v>
      </c>
      <c r="CO102" t="s">
        <v>5459</v>
      </c>
      <c r="CQ102" t="s">
        <v>7293</v>
      </c>
      <c r="CT102" t="s">
        <v>2173</v>
      </c>
      <c r="CV102" t="s">
        <v>4264</v>
      </c>
      <c r="DB102" t="s">
        <v>8061</v>
      </c>
    </row>
    <row r="103" spans="2:106" x14ac:dyDescent="0.35">
      <c r="B103" t="s">
        <v>4752</v>
      </c>
      <c r="F103" t="s">
        <v>4938</v>
      </c>
      <c r="G103" t="s">
        <v>1229</v>
      </c>
      <c r="L103" t="s">
        <v>2908</v>
      </c>
      <c r="O103" t="s">
        <v>7179</v>
      </c>
      <c r="P103" t="s">
        <v>3150</v>
      </c>
      <c r="U103" t="s">
        <v>1423</v>
      </c>
      <c r="X103" t="s">
        <v>399</v>
      </c>
      <c r="Y103" t="s">
        <v>3354</v>
      </c>
      <c r="Z103" t="s">
        <v>908</v>
      </c>
      <c r="AA103" t="s">
        <v>3500</v>
      </c>
      <c r="AC103" t="s">
        <v>5127</v>
      </c>
      <c r="AP103" t="s">
        <v>502</v>
      </c>
      <c r="BB103" t="s">
        <v>6678</v>
      </c>
      <c r="BC103" t="s">
        <v>3817</v>
      </c>
      <c r="BM103" t="s">
        <v>4005</v>
      </c>
      <c r="CC103" t="s">
        <v>2500</v>
      </c>
      <c r="CE103" t="s">
        <v>1618</v>
      </c>
      <c r="CK103" t="s">
        <v>6442</v>
      </c>
      <c r="CO103" t="s">
        <v>5460</v>
      </c>
      <c r="CQ103" t="s">
        <v>7294</v>
      </c>
      <c r="CT103" t="s">
        <v>2174</v>
      </c>
      <c r="CV103" t="s">
        <v>4265</v>
      </c>
      <c r="DB103" t="s">
        <v>8062</v>
      </c>
    </row>
    <row r="104" spans="2:106" x14ac:dyDescent="0.35">
      <c r="B104" t="s">
        <v>4753</v>
      </c>
      <c r="F104" t="s">
        <v>4939</v>
      </c>
      <c r="G104" t="s">
        <v>1230</v>
      </c>
      <c r="L104" t="s">
        <v>2909</v>
      </c>
      <c r="O104" t="s">
        <v>7180</v>
      </c>
      <c r="P104" t="s">
        <v>3151</v>
      </c>
      <c r="U104" t="s">
        <v>1424</v>
      </c>
      <c r="X104" t="s">
        <v>400</v>
      </c>
      <c r="Y104" t="s">
        <v>3355</v>
      </c>
      <c r="Z104" t="s">
        <v>909</v>
      </c>
      <c r="AA104" t="s">
        <v>3501</v>
      </c>
      <c r="AC104" t="s">
        <v>5128</v>
      </c>
      <c r="AP104" t="s">
        <v>503</v>
      </c>
      <c r="BB104" t="s">
        <v>6679</v>
      </c>
      <c r="BC104" t="s">
        <v>3818</v>
      </c>
      <c r="BM104" t="s">
        <v>4006</v>
      </c>
      <c r="CC104" t="s">
        <v>2501</v>
      </c>
      <c r="CE104" t="s">
        <v>1619</v>
      </c>
      <c r="CK104" t="s">
        <v>6443</v>
      </c>
      <c r="CO104" t="s">
        <v>5461</v>
      </c>
      <c r="CQ104" t="s">
        <v>7295</v>
      </c>
      <c r="CT104" t="s">
        <v>2175</v>
      </c>
      <c r="CV104" t="s">
        <v>4266</v>
      </c>
      <c r="DB104" t="s">
        <v>8063</v>
      </c>
    </row>
    <row r="105" spans="2:106" x14ac:dyDescent="0.35">
      <c r="B105" t="s">
        <v>4754</v>
      </c>
      <c r="F105" t="s">
        <v>4940</v>
      </c>
      <c r="G105" t="s">
        <v>1231</v>
      </c>
      <c r="L105" t="s">
        <v>2910</v>
      </c>
      <c r="O105" t="s">
        <v>7181</v>
      </c>
      <c r="P105" t="s">
        <v>3152</v>
      </c>
      <c r="U105" t="s">
        <v>1425</v>
      </c>
      <c r="X105" t="s">
        <v>401</v>
      </c>
      <c r="Y105" t="s">
        <v>3356</v>
      </c>
      <c r="Z105" t="s">
        <v>910</v>
      </c>
      <c r="AA105" t="s">
        <v>3502</v>
      </c>
      <c r="AC105" t="s">
        <v>5129</v>
      </c>
      <c r="AP105" t="s">
        <v>504</v>
      </c>
      <c r="BB105" t="s">
        <v>6680</v>
      </c>
      <c r="BC105" t="s">
        <v>3819</v>
      </c>
      <c r="BM105" t="s">
        <v>4007</v>
      </c>
      <c r="CC105" t="s">
        <v>2502</v>
      </c>
      <c r="CE105" t="s">
        <v>1620</v>
      </c>
      <c r="CK105" t="s">
        <v>6444</v>
      </c>
      <c r="CO105" t="s">
        <v>5462</v>
      </c>
      <c r="CQ105" t="s">
        <v>7296</v>
      </c>
      <c r="CT105" t="s">
        <v>2176</v>
      </c>
      <c r="CV105" t="s">
        <v>4267</v>
      </c>
      <c r="DB105" t="s">
        <v>8064</v>
      </c>
    </row>
    <row r="106" spans="2:106" x14ac:dyDescent="0.35">
      <c r="B106" t="s">
        <v>4755</v>
      </c>
      <c r="F106" t="s">
        <v>4941</v>
      </c>
      <c r="G106" t="s">
        <v>1232</v>
      </c>
      <c r="L106" t="s">
        <v>2911</v>
      </c>
      <c r="O106" t="s">
        <v>7182</v>
      </c>
      <c r="P106" t="s">
        <v>3153</v>
      </c>
      <c r="Y106" t="s">
        <v>3357</v>
      </c>
      <c r="Z106" t="s">
        <v>911</v>
      </c>
      <c r="AA106" t="s">
        <v>3503</v>
      </c>
      <c r="AC106" t="s">
        <v>5130</v>
      </c>
      <c r="AP106" t="s">
        <v>505</v>
      </c>
      <c r="BB106" t="s">
        <v>6681</v>
      </c>
      <c r="BC106" t="s">
        <v>3820</v>
      </c>
      <c r="BM106" t="s">
        <v>4008</v>
      </c>
      <c r="CC106" t="s">
        <v>2503</v>
      </c>
      <c r="CE106" t="s">
        <v>1621</v>
      </c>
      <c r="CK106" t="s">
        <v>6445</v>
      </c>
      <c r="CO106" t="s">
        <v>5463</v>
      </c>
      <c r="CQ106" t="s">
        <v>7297</v>
      </c>
      <c r="CT106" t="s">
        <v>2177</v>
      </c>
      <c r="CV106" t="s">
        <v>4268</v>
      </c>
      <c r="DB106" t="s">
        <v>8065</v>
      </c>
    </row>
    <row r="107" spans="2:106" x14ac:dyDescent="0.35">
      <c r="B107" t="s">
        <v>4756</v>
      </c>
      <c r="F107" t="s">
        <v>4942</v>
      </c>
      <c r="G107" t="s">
        <v>1233</v>
      </c>
      <c r="L107" t="s">
        <v>2912</v>
      </c>
      <c r="O107" t="s">
        <v>7183</v>
      </c>
      <c r="P107" t="s">
        <v>3154</v>
      </c>
      <c r="Y107" t="s">
        <v>3358</v>
      </c>
      <c r="Z107" t="s">
        <v>912</v>
      </c>
      <c r="AA107" t="s">
        <v>3504</v>
      </c>
      <c r="AC107" t="s">
        <v>5131</v>
      </c>
      <c r="AP107" t="s">
        <v>506</v>
      </c>
      <c r="BB107" t="s">
        <v>6682</v>
      </c>
      <c r="BC107" t="s">
        <v>3821</v>
      </c>
      <c r="BM107" t="s">
        <v>4009</v>
      </c>
      <c r="CC107" t="s">
        <v>2504</v>
      </c>
      <c r="CE107" t="s">
        <v>1622</v>
      </c>
      <c r="CK107" t="s">
        <v>6446</v>
      </c>
      <c r="CO107" t="s">
        <v>5464</v>
      </c>
      <c r="CQ107" t="s">
        <v>7298</v>
      </c>
      <c r="CT107" t="s">
        <v>2178</v>
      </c>
      <c r="CV107" t="s">
        <v>4269</v>
      </c>
      <c r="DB107" t="s">
        <v>8066</v>
      </c>
    </row>
    <row r="108" spans="2:106" x14ac:dyDescent="0.35">
      <c r="B108" t="s">
        <v>4757</v>
      </c>
      <c r="F108" t="s">
        <v>4943</v>
      </c>
      <c r="G108" t="s">
        <v>1234</v>
      </c>
      <c r="L108" t="s">
        <v>2913</v>
      </c>
      <c r="O108" t="s">
        <v>7184</v>
      </c>
      <c r="P108" t="s">
        <v>3155</v>
      </c>
      <c r="Y108" t="s">
        <v>3359</v>
      </c>
      <c r="Z108" t="s">
        <v>913</v>
      </c>
      <c r="AA108" t="s">
        <v>3505</v>
      </c>
      <c r="AC108" t="s">
        <v>5132</v>
      </c>
      <c r="AP108" t="s">
        <v>507</v>
      </c>
      <c r="BB108" t="s">
        <v>6683</v>
      </c>
      <c r="BC108" t="s">
        <v>3822</v>
      </c>
      <c r="BM108" t="s">
        <v>293</v>
      </c>
      <c r="CC108" t="s">
        <v>2505</v>
      </c>
      <c r="CE108" t="s">
        <v>1623</v>
      </c>
      <c r="CK108" t="s">
        <v>6447</v>
      </c>
      <c r="CO108" t="s">
        <v>5465</v>
      </c>
      <c r="CQ108" t="s">
        <v>7299</v>
      </c>
      <c r="CT108" t="s">
        <v>2179</v>
      </c>
      <c r="CV108" t="s">
        <v>4270</v>
      </c>
      <c r="DB108" t="s">
        <v>286</v>
      </c>
    </row>
    <row r="109" spans="2:106" x14ac:dyDescent="0.35">
      <c r="B109" t="s">
        <v>4758</v>
      </c>
      <c r="F109" t="s">
        <v>4944</v>
      </c>
      <c r="G109" t="s">
        <v>1235</v>
      </c>
      <c r="L109" t="s">
        <v>2914</v>
      </c>
      <c r="O109" t="s">
        <v>7185</v>
      </c>
      <c r="P109" t="s">
        <v>3156</v>
      </c>
      <c r="Y109" t="s">
        <v>3360</v>
      </c>
      <c r="Z109" t="s">
        <v>914</v>
      </c>
      <c r="AA109" t="s">
        <v>3506</v>
      </c>
      <c r="AC109" t="s">
        <v>5133</v>
      </c>
      <c r="AP109" t="s">
        <v>508</v>
      </c>
      <c r="BB109" t="s">
        <v>6684</v>
      </c>
      <c r="BC109" t="s">
        <v>3823</v>
      </c>
      <c r="BM109" t="s">
        <v>4010</v>
      </c>
      <c r="CC109" t="s">
        <v>2506</v>
      </c>
      <c r="CE109" t="s">
        <v>1624</v>
      </c>
      <c r="CO109" t="s">
        <v>5466</v>
      </c>
      <c r="CQ109" t="s">
        <v>7300</v>
      </c>
      <c r="CT109" t="s">
        <v>2180</v>
      </c>
      <c r="CV109" t="s">
        <v>4271</v>
      </c>
      <c r="DB109" t="s">
        <v>8067</v>
      </c>
    </row>
    <row r="110" spans="2:106" x14ac:dyDescent="0.35">
      <c r="B110" t="s">
        <v>4759</v>
      </c>
      <c r="F110" t="s">
        <v>4945</v>
      </c>
      <c r="G110" t="s">
        <v>1236</v>
      </c>
      <c r="L110" t="s">
        <v>2915</v>
      </c>
      <c r="O110" t="s">
        <v>7186</v>
      </c>
      <c r="P110" t="s">
        <v>3157</v>
      </c>
      <c r="Y110" t="s">
        <v>3361</v>
      </c>
      <c r="Z110" t="s">
        <v>915</v>
      </c>
      <c r="AA110" t="s">
        <v>3507</v>
      </c>
      <c r="AC110" t="s">
        <v>5134</v>
      </c>
      <c r="BC110" t="s">
        <v>3824</v>
      </c>
      <c r="BM110" t="s">
        <v>4011</v>
      </c>
      <c r="CC110" t="s">
        <v>2507</v>
      </c>
      <c r="CE110" t="s">
        <v>1625</v>
      </c>
      <c r="CO110" t="s">
        <v>5467</v>
      </c>
      <c r="CQ110" t="s">
        <v>7301</v>
      </c>
      <c r="CT110" t="s">
        <v>2181</v>
      </c>
      <c r="CV110" t="s">
        <v>4272</v>
      </c>
      <c r="DB110" t="s">
        <v>8068</v>
      </c>
    </row>
    <row r="111" spans="2:106" x14ac:dyDescent="0.35">
      <c r="B111" t="s">
        <v>4760</v>
      </c>
      <c r="F111" t="s">
        <v>4946</v>
      </c>
      <c r="G111" t="s">
        <v>1237</v>
      </c>
      <c r="L111" t="s">
        <v>2916</v>
      </c>
      <c r="O111" t="s">
        <v>7187</v>
      </c>
      <c r="P111" t="s">
        <v>3158</v>
      </c>
      <c r="Y111" t="s">
        <v>3362</v>
      </c>
      <c r="Z111" t="s">
        <v>916</v>
      </c>
      <c r="AA111" t="s">
        <v>3508</v>
      </c>
      <c r="AC111" t="s">
        <v>5135</v>
      </c>
      <c r="BC111" t="s">
        <v>3825</v>
      </c>
      <c r="BM111" t="s">
        <v>4012</v>
      </c>
      <c r="CC111" t="s">
        <v>2508</v>
      </c>
      <c r="CE111" t="s">
        <v>1626</v>
      </c>
      <c r="CO111" t="s">
        <v>5468</v>
      </c>
      <c r="CQ111" t="s">
        <v>7302</v>
      </c>
      <c r="CT111" t="s">
        <v>2182</v>
      </c>
      <c r="CV111" t="s">
        <v>4273</v>
      </c>
      <c r="DB111" t="s">
        <v>8069</v>
      </c>
    </row>
    <row r="112" spans="2:106" x14ac:dyDescent="0.35">
      <c r="B112" t="s">
        <v>4761</v>
      </c>
      <c r="F112" t="s">
        <v>4947</v>
      </c>
      <c r="G112" t="s">
        <v>1238</v>
      </c>
      <c r="L112" t="s">
        <v>2917</v>
      </c>
      <c r="O112" t="s">
        <v>7188</v>
      </c>
      <c r="P112" t="s">
        <v>3159</v>
      </c>
      <c r="Y112" t="s">
        <v>3363</v>
      </c>
      <c r="Z112" t="s">
        <v>917</v>
      </c>
      <c r="AA112" t="s">
        <v>3509</v>
      </c>
      <c r="AC112" t="s">
        <v>5136</v>
      </c>
      <c r="BC112" t="s">
        <v>3826</v>
      </c>
      <c r="BM112" t="s">
        <v>4013</v>
      </c>
      <c r="CC112" t="s">
        <v>2509</v>
      </c>
      <c r="CE112" t="s">
        <v>1627</v>
      </c>
      <c r="CO112" t="s">
        <v>5469</v>
      </c>
      <c r="CQ112" t="s">
        <v>7303</v>
      </c>
      <c r="CT112" t="s">
        <v>2183</v>
      </c>
      <c r="CV112" t="s">
        <v>4274</v>
      </c>
      <c r="DB112" t="s">
        <v>8070</v>
      </c>
    </row>
    <row r="113" spans="2:106" x14ac:dyDescent="0.35">
      <c r="B113" t="s">
        <v>4762</v>
      </c>
      <c r="F113" t="s">
        <v>4948</v>
      </c>
      <c r="G113" t="s">
        <v>1239</v>
      </c>
      <c r="L113" t="s">
        <v>2918</v>
      </c>
      <c r="O113" t="s">
        <v>7189</v>
      </c>
      <c r="P113" t="s">
        <v>3160</v>
      </c>
      <c r="Y113" t="s">
        <v>3364</v>
      </c>
      <c r="Z113" t="s">
        <v>918</v>
      </c>
      <c r="AA113" t="s">
        <v>3510</v>
      </c>
      <c r="AC113" t="s">
        <v>5137</v>
      </c>
      <c r="BC113" t="s">
        <v>3827</v>
      </c>
      <c r="BM113" t="s">
        <v>4014</v>
      </c>
      <c r="CC113" t="s">
        <v>2510</v>
      </c>
      <c r="CE113" t="s">
        <v>1628</v>
      </c>
      <c r="CO113" t="s">
        <v>5470</v>
      </c>
      <c r="CQ113" t="s">
        <v>7304</v>
      </c>
      <c r="CT113" t="s">
        <v>2184</v>
      </c>
      <c r="CV113" t="s">
        <v>4275</v>
      </c>
      <c r="DB113" t="s">
        <v>8071</v>
      </c>
    </row>
    <row r="114" spans="2:106" x14ac:dyDescent="0.35">
      <c r="B114" t="s">
        <v>4763</v>
      </c>
      <c r="F114" t="s">
        <v>4949</v>
      </c>
      <c r="G114" t="s">
        <v>1240</v>
      </c>
      <c r="L114" t="s">
        <v>2919</v>
      </c>
      <c r="O114" t="s">
        <v>7190</v>
      </c>
      <c r="P114" t="s">
        <v>3161</v>
      </c>
      <c r="Y114" t="s">
        <v>3365</v>
      </c>
      <c r="Z114" t="s">
        <v>919</v>
      </c>
      <c r="AA114" t="s">
        <v>3511</v>
      </c>
      <c r="AC114" t="s">
        <v>5138</v>
      </c>
      <c r="BC114" t="s">
        <v>3828</v>
      </c>
      <c r="BM114" t="s">
        <v>4015</v>
      </c>
      <c r="CC114" t="s">
        <v>2511</v>
      </c>
      <c r="CE114" t="s">
        <v>1629</v>
      </c>
      <c r="CO114" t="s">
        <v>5471</v>
      </c>
      <c r="CQ114" t="s">
        <v>7305</v>
      </c>
      <c r="CT114" t="s">
        <v>2185</v>
      </c>
      <c r="CV114" t="s">
        <v>4276</v>
      </c>
      <c r="DB114" t="s">
        <v>8072</v>
      </c>
    </row>
    <row r="115" spans="2:106" x14ac:dyDescent="0.35">
      <c r="B115" t="s">
        <v>4764</v>
      </c>
      <c r="F115" t="s">
        <v>4950</v>
      </c>
      <c r="G115" t="s">
        <v>1241</v>
      </c>
      <c r="L115" t="s">
        <v>2920</v>
      </c>
      <c r="O115" t="s">
        <v>7191</v>
      </c>
      <c r="P115" t="s">
        <v>3162</v>
      </c>
      <c r="Y115" t="s">
        <v>3366</v>
      </c>
      <c r="Z115" t="s">
        <v>920</v>
      </c>
      <c r="AC115" t="s">
        <v>5139</v>
      </c>
      <c r="BC115" t="s">
        <v>3829</v>
      </c>
      <c r="BM115" t="s">
        <v>4016</v>
      </c>
      <c r="CC115" t="s">
        <v>2512</v>
      </c>
      <c r="CE115" t="s">
        <v>1630</v>
      </c>
      <c r="CO115" t="s">
        <v>5472</v>
      </c>
      <c r="CQ115" t="s">
        <v>7306</v>
      </c>
      <c r="CT115" t="s">
        <v>2186</v>
      </c>
      <c r="CV115" t="s">
        <v>4277</v>
      </c>
    </row>
    <row r="116" spans="2:106" x14ac:dyDescent="0.35">
      <c r="B116" t="s">
        <v>4765</v>
      </c>
      <c r="F116" t="s">
        <v>4951</v>
      </c>
      <c r="G116" t="s">
        <v>1242</v>
      </c>
      <c r="L116" t="s">
        <v>2921</v>
      </c>
      <c r="O116" t="s">
        <v>7192</v>
      </c>
      <c r="P116" t="s">
        <v>3163</v>
      </c>
      <c r="Y116" t="s">
        <v>3367</v>
      </c>
      <c r="Z116" t="s">
        <v>921</v>
      </c>
      <c r="AC116" t="s">
        <v>5140</v>
      </c>
      <c r="BC116" t="s">
        <v>3830</v>
      </c>
      <c r="BM116" t="s">
        <v>4017</v>
      </c>
      <c r="CC116" t="s">
        <v>2513</v>
      </c>
      <c r="CE116" t="s">
        <v>1631</v>
      </c>
      <c r="CO116" t="s">
        <v>5473</v>
      </c>
      <c r="CQ116" t="s">
        <v>7307</v>
      </c>
      <c r="CT116" t="s">
        <v>2187</v>
      </c>
      <c r="CV116" t="s">
        <v>4278</v>
      </c>
    </row>
    <row r="117" spans="2:106" x14ac:dyDescent="0.35">
      <c r="B117" t="s">
        <v>4766</v>
      </c>
      <c r="F117" t="s">
        <v>4952</v>
      </c>
      <c r="G117" t="s">
        <v>1243</v>
      </c>
      <c r="L117" t="s">
        <v>2922</v>
      </c>
      <c r="O117" t="s">
        <v>7193</v>
      </c>
      <c r="P117" t="s">
        <v>3164</v>
      </c>
      <c r="Y117" t="s">
        <v>3368</v>
      </c>
      <c r="Z117" t="s">
        <v>922</v>
      </c>
      <c r="AC117" t="s">
        <v>5141</v>
      </c>
      <c r="BC117" t="s">
        <v>3831</v>
      </c>
      <c r="BM117" t="s">
        <v>4018</v>
      </c>
      <c r="CC117" t="s">
        <v>2514</v>
      </c>
      <c r="CE117" t="s">
        <v>1632</v>
      </c>
      <c r="CO117" t="s">
        <v>5474</v>
      </c>
      <c r="CQ117" t="s">
        <v>7308</v>
      </c>
      <c r="CT117" t="s">
        <v>2188</v>
      </c>
      <c r="CV117" t="s">
        <v>4279</v>
      </c>
    </row>
    <row r="118" spans="2:106" x14ac:dyDescent="0.35">
      <c r="B118" t="s">
        <v>4767</v>
      </c>
      <c r="F118" t="s">
        <v>4953</v>
      </c>
      <c r="G118" t="s">
        <v>1244</v>
      </c>
      <c r="L118" t="s">
        <v>2923</v>
      </c>
      <c r="P118" t="s">
        <v>3165</v>
      </c>
      <c r="Y118" t="s">
        <v>3369</v>
      </c>
      <c r="Z118" t="s">
        <v>923</v>
      </c>
      <c r="AC118" t="s">
        <v>5142</v>
      </c>
      <c r="BC118" t="s">
        <v>3832</v>
      </c>
      <c r="BM118" t="s">
        <v>4019</v>
      </c>
      <c r="CC118" t="s">
        <v>2515</v>
      </c>
      <c r="CE118" t="s">
        <v>71</v>
      </c>
      <c r="CO118" t="s">
        <v>5475</v>
      </c>
      <c r="CQ118" t="s">
        <v>7309</v>
      </c>
      <c r="CT118" t="s">
        <v>2189</v>
      </c>
      <c r="CV118" t="s">
        <v>4280</v>
      </c>
    </row>
    <row r="119" spans="2:106" x14ac:dyDescent="0.35">
      <c r="B119" t="s">
        <v>4768</v>
      </c>
      <c r="G119" t="s">
        <v>1245</v>
      </c>
      <c r="L119" t="s">
        <v>2924</v>
      </c>
      <c r="P119" t="s">
        <v>3166</v>
      </c>
      <c r="Y119" t="s">
        <v>3370</v>
      </c>
      <c r="Z119" t="s">
        <v>924</v>
      </c>
      <c r="AC119" t="s">
        <v>5143</v>
      </c>
      <c r="BC119" t="s">
        <v>3833</v>
      </c>
      <c r="BM119" t="s">
        <v>4020</v>
      </c>
      <c r="CC119" t="s">
        <v>2516</v>
      </c>
      <c r="CE119" t="s">
        <v>1633</v>
      </c>
      <c r="CO119" t="s">
        <v>5476</v>
      </c>
      <c r="CQ119" t="s">
        <v>7310</v>
      </c>
      <c r="CT119" t="s">
        <v>2190</v>
      </c>
      <c r="CV119" t="s">
        <v>4281</v>
      </c>
    </row>
    <row r="120" spans="2:106" x14ac:dyDescent="0.35">
      <c r="B120" t="s">
        <v>4769</v>
      </c>
      <c r="L120" t="s">
        <v>2925</v>
      </c>
      <c r="P120" t="s">
        <v>3167</v>
      </c>
      <c r="Y120" t="s">
        <v>3371</v>
      </c>
      <c r="Z120" t="s">
        <v>925</v>
      </c>
      <c r="AC120" t="s">
        <v>5144</v>
      </c>
      <c r="BC120" t="s">
        <v>3834</v>
      </c>
      <c r="BM120" t="s">
        <v>4021</v>
      </c>
      <c r="CC120" t="s">
        <v>2517</v>
      </c>
      <c r="CE120" t="s">
        <v>1634</v>
      </c>
      <c r="CO120" t="s">
        <v>5477</v>
      </c>
      <c r="CQ120" t="s">
        <v>7311</v>
      </c>
      <c r="CT120" t="s">
        <v>2191</v>
      </c>
      <c r="CV120" t="s">
        <v>4282</v>
      </c>
    </row>
    <row r="121" spans="2:106" x14ac:dyDescent="0.35">
      <c r="B121" t="s">
        <v>4770</v>
      </c>
      <c r="L121" t="s">
        <v>2926</v>
      </c>
      <c r="P121" t="s">
        <v>3168</v>
      </c>
      <c r="Y121" t="s">
        <v>3372</v>
      </c>
      <c r="Z121" t="s">
        <v>926</v>
      </c>
      <c r="AC121" t="s">
        <v>5145</v>
      </c>
      <c r="BC121" t="s">
        <v>3835</v>
      </c>
      <c r="BM121" t="s">
        <v>4022</v>
      </c>
      <c r="CC121" t="s">
        <v>2518</v>
      </c>
      <c r="CE121" t="s">
        <v>1635</v>
      </c>
      <c r="CO121" t="s">
        <v>5478</v>
      </c>
      <c r="CQ121" t="s">
        <v>7312</v>
      </c>
      <c r="CT121" t="s">
        <v>2192</v>
      </c>
      <c r="CV121" t="s">
        <v>4283</v>
      </c>
    </row>
    <row r="122" spans="2:106" x14ac:dyDescent="0.35">
      <c r="B122" t="s">
        <v>4771</v>
      </c>
      <c r="L122" t="s">
        <v>2927</v>
      </c>
      <c r="P122" t="s">
        <v>3169</v>
      </c>
      <c r="Y122" t="s">
        <v>3373</v>
      </c>
      <c r="Z122" t="s">
        <v>927</v>
      </c>
      <c r="AC122" t="s">
        <v>5146</v>
      </c>
      <c r="BC122" t="s">
        <v>3836</v>
      </c>
      <c r="BM122" t="s">
        <v>4023</v>
      </c>
      <c r="CC122" t="s">
        <v>2519</v>
      </c>
      <c r="CE122" t="s">
        <v>1636</v>
      </c>
      <c r="CO122" t="s">
        <v>5479</v>
      </c>
      <c r="CQ122" t="s">
        <v>7313</v>
      </c>
      <c r="CT122" t="s">
        <v>2193</v>
      </c>
      <c r="CV122" t="s">
        <v>4284</v>
      </c>
    </row>
    <row r="123" spans="2:106" x14ac:dyDescent="0.35">
      <c r="B123" t="s">
        <v>4772</v>
      </c>
      <c r="L123" t="s">
        <v>2928</v>
      </c>
      <c r="P123" t="s">
        <v>3170</v>
      </c>
      <c r="Y123" t="s">
        <v>3374</v>
      </c>
      <c r="Z123" t="s">
        <v>928</v>
      </c>
      <c r="AC123" t="s">
        <v>5147</v>
      </c>
      <c r="BC123" t="s">
        <v>3837</v>
      </c>
      <c r="BM123" t="s">
        <v>4024</v>
      </c>
      <c r="CE123" t="s">
        <v>1637</v>
      </c>
      <c r="CO123" t="s">
        <v>5480</v>
      </c>
      <c r="CQ123" t="s">
        <v>7314</v>
      </c>
      <c r="CT123" t="s">
        <v>2194</v>
      </c>
      <c r="CV123" t="s">
        <v>4285</v>
      </c>
    </row>
    <row r="124" spans="2:106" x14ac:dyDescent="0.35">
      <c r="B124" t="s">
        <v>4773</v>
      </c>
      <c r="L124" t="s">
        <v>2929</v>
      </c>
      <c r="P124" t="s">
        <v>3171</v>
      </c>
      <c r="Y124" t="s">
        <v>3375</v>
      </c>
      <c r="Z124" t="s">
        <v>929</v>
      </c>
      <c r="AC124" t="s">
        <v>5148</v>
      </c>
      <c r="BC124" t="s">
        <v>3838</v>
      </c>
      <c r="BM124" t="s">
        <v>4025</v>
      </c>
      <c r="CE124" t="s">
        <v>1638</v>
      </c>
      <c r="CO124" t="s">
        <v>5481</v>
      </c>
      <c r="CQ124" t="s">
        <v>5589</v>
      </c>
      <c r="CT124" t="s">
        <v>2195</v>
      </c>
      <c r="CV124" t="s">
        <v>4286</v>
      </c>
    </row>
    <row r="125" spans="2:106" x14ac:dyDescent="0.35">
      <c r="B125" t="s">
        <v>4774</v>
      </c>
      <c r="L125" t="s">
        <v>2930</v>
      </c>
      <c r="P125" t="s">
        <v>3172</v>
      </c>
      <c r="Y125" t="s">
        <v>3376</v>
      </c>
      <c r="Z125" t="s">
        <v>930</v>
      </c>
      <c r="AC125" t="s">
        <v>5149</v>
      </c>
      <c r="BC125" t="s">
        <v>3839</v>
      </c>
      <c r="BM125" t="s">
        <v>4026</v>
      </c>
      <c r="CE125" t="s">
        <v>1639</v>
      </c>
      <c r="CO125" t="s">
        <v>5482</v>
      </c>
      <c r="CQ125" t="s">
        <v>7315</v>
      </c>
      <c r="CT125" t="s">
        <v>2196</v>
      </c>
      <c r="CV125" t="s">
        <v>4287</v>
      </c>
    </row>
    <row r="126" spans="2:106" x14ac:dyDescent="0.35">
      <c r="B126" t="s">
        <v>4775</v>
      </c>
      <c r="L126" t="s">
        <v>2931</v>
      </c>
      <c r="P126" t="s">
        <v>3173</v>
      </c>
      <c r="Y126" t="s">
        <v>3377</v>
      </c>
      <c r="Z126" t="s">
        <v>931</v>
      </c>
      <c r="AC126" t="s">
        <v>5150</v>
      </c>
      <c r="BC126" t="s">
        <v>3840</v>
      </c>
      <c r="BM126" t="s">
        <v>4027</v>
      </c>
      <c r="CE126" t="s">
        <v>1640</v>
      </c>
      <c r="CO126" t="s">
        <v>5483</v>
      </c>
      <c r="CQ126" t="s">
        <v>7316</v>
      </c>
      <c r="CT126" t="s">
        <v>2197</v>
      </c>
      <c r="CV126" t="s">
        <v>4288</v>
      </c>
    </row>
    <row r="127" spans="2:106" x14ac:dyDescent="0.35">
      <c r="B127" t="s">
        <v>4776</v>
      </c>
      <c r="L127" t="s">
        <v>2932</v>
      </c>
      <c r="P127" t="s">
        <v>3174</v>
      </c>
      <c r="Y127" t="s">
        <v>3378</v>
      </c>
      <c r="Z127" t="s">
        <v>932</v>
      </c>
      <c r="AC127" t="s">
        <v>5151</v>
      </c>
      <c r="BC127" t="s">
        <v>3841</v>
      </c>
      <c r="BM127" t="s">
        <v>4028</v>
      </c>
      <c r="CE127" t="s">
        <v>1641</v>
      </c>
      <c r="CO127" t="s">
        <v>5484</v>
      </c>
      <c r="CQ127" t="s">
        <v>7317</v>
      </c>
      <c r="CT127" t="s">
        <v>2198</v>
      </c>
      <c r="CV127" t="s">
        <v>4289</v>
      </c>
    </row>
    <row r="128" spans="2:106" x14ac:dyDescent="0.35">
      <c r="B128" t="s">
        <v>4777</v>
      </c>
      <c r="L128" t="s">
        <v>2933</v>
      </c>
      <c r="P128" t="s">
        <v>3175</v>
      </c>
      <c r="Y128" t="s">
        <v>3379</v>
      </c>
      <c r="Z128" t="s">
        <v>933</v>
      </c>
      <c r="AC128" t="s">
        <v>5152</v>
      </c>
      <c r="BC128" t="s">
        <v>3842</v>
      </c>
      <c r="BM128" t="s">
        <v>4029</v>
      </c>
      <c r="CE128" t="s">
        <v>1642</v>
      </c>
      <c r="CO128" t="s">
        <v>5485</v>
      </c>
      <c r="CQ128" t="s">
        <v>7318</v>
      </c>
      <c r="CT128" t="s">
        <v>2199</v>
      </c>
      <c r="CV128" t="s">
        <v>4290</v>
      </c>
    </row>
    <row r="129" spans="2:100" x14ac:dyDescent="0.35">
      <c r="B129" t="s">
        <v>4778</v>
      </c>
      <c r="L129" t="s">
        <v>2934</v>
      </c>
      <c r="P129" t="s">
        <v>3176</v>
      </c>
      <c r="Y129" t="s">
        <v>3380</v>
      </c>
      <c r="Z129" t="s">
        <v>934</v>
      </c>
      <c r="AC129" t="s">
        <v>5153</v>
      </c>
      <c r="BC129" t="s">
        <v>3843</v>
      </c>
      <c r="BM129" t="s">
        <v>4030</v>
      </c>
      <c r="CE129" t="s">
        <v>1643</v>
      </c>
      <c r="CO129" t="s">
        <v>5486</v>
      </c>
      <c r="CQ129" t="s">
        <v>7319</v>
      </c>
      <c r="CT129" t="s">
        <v>78</v>
      </c>
      <c r="CV129" t="s">
        <v>4291</v>
      </c>
    </row>
    <row r="130" spans="2:100" x14ac:dyDescent="0.35">
      <c r="B130" t="s">
        <v>4779</v>
      </c>
      <c r="L130" t="s">
        <v>2935</v>
      </c>
      <c r="P130" t="s">
        <v>3177</v>
      </c>
      <c r="Y130" t="s">
        <v>3381</v>
      </c>
      <c r="Z130" t="s">
        <v>935</v>
      </c>
      <c r="AC130" t="s">
        <v>5154</v>
      </c>
      <c r="BC130" t="s">
        <v>3844</v>
      </c>
      <c r="BM130" t="s">
        <v>4031</v>
      </c>
      <c r="CE130" t="s">
        <v>1644</v>
      </c>
      <c r="CO130" t="s">
        <v>5487</v>
      </c>
      <c r="CQ130" t="s">
        <v>7320</v>
      </c>
      <c r="CT130" t="s">
        <v>2200</v>
      </c>
      <c r="CV130" t="s">
        <v>4292</v>
      </c>
    </row>
    <row r="131" spans="2:100" x14ac:dyDescent="0.35">
      <c r="B131" t="s">
        <v>4780</v>
      </c>
      <c r="L131" t="s">
        <v>2936</v>
      </c>
      <c r="P131" t="s">
        <v>3178</v>
      </c>
      <c r="Y131" t="s">
        <v>3382</v>
      </c>
      <c r="Z131" t="s">
        <v>936</v>
      </c>
      <c r="AC131" t="s">
        <v>5155</v>
      </c>
      <c r="BC131" t="s">
        <v>3845</v>
      </c>
      <c r="BM131" t="s">
        <v>4032</v>
      </c>
      <c r="CE131" t="s">
        <v>1645</v>
      </c>
      <c r="CO131" t="s">
        <v>5488</v>
      </c>
      <c r="CQ131" t="s">
        <v>7321</v>
      </c>
      <c r="CT131" t="s">
        <v>2201</v>
      </c>
      <c r="CV131" t="s">
        <v>295</v>
      </c>
    </row>
    <row r="132" spans="2:100" x14ac:dyDescent="0.35">
      <c r="B132" t="s">
        <v>4781</v>
      </c>
      <c r="L132" t="s">
        <v>2937</v>
      </c>
      <c r="P132" t="s">
        <v>3179</v>
      </c>
      <c r="Y132" t="s">
        <v>3383</v>
      </c>
      <c r="Z132" t="s">
        <v>937</v>
      </c>
      <c r="AC132" t="s">
        <v>5156</v>
      </c>
      <c r="BC132" t="s">
        <v>3846</v>
      </c>
      <c r="BM132" t="s">
        <v>4033</v>
      </c>
      <c r="CE132" t="s">
        <v>1646</v>
      </c>
      <c r="CO132" t="s">
        <v>5489</v>
      </c>
      <c r="CQ132" t="s">
        <v>7322</v>
      </c>
      <c r="CT132" t="s">
        <v>2202</v>
      </c>
      <c r="CV132" t="s">
        <v>4293</v>
      </c>
    </row>
    <row r="133" spans="2:100" x14ac:dyDescent="0.35">
      <c r="B133" t="s">
        <v>4782</v>
      </c>
      <c r="L133" t="s">
        <v>2938</v>
      </c>
      <c r="P133" t="s">
        <v>3180</v>
      </c>
      <c r="Y133" t="s">
        <v>3384</v>
      </c>
      <c r="Z133" t="s">
        <v>938</v>
      </c>
      <c r="AC133" t="s">
        <v>5157</v>
      </c>
      <c r="BC133" t="s">
        <v>3847</v>
      </c>
      <c r="BM133" t="s">
        <v>4034</v>
      </c>
      <c r="CE133" t="s">
        <v>1647</v>
      </c>
      <c r="CO133" t="s">
        <v>5490</v>
      </c>
      <c r="CQ133" t="s">
        <v>7323</v>
      </c>
      <c r="CT133" t="s">
        <v>2203</v>
      </c>
      <c r="CV133" t="s">
        <v>4294</v>
      </c>
    </row>
    <row r="134" spans="2:100" x14ac:dyDescent="0.35">
      <c r="B134" t="s">
        <v>4783</v>
      </c>
      <c r="L134" t="s">
        <v>2939</v>
      </c>
      <c r="P134" t="s">
        <v>3181</v>
      </c>
      <c r="Y134" t="s">
        <v>3385</v>
      </c>
      <c r="Z134" t="s">
        <v>939</v>
      </c>
      <c r="AC134" t="s">
        <v>5158</v>
      </c>
      <c r="BC134" t="s">
        <v>3848</v>
      </c>
      <c r="BM134" t="s">
        <v>4035</v>
      </c>
      <c r="CE134" t="s">
        <v>1648</v>
      </c>
      <c r="CO134" t="s">
        <v>5491</v>
      </c>
      <c r="CQ134" t="s">
        <v>7324</v>
      </c>
      <c r="CT134" t="s">
        <v>2204</v>
      </c>
      <c r="CV134" t="s">
        <v>4295</v>
      </c>
    </row>
    <row r="135" spans="2:100" x14ac:dyDescent="0.35">
      <c r="B135" t="s">
        <v>4784</v>
      </c>
      <c r="L135" t="s">
        <v>2940</v>
      </c>
      <c r="P135" t="s">
        <v>3182</v>
      </c>
      <c r="Y135" t="s">
        <v>3386</v>
      </c>
      <c r="Z135" t="s">
        <v>940</v>
      </c>
      <c r="AC135" t="s">
        <v>5159</v>
      </c>
      <c r="BM135" t="s">
        <v>4036</v>
      </c>
      <c r="CE135" t="s">
        <v>1649</v>
      </c>
      <c r="CO135" t="s">
        <v>5492</v>
      </c>
      <c r="CQ135" t="s">
        <v>7325</v>
      </c>
      <c r="CT135" t="s">
        <v>2205</v>
      </c>
      <c r="CV135" t="s">
        <v>4296</v>
      </c>
    </row>
    <row r="136" spans="2:100" x14ac:dyDescent="0.35">
      <c r="B136" t="s">
        <v>4785</v>
      </c>
      <c r="L136" t="s">
        <v>2941</v>
      </c>
      <c r="P136" t="s">
        <v>3183</v>
      </c>
      <c r="Y136" t="s">
        <v>3387</v>
      </c>
      <c r="Z136" t="s">
        <v>941</v>
      </c>
      <c r="AC136" t="s">
        <v>5160</v>
      </c>
      <c r="BM136" t="s">
        <v>4037</v>
      </c>
      <c r="CE136" t="s">
        <v>1650</v>
      </c>
      <c r="CO136" t="s">
        <v>5493</v>
      </c>
      <c r="CQ136" t="s">
        <v>7326</v>
      </c>
      <c r="CV136" t="s">
        <v>4297</v>
      </c>
    </row>
    <row r="137" spans="2:100" x14ac:dyDescent="0.35">
      <c r="B137" t="s">
        <v>4786</v>
      </c>
      <c r="L137" t="s">
        <v>2942</v>
      </c>
      <c r="P137" t="s">
        <v>3184</v>
      </c>
      <c r="Y137" t="s">
        <v>3388</v>
      </c>
      <c r="Z137" t="s">
        <v>942</v>
      </c>
      <c r="AC137" t="s">
        <v>5161</v>
      </c>
      <c r="BM137" t="s">
        <v>4038</v>
      </c>
      <c r="CE137" t="s">
        <v>1651</v>
      </c>
      <c r="CO137" t="s">
        <v>5494</v>
      </c>
      <c r="CQ137" t="s">
        <v>7327</v>
      </c>
      <c r="CV137" t="s">
        <v>4298</v>
      </c>
    </row>
    <row r="138" spans="2:100" x14ac:dyDescent="0.35">
      <c r="B138" t="s">
        <v>4787</v>
      </c>
      <c r="L138" t="s">
        <v>2943</v>
      </c>
      <c r="P138" t="s">
        <v>3185</v>
      </c>
      <c r="Y138" t="s">
        <v>3389</v>
      </c>
      <c r="Z138" t="s">
        <v>943</v>
      </c>
      <c r="AC138" t="s">
        <v>5162</v>
      </c>
      <c r="BM138" t="s">
        <v>4039</v>
      </c>
      <c r="CE138" t="s">
        <v>1652</v>
      </c>
      <c r="CO138" t="s">
        <v>5495</v>
      </c>
      <c r="CQ138" t="s">
        <v>7328</v>
      </c>
    </row>
    <row r="139" spans="2:100" x14ac:dyDescent="0.35">
      <c r="B139" t="s">
        <v>4788</v>
      </c>
      <c r="L139" t="s">
        <v>2944</v>
      </c>
      <c r="P139" t="s">
        <v>3186</v>
      </c>
      <c r="Y139" t="s">
        <v>3390</v>
      </c>
      <c r="Z139" t="s">
        <v>944</v>
      </c>
      <c r="AC139" t="s">
        <v>5163</v>
      </c>
      <c r="BM139" t="s">
        <v>4040</v>
      </c>
      <c r="CE139" t="s">
        <v>1653</v>
      </c>
      <c r="CO139" t="s">
        <v>5496</v>
      </c>
      <c r="CQ139" t="s">
        <v>7329</v>
      </c>
    </row>
    <row r="140" spans="2:100" x14ac:dyDescent="0.35">
      <c r="B140" t="s">
        <v>4789</v>
      </c>
      <c r="L140" t="s">
        <v>2945</v>
      </c>
      <c r="P140" t="s">
        <v>3187</v>
      </c>
      <c r="Y140" t="s">
        <v>3391</v>
      </c>
      <c r="Z140" t="s">
        <v>945</v>
      </c>
      <c r="AC140" t="s">
        <v>5164</v>
      </c>
      <c r="BM140" t="s">
        <v>4041</v>
      </c>
      <c r="CE140" t="s">
        <v>1654</v>
      </c>
      <c r="CO140" t="s">
        <v>5497</v>
      </c>
      <c r="CQ140" t="s">
        <v>7330</v>
      </c>
    </row>
    <row r="141" spans="2:100" x14ac:dyDescent="0.35">
      <c r="B141" t="s">
        <v>4790</v>
      </c>
      <c r="L141" t="s">
        <v>2946</v>
      </c>
      <c r="P141" t="s">
        <v>3188</v>
      </c>
      <c r="Y141" t="s">
        <v>3392</v>
      </c>
      <c r="Z141" t="s">
        <v>946</v>
      </c>
      <c r="AC141" t="s">
        <v>5165</v>
      </c>
      <c r="BM141" t="s">
        <v>4042</v>
      </c>
      <c r="CE141" t="s">
        <v>1655</v>
      </c>
      <c r="CO141" t="s">
        <v>5498</v>
      </c>
      <c r="CQ141" t="s">
        <v>7331</v>
      </c>
    </row>
    <row r="142" spans="2:100" x14ac:dyDescent="0.35">
      <c r="B142" t="s">
        <v>4791</v>
      </c>
      <c r="L142" t="s">
        <v>2947</v>
      </c>
      <c r="P142" t="s">
        <v>3189</v>
      </c>
      <c r="Y142" t="s">
        <v>3393</v>
      </c>
      <c r="Z142" t="s">
        <v>947</v>
      </c>
      <c r="AC142" t="s">
        <v>5166</v>
      </c>
      <c r="BM142" t="s">
        <v>4043</v>
      </c>
      <c r="CE142" t="s">
        <v>1656</v>
      </c>
      <c r="CO142" t="s">
        <v>5499</v>
      </c>
      <c r="CQ142" t="s">
        <v>7332</v>
      </c>
    </row>
    <row r="143" spans="2:100" x14ac:dyDescent="0.35">
      <c r="B143" t="s">
        <v>4792</v>
      </c>
      <c r="L143" t="s">
        <v>2948</v>
      </c>
      <c r="P143" t="s">
        <v>3190</v>
      </c>
      <c r="Y143" t="s">
        <v>3394</v>
      </c>
      <c r="Z143" t="s">
        <v>948</v>
      </c>
      <c r="AC143" t="s">
        <v>5167</v>
      </c>
      <c r="BM143" t="s">
        <v>4044</v>
      </c>
      <c r="CE143" t="s">
        <v>1657</v>
      </c>
      <c r="CO143" t="s">
        <v>5500</v>
      </c>
      <c r="CQ143" t="s">
        <v>7333</v>
      </c>
    </row>
    <row r="144" spans="2:100" x14ac:dyDescent="0.35">
      <c r="B144" t="s">
        <v>4793</v>
      </c>
      <c r="L144" t="s">
        <v>2949</v>
      </c>
      <c r="P144" t="s">
        <v>3191</v>
      </c>
      <c r="Y144" t="s">
        <v>3395</v>
      </c>
      <c r="Z144" t="s">
        <v>949</v>
      </c>
      <c r="AC144" t="s">
        <v>5168</v>
      </c>
      <c r="BM144" t="s">
        <v>4045</v>
      </c>
      <c r="CE144" t="s">
        <v>1658</v>
      </c>
      <c r="CO144" t="s">
        <v>5501</v>
      </c>
      <c r="CQ144" t="s">
        <v>7334</v>
      </c>
    </row>
    <row r="145" spans="2:95" x14ac:dyDescent="0.35">
      <c r="B145" t="s">
        <v>4794</v>
      </c>
      <c r="L145" t="s">
        <v>2950</v>
      </c>
      <c r="P145" t="s">
        <v>3192</v>
      </c>
      <c r="Y145" t="s">
        <v>3396</v>
      </c>
      <c r="Z145" t="s">
        <v>950</v>
      </c>
      <c r="AC145" t="s">
        <v>5169</v>
      </c>
      <c r="BM145" t="s">
        <v>4046</v>
      </c>
      <c r="CE145" t="s">
        <v>1659</v>
      </c>
      <c r="CO145" t="s">
        <v>5502</v>
      </c>
      <c r="CQ145" t="s">
        <v>7335</v>
      </c>
    </row>
    <row r="146" spans="2:95" x14ac:dyDescent="0.35">
      <c r="B146" t="s">
        <v>4795</v>
      </c>
      <c r="L146" t="s">
        <v>2951</v>
      </c>
      <c r="P146" t="s">
        <v>3193</v>
      </c>
      <c r="Y146" t="s">
        <v>3397</v>
      </c>
      <c r="Z146" t="s">
        <v>951</v>
      </c>
      <c r="AC146" t="s">
        <v>5170</v>
      </c>
      <c r="BM146" t="s">
        <v>4047</v>
      </c>
      <c r="CE146" t="s">
        <v>1660</v>
      </c>
      <c r="CO146" t="s">
        <v>5503</v>
      </c>
      <c r="CQ146" t="s">
        <v>7336</v>
      </c>
    </row>
    <row r="147" spans="2:95" x14ac:dyDescent="0.35">
      <c r="B147" t="s">
        <v>4796</v>
      </c>
      <c r="L147" t="s">
        <v>2952</v>
      </c>
      <c r="P147" t="s">
        <v>3194</v>
      </c>
      <c r="Y147" t="s">
        <v>3398</v>
      </c>
      <c r="Z147" t="s">
        <v>952</v>
      </c>
      <c r="AC147" t="s">
        <v>5171</v>
      </c>
      <c r="BM147" t="s">
        <v>4048</v>
      </c>
      <c r="CE147" t="s">
        <v>1661</v>
      </c>
      <c r="CO147" t="s">
        <v>5504</v>
      </c>
      <c r="CQ147" t="s">
        <v>7337</v>
      </c>
    </row>
    <row r="148" spans="2:95" x14ac:dyDescent="0.35">
      <c r="B148" t="s">
        <v>4797</v>
      </c>
      <c r="L148" t="s">
        <v>2953</v>
      </c>
      <c r="P148" t="s">
        <v>3195</v>
      </c>
      <c r="Y148" t="s">
        <v>3399</v>
      </c>
      <c r="Z148" t="s">
        <v>953</v>
      </c>
      <c r="AC148" t="s">
        <v>5172</v>
      </c>
      <c r="BM148" t="s">
        <v>4049</v>
      </c>
      <c r="CE148" t="s">
        <v>1662</v>
      </c>
      <c r="CO148" t="s">
        <v>5505</v>
      </c>
      <c r="CQ148" t="s">
        <v>7338</v>
      </c>
    </row>
    <row r="149" spans="2:95" x14ac:dyDescent="0.35">
      <c r="B149" t="s">
        <v>4798</v>
      </c>
      <c r="L149" t="s">
        <v>2954</v>
      </c>
      <c r="P149" t="s">
        <v>3196</v>
      </c>
      <c r="Z149" t="s">
        <v>954</v>
      </c>
      <c r="AC149" t="s">
        <v>5173</v>
      </c>
      <c r="BM149" t="s">
        <v>4050</v>
      </c>
      <c r="CE149" t="s">
        <v>1663</v>
      </c>
      <c r="CO149" t="s">
        <v>5506</v>
      </c>
      <c r="CQ149" t="s">
        <v>7339</v>
      </c>
    </row>
    <row r="150" spans="2:95" x14ac:dyDescent="0.35">
      <c r="B150" t="s">
        <v>4799</v>
      </c>
      <c r="L150" t="s">
        <v>2955</v>
      </c>
      <c r="P150" t="s">
        <v>3197</v>
      </c>
      <c r="Z150" t="s">
        <v>955</v>
      </c>
      <c r="AC150" t="s">
        <v>5174</v>
      </c>
      <c r="BM150" t="s">
        <v>4051</v>
      </c>
      <c r="CE150" t="s">
        <v>1664</v>
      </c>
      <c r="CO150" t="s">
        <v>5507</v>
      </c>
      <c r="CQ150" t="s">
        <v>7340</v>
      </c>
    </row>
    <row r="151" spans="2:95" x14ac:dyDescent="0.35">
      <c r="B151" t="s">
        <v>4800</v>
      </c>
      <c r="L151" t="s">
        <v>2956</v>
      </c>
      <c r="P151" t="s">
        <v>3198</v>
      </c>
      <c r="Z151" t="s">
        <v>956</v>
      </c>
      <c r="AC151" t="s">
        <v>5175</v>
      </c>
      <c r="BM151" t="s">
        <v>4052</v>
      </c>
      <c r="CE151" t="s">
        <v>1665</v>
      </c>
      <c r="CO151" t="s">
        <v>5508</v>
      </c>
      <c r="CQ151" t="s">
        <v>7341</v>
      </c>
    </row>
    <row r="152" spans="2:95" x14ac:dyDescent="0.35">
      <c r="B152" t="s">
        <v>4801</v>
      </c>
      <c r="L152" t="s">
        <v>2957</v>
      </c>
      <c r="P152" t="s">
        <v>3199</v>
      </c>
      <c r="AC152" t="s">
        <v>5176</v>
      </c>
      <c r="BM152" t="s">
        <v>4053</v>
      </c>
      <c r="CE152" t="s">
        <v>1666</v>
      </c>
      <c r="CO152" t="s">
        <v>5509</v>
      </c>
      <c r="CQ152" t="s">
        <v>7342</v>
      </c>
    </row>
    <row r="153" spans="2:95" x14ac:dyDescent="0.35">
      <c r="B153" t="s">
        <v>4802</v>
      </c>
      <c r="L153" t="s">
        <v>2958</v>
      </c>
      <c r="P153" t="s">
        <v>3200</v>
      </c>
      <c r="AC153" t="s">
        <v>5177</v>
      </c>
      <c r="BM153" t="s">
        <v>4054</v>
      </c>
      <c r="CE153" t="s">
        <v>1667</v>
      </c>
      <c r="CO153" t="s">
        <v>5510</v>
      </c>
      <c r="CQ153" t="s">
        <v>7343</v>
      </c>
    </row>
    <row r="154" spans="2:95" x14ac:dyDescent="0.35">
      <c r="B154" t="s">
        <v>4803</v>
      </c>
      <c r="L154" t="s">
        <v>2959</v>
      </c>
      <c r="P154" t="s">
        <v>3201</v>
      </c>
      <c r="AC154" t="s">
        <v>5178</v>
      </c>
      <c r="BM154" t="s">
        <v>4055</v>
      </c>
      <c r="CE154" t="s">
        <v>1668</v>
      </c>
      <c r="CO154" t="s">
        <v>5511</v>
      </c>
      <c r="CQ154" t="s">
        <v>7344</v>
      </c>
    </row>
    <row r="155" spans="2:95" x14ac:dyDescent="0.35">
      <c r="B155" t="s">
        <v>4804</v>
      </c>
      <c r="L155" t="s">
        <v>2960</v>
      </c>
      <c r="P155" t="s">
        <v>3202</v>
      </c>
      <c r="AC155" t="s">
        <v>5179</v>
      </c>
      <c r="BM155" t="s">
        <v>4056</v>
      </c>
      <c r="CE155" t="s">
        <v>1669</v>
      </c>
      <c r="CO155" t="s">
        <v>5512</v>
      </c>
      <c r="CQ155" t="s">
        <v>7345</v>
      </c>
    </row>
    <row r="156" spans="2:95" x14ac:dyDescent="0.35">
      <c r="B156" t="s">
        <v>4805</v>
      </c>
      <c r="L156" t="s">
        <v>2961</v>
      </c>
      <c r="P156" t="s">
        <v>3203</v>
      </c>
      <c r="AC156" t="s">
        <v>5180</v>
      </c>
      <c r="BM156" t="s">
        <v>4057</v>
      </c>
      <c r="CE156" t="s">
        <v>1670</v>
      </c>
      <c r="CO156" t="s">
        <v>5513</v>
      </c>
      <c r="CQ156" t="s">
        <v>76</v>
      </c>
    </row>
    <row r="157" spans="2:95" x14ac:dyDescent="0.35">
      <c r="B157" t="s">
        <v>4806</v>
      </c>
      <c r="L157" t="s">
        <v>2962</v>
      </c>
      <c r="P157" t="s">
        <v>3204</v>
      </c>
      <c r="AC157" t="s">
        <v>5181</v>
      </c>
      <c r="BM157" t="s">
        <v>4058</v>
      </c>
      <c r="CE157" t="s">
        <v>1671</v>
      </c>
      <c r="CO157" t="s">
        <v>5514</v>
      </c>
      <c r="CQ157" t="s">
        <v>7346</v>
      </c>
    </row>
    <row r="158" spans="2:95" x14ac:dyDescent="0.35">
      <c r="B158" t="s">
        <v>4807</v>
      </c>
      <c r="L158" t="s">
        <v>2963</v>
      </c>
      <c r="P158" t="s">
        <v>3205</v>
      </c>
      <c r="AC158" t="s">
        <v>5182</v>
      </c>
      <c r="BM158" t="s">
        <v>4059</v>
      </c>
      <c r="CE158" t="s">
        <v>1672</v>
      </c>
      <c r="CO158" t="s">
        <v>5515</v>
      </c>
      <c r="CQ158" t="s">
        <v>7347</v>
      </c>
    </row>
    <row r="159" spans="2:95" x14ac:dyDescent="0.35">
      <c r="B159" t="s">
        <v>4808</v>
      </c>
      <c r="L159" t="s">
        <v>2964</v>
      </c>
      <c r="P159" t="s">
        <v>3206</v>
      </c>
      <c r="AC159" t="s">
        <v>5183</v>
      </c>
      <c r="BM159" t="s">
        <v>4060</v>
      </c>
      <c r="CE159" t="s">
        <v>1673</v>
      </c>
      <c r="CO159" t="s">
        <v>5516</v>
      </c>
      <c r="CQ159" t="s">
        <v>7348</v>
      </c>
    </row>
    <row r="160" spans="2:95" x14ac:dyDescent="0.35">
      <c r="B160" t="s">
        <v>4809</v>
      </c>
      <c r="L160" t="s">
        <v>2965</v>
      </c>
      <c r="P160" t="s">
        <v>3207</v>
      </c>
      <c r="AC160" t="s">
        <v>5184</v>
      </c>
      <c r="BM160" t="s">
        <v>4061</v>
      </c>
      <c r="CO160" t="s">
        <v>5517</v>
      </c>
      <c r="CQ160" t="s">
        <v>7349</v>
      </c>
    </row>
    <row r="161" spans="2:95" x14ac:dyDescent="0.35">
      <c r="B161" t="s">
        <v>4810</v>
      </c>
      <c r="L161" t="s">
        <v>2966</v>
      </c>
      <c r="P161" t="s">
        <v>3208</v>
      </c>
      <c r="AC161" t="s">
        <v>5185</v>
      </c>
      <c r="BM161" t="s">
        <v>4062</v>
      </c>
      <c r="CO161" t="s">
        <v>5518</v>
      </c>
      <c r="CQ161" t="s">
        <v>7350</v>
      </c>
    </row>
    <row r="162" spans="2:95" x14ac:dyDescent="0.35">
      <c r="B162" t="s">
        <v>4811</v>
      </c>
      <c r="L162" t="s">
        <v>2967</v>
      </c>
      <c r="P162" t="s">
        <v>3209</v>
      </c>
      <c r="AC162" t="s">
        <v>5186</v>
      </c>
      <c r="BM162" t="s">
        <v>4063</v>
      </c>
      <c r="CO162" t="s">
        <v>5519</v>
      </c>
      <c r="CQ162" t="s">
        <v>7351</v>
      </c>
    </row>
    <row r="163" spans="2:95" x14ac:dyDescent="0.35">
      <c r="B163" t="s">
        <v>4812</v>
      </c>
      <c r="L163" t="s">
        <v>2968</v>
      </c>
      <c r="P163" t="s">
        <v>3210</v>
      </c>
      <c r="AC163" t="s">
        <v>5187</v>
      </c>
      <c r="BM163" t="s">
        <v>4064</v>
      </c>
      <c r="CO163" t="s">
        <v>5520</v>
      </c>
      <c r="CQ163" t="s">
        <v>7352</v>
      </c>
    </row>
    <row r="164" spans="2:95" x14ac:dyDescent="0.35">
      <c r="B164" t="s">
        <v>4813</v>
      </c>
      <c r="L164" t="s">
        <v>2969</v>
      </c>
      <c r="P164" t="s">
        <v>3211</v>
      </c>
      <c r="AC164" t="s">
        <v>5188</v>
      </c>
      <c r="BM164" t="s">
        <v>4065</v>
      </c>
      <c r="CO164" t="s">
        <v>5521</v>
      </c>
      <c r="CQ164" t="s">
        <v>7353</v>
      </c>
    </row>
    <row r="165" spans="2:95" x14ac:dyDescent="0.35">
      <c r="B165" t="s">
        <v>4814</v>
      </c>
      <c r="L165" t="s">
        <v>2970</v>
      </c>
      <c r="P165" t="s">
        <v>3212</v>
      </c>
      <c r="AC165" t="s">
        <v>5189</v>
      </c>
      <c r="BM165" t="s">
        <v>4066</v>
      </c>
      <c r="CO165" t="s">
        <v>5522</v>
      </c>
      <c r="CQ165" t="s">
        <v>7354</v>
      </c>
    </row>
    <row r="166" spans="2:95" x14ac:dyDescent="0.35">
      <c r="B166" t="s">
        <v>4815</v>
      </c>
      <c r="L166" t="s">
        <v>2971</v>
      </c>
      <c r="P166" t="s">
        <v>3213</v>
      </c>
      <c r="AC166" t="s">
        <v>5190</v>
      </c>
      <c r="BM166" t="s">
        <v>4067</v>
      </c>
      <c r="CO166" t="s">
        <v>5523</v>
      </c>
      <c r="CQ166" t="s">
        <v>7355</v>
      </c>
    </row>
    <row r="167" spans="2:95" x14ac:dyDescent="0.35">
      <c r="B167" t="s">
        <v>4816</v>
      </c>
      <c r="L167" t="s">
        <v>2972</v>
      </c>
      <c r="P167" t="s">
        <v>3214</v>
      </c>
      <c r="AC167" t="s">
        <v>5191</v>
      </c>
      <c r="BM167" t="s">
        <v>4068</v>
      </c>
      <c r="CO167" t="s">
        <v>5524</v>
      </c>
      <c r="CQ167" t="s">
        <v>7356</v>
      </c>
    </row>
    <row r="168" spans="2:95" x14ac:dyDescent="0.35">
      <c r="B168" t="s">
        <v>4817</v>
      </c>
      <c r="L168" t="s">
        <v>2973</v>
      </c>
      <c r="P168" t="s">
        <v>3215</v>
      </c>
      <c r="AC168" t="s">
        <v>5192</v>
      </c>
      <c r="BM168" t="s">
        <v>4069</v>
      </c>
      <c r="CO168" t="s">
        <v>5525</v>
      </c>
    </row>
    <row r="169" spans="2:95" x14ac:dyDescent="0.35">
      <c r="B169" t="s">
        <v>4818</v>
      </c>
      <c r="L169" t="s">
        <v>2974</v>
      </c>
      <c r="P169" t="s">
        <v>3216</v>
      </c>
      <c r="AC169" t="s">
        <v>5193</v>
      </c>
      <c r="BM169" t="s">
        <v>4070</v>
      </c>
      <c r="CO169" t="s">
        <v>5526</v>
      </c>
    </row>
    <row r="170" spans="2:95" x14ac:dyDescent="0.35">
      <c r="B170" t="s">
        <v>4819</v>
      </c>
      <c r="L170" t="s">
        <v>2975</v>
      </c>
      <c r="P170" t="s">
        <v>3217</v>
      </c>
      <c r="AC170" t="s">
        <v>5194</v>
      </c>
      <c r="BM170" t="s">
        <v>4071</v>
      </c>
      <c r="CO170" t="s">
        <v>5527</v>
      </c>
    </row>
    <row r="171" spans="2:95" x14ac:dyDescent="0.35">
      <c r="B171" t="s">
        <v>4820</v>
      </c>
      <c r="L171" t="s">
        <v>2976</v>
      </c>
      <c r="P171" t="s">
        <v>3218</v>
      </c>
      <c r="AC171" t="s">
        <v>5195</v>
      </c>
      <c r="BM171" t="s">
        <v>4072</v>
      </c>
      <c r="CO171" t="s">
        <v>5528</v>
      </c>
    </row>
    <row r="172" spans="2:95" x14ac:dyDescent="0.35">
      <c r="B172" t="s">
        <v>4821</v>
      </c>
      <c r="L172" t="s">
        <v>2977</v>
      </c>
      <c r="P172" t="s">
        <v>3219</v>
      </c>
      <c r="AC172" t="s">
        <v>5196</v>
      </c>
      <c r="BM172" t="s">
        <v>4073</v>
      </c>
      <c r="CO172" t="s">
        <v>5529</v>
      </c>
    </row>
    <row r="173" spans="2:95" x14ac:dyDescent="0.35">
      <c r="B173" t="s">
        <v>4822</v>
      </c>
      <c r="L173" t="s">
        <v>2978</v>
      </c>
      <c r="P173" t="s">
        <v>3220</v>
      </c>
      <c r="AC173" t="s">
        <v>5197</v>
      </c>
      <c r="BM173" t="s">
        <v>4074</v>
      </c>
      <c r="CO173" t="s">
        <v>5530</v>
      </c>
    </row>
    <row r="174" spans="2:95" x14ac:dyDescent="0.35">
      <c r="B174" t="s">
        <v>4823</v>
      </c>
      <c r="L174" t="s">
        <v>2979</v>
      </c>
      <c r="P174" t="s">
        <v>3221</v>
      </c>
      <c r="AC174" t="s">
        <v>5198</v>
      </c>
      <c r="BM174" t="s">
        <v>4075</v>
      </c>
      <c r="CO174" t="s">
        <v>5531</v>
      </c>
    </row>
    <row r="175" spans="2:95" x14ac:dyDescent="0.35">
      <c r="B175" t="s">
        <v>4824</v>
      </c>
      <c r="L175" t="s">
        <v>2980</v>
      </c>
      <c r="P175" t="s">
        <v>3222</v>
      </c>
      <c r="AC175" t="s">
        <v>5199</v>
      </c>
      <c r="BM175" t="s">
        <v>4076</v>
      </c>
      <c r="CO175" t="s">
        <v>5532</v>
      </c>
    </row>
    <row r="176" spans="2:95" x14ac:dyDescent="0.35">
      <c r="B176" t="s">
        <v>4825</v>
      </c>
      <c r="L176" t="s">
        <v>2981</v>
      </c>
      <c r="P176" t="s">
        <v>3223</v>
      </c>
      <c r="AC176" t="s">
        <v>5200</v>
      </c>
      <c r="BM176" t="s">
        <v>4077</v>
      </c>
      <c r="CO176" t="s">
        <v>5533</v>
      </c>
    </row>
    <row r="177" spans="2:93" x14ac:dyDescent="0.35">
      <c r="B177" t="s">
        <v>4826</v>
      </c>
      <c r="L177" t="s">
        <v>2982</v>
      </c>
      <c r="P177" t="s">
        <v>3224</v>
      </c>
      <c r="AC177" t="s">
        <v>5201</v>
      </c>
      <c r="BM177" t="s">
        <v>4078</v>
      </c>
      <c r="CO177" t="s">
        <v>5534</v>
      </c>
    </row>
    <row r="178" spans="2:93" x14ac:dyDescent="0.35">
      <c r="B178" t="s">
        <v>4827</v>
      </c>
      <c r="L178" t="s">
        <v>2983</v>
      </c>
      <c r="P178" t="s">
        <v>3225</v>
      </c>
      <c r="AC178" t="s">
        <v>5202</v>
      </c>
      <c r="BM178" t="s">
        <v>4079</v>
      </c>
      <c r="CO178" t="s">
        <v>5535</v>
      </c>
    </row>
    <row r="179" spans="2:93" x14ac:dyDescent="0.35">
      <c r="B179" t="s">
        <v>4828</v>
      </c>
      <c r="L179" t="s">
        <v>2984</v>
      </c>
      <c r="P179" t="s">
        <v>3226</v>
      </c>
      <c r="AC179" t="s">
        <v>5203</v>
      </c>
      <c r="BM179" t="s">
        <v>4080</v>
      </c>
      <c r="CO179" t="s">
        <v>5536</v>
      </c>
    </row>
    <row r="180" spans="2:93" x14ac:dyDescent="0.35">
      <c r="B180" t="s">
        <v>4829</v>
      </c>
      <c r="L180" t="s">
        <v>2985</v>
      </c>
      <c r="P180" t="s">
        <v>3227</v>
      </c>
      <c r="AC180" t="s">
        <v>5204</v>
      </c>
      <c r="BM180" t="s">
        <v>4081</v>
      </c>
      <c r="CO180" t="s">
        <v>5537</v>
      </c>
    </row>
    <row r="181" spans="2:93" x14ac:dyDescent="0.35">
      <c r="B181" t="s">
        <v>4830</v>
      </c>
      <c r="L181" t="s">
        <v>2986</v>
      </c>
      <c r="P181" t="s">
        <v>3228</v>
      </c>
      <c r="AC181" t="s">
        <v>5205</v>
      </c>
      <c r="BM181" t="s">
        <v>4082</v>
      </c>
      <c r="CO181" t="s">
        <v>5538</v>
      </c>
    </row>
    <row r="182" spans="2:93" x14ac:dyDescent="0.35">
      <c r="B182" t="s">
        <v>4831</v>
      </c>
      <c r="L182" t="s">
        <v>2987</v>
      </c>
      <c r="P182" t="s">
        <v>3229</v>
      </c>
      <c r="AC182" t="s">
        <v>5206</v>
      </c>
      <c r="BM182" t="s">
        <v>4083</v>
      </c>
      <c r="CO182" t="s">
        <v>5539</v>
      </c>
    </row>
    <row r="183" spans="2:93" x14ac:dyDescent="0.35">
      <c r="B183" t="s">
        <v>4832</v>
      </c>
      <c r="L183" t="s">
        <v>2988</v>
      </c>
      <c r="P183" t="s">
        <v>3230</v>
      </c>
      <c r="AC183" t="s">
        <v>5207</v>
      </c>
      <c r="BM183" t="s">
        <v>4084</v>
      </c>
      <c r="CO183" t="s">
        <v>5540</v>
      </c>
    </row>
    <row r="184" spans="2:93" x14ac:dyDescent="0.35">
      <c r="B184" t="s">
        <v>4833</v>
      </c>
      <c r="L184" t="s">
        <v>2989</v>
      </c>
      <c r="P184" t="s">
        <v>3231</v>
      </c>
      <c r="AC184" t="s">
        <v>5208</v>
      </c>
      <c r="BM184" t="s">
        <v>4085</v>
      </c>
      <c r="CO184" t="s">
        <v>5541</v>
      </c>
    </row>
    <row r="185" spans="2:93" x14ac:dyDescent="0.35">
      <c r="B185" t="s">
        <v>4834</v>
      </c>
      <c r="L185" t="s">
        <v>2990</v>
      </c>
      <c r="P185" t="s">
        <v>3232</v>
      </c>
      <c r="AC185" t="s">
        <v>5209</v>
      </c>
      <c r="BM185" t="s">
        <v>4086</v>
      </c>
      <c r="CO185" t="s">
        <v>5542</v>
      </c>
    </row>
    <row r="186" spans="2:93" x14ac:dyDescent="0.35">
      <c r="B186" t="s">
        <v>4835</v>
      </c>
      <c r="L186" t="s">
        <v>2991</v>
      </c>
      <c r="P186" t="s">
        <v>3233</v>
      </c>
      <c r="AC186" t="s">
        <v>5210</v>
      </c>
      <c r="BM186" t="s">
        <v>4087</v>
      </c>
      <c r="CO186" t="s">
        <v>5543</v>
      </c>
    </row>
    <row r="187" spans="2:93" x14ac:dyDescent="0.35">
      <c r="B187" t="s">
        <v>4836</v>
      </c>
      <c r="L187" t="s">
        <v>2992</v>
      </c>
      <c r="P187" t="s">
        <v>3234</v>
      </c>
      <c r="AC187" t="s">
        <v>5211</v>
      </c>
      <c r="CO187" t="s">
        <v>5544</v>
      </c>
    </row>
    <row r="188" spans="2:93" x14ac:dyDescent="0.35">
      <c r="B188" t="s">
        <v>4837</v>
      </c>
      <c r="L188" t="s">
        <v>2993</v>
      </c>
      <c r="P188" t="s">
        <v>3235</v>
      </c>
      <c r="AC188" t="s">
        <v>5212</v>
      </c>
      <c r="CO188" t="s">
        <v>5545</v>
      </c>
    </row>
    <row r="189" spans="2:93" x14ac:dyDescent="0.35">
      <c r="L189" t="s">
        <v>2994</v>
      </c>
      <c r="P189" t="s">
        <v>3236</v>
      </c>
      <c r="AC189" t="s">
        <v>5213</v>
      </c>
      <c r="CO189" t="s">
        <v>5546</v>
      </c>
    </row>
    <row r="190" spans="2:93" x14ac:dyDescent="0.35">
      <c r="L190" t="s">
        <v>2995</v>
      </c>
      <c r="P190" t="s">
        <v>3237</v>
      </c>
      <c r="AC190" t="s">
        <v>5214</v>
      </c>
      <c r="CO190" t="s">
        <v>5547</v>
      </c>
    </row>
    <row r="191" spans="2:93" x14ac:dyDescent="0.35">
      <c r="L191" t="s">
        <v>2996</v>
      </c>
      <c r="P191" t="s">
        <v>3238</v>
      </c>
      <c r="AC191" t="s">
        <v>5215</v>
      </c>
      <c r="CO191" t="s">
        <v>5548</v>
      </c>
    </row>
    <row r="192" spans="2:93" x14ac:dyDescent="0.35">
      <c r="L192" t="s">
        <v>2997</v>
      </c>
      <c r="P192" t="s">
        <v>3239</v>
      </c>
      <c r="AC192" t="s">
        <v>5216</v>
      </c>
      <c r="CO192" t="s">
        <v>5549</v>
      </c>
    </row>
    <row r="193" spans="12:93" x14ac:dyDescent="0.35">
      <c r="L193" t="s">
        <v>2998</v>
      </c>
      <c r="P193" t="s">
        <v>3240</v>
      </c>
      <c r="AC193" t="s">
        <v>5217</v>
      </c>
      <c r="CO193" t="s">
        <v>5550</v>
      </c>
    </row>
    <row r="194" spans="12:93" x14ac:dyDescent="0.35">
      <c r="L194" t="s">
        <v>2999</v>
      </c>
      <c r="P194" t="s">
        <v>3241</v>
      </c>
      <c r="AC194" t="s">
        <v>5218</v>
      </c>
      <c r="CO194" t="s">
        <v>5551</v>
      </c>
    </row>
    <row r="195" spans="12:93" x14ac:dyDescent="0.35">
      <c r="L195" t="s">
        <v>3000</v>
      </c>
      <c r="P195" t="s">
        <v>3242</v>
      </c>
      <c r="AC195" t="s">
        <v>5219</v>
      </c>
      <c r="CO195" t="s">
        <v>5552</v>
      </c>
    </row>
    <row r="196" spans="12:93" x14ac:dyDescent="0.35">
      <c r="L196" t="s">
        <v>3001</v>
      </c>
      <c r="P196" t="s">
        <v>3243</v>
      </c>
      <c r="AC196" t="s">
        <v>5220</v>
      </c>
      <c r="CO196" t="s">
        <v>5553</v>
      </c>
    </row>
    <row r="197" spans="12:93" x14ac:dyDescent="0.35">
      <c r="L197" t="s">
        <v>3002</v>
      </c>
      <c r="P197" t="s">
        <v>3244</v>
      </c>
      <c r="AC197" t="s">
        <v>5221</v>
      </c>
      <c r="CO197" t="s">
        <v>5554</v>
      </c>
    </row>
    <row r="198" spans="12:93" x14ac:dyDescent="0.35">
      <c r="L198" t="s">
        <v>3003</v>
      </c>
      <c r="P198" t="s">
        <v>3245</v>
      </c>
      <c r="AC198" t="s">
        <v>5222</v>
      </c>
      <c r="CO198" t="s">
        <v>5555</v>
      </c>
    </row>
    <row r="199" spans="12:93" x14ac:dyDescent="0.35">
      <c r="L199" t="s">
        <v>3004</v>
      </c>
      <c r="P199" t="s">
        <v>3246</v>
      </c>
      <c r="AC199" t="s">
        <v>5223</v>
      </c>
      <c r="CO199" t="s">
        <v>5556</v>
      </c>
    </row>
    <row r="200" spans="12:93" x14ac:dyDescent="0.35">
      <c r="L200" t="s">
        <v>3005</v>
      </c>
      <c r="P200" t="s">
        <v>3247</v>
      </c>
      <c r="AC200" t="s">
        <v>5224</v>
      </c>
      <c r="CO200" t="s">
        <v>5557</v>
      </c>
    </row>
    <row r="201" spans="12:93" x14ac:dyDescent="0.35">
      <c r="L201" t="s">
        <v>3006</v>
      </c>
      <c r="P201" t="s">
        <v>3248</v>
      </c>
      <c r="AC201" t="s">
        <v>5225</v>
      </c>
      <c r="CO201" t="s">
        <v>5558</v>
      </c>
    </row>
    <row r="202" spans="12:93" x14ac:dyDescent="0.35">
      <c r="L202" t="s">
        <v>3007</v>
      </c>
      <c r="P202" t="s">
        <v>3249</v>
      </c>
      <c r="AC202" t="s">
        <v>5226</v>
      </c>
      <c r="CO202" t="s">
        <v>5559</v>
      </c>
    </row>
    <row r="203" spans="12:93" x14ac:dyDescent="0.35">
      <c r="L203" t="s">
        <v>3008</v>
      </c>
      <c r="P203" t="s">
        <v>3250</v>
      </c>
      <c r="AC203" t="s">
        <v>5227</v>
      </c>
      <c r="CO203" t="s">
        <v>5560</v>
      </c>
    </row>
    <row r="204" spans="12:93" x14ac:dyDescent="0.35">
      <c r="L204" t="s">
        <v>3009</v>
      </c>
      <c r="P204" t="s">
        <v>3251</v>
      </c>
      <c r="AC204" t="s">
        <v>5228</v>
      </c>
      <c r="CO204" t="s">
        <v>5561</v>
      </c>
    </row>
    <row r="205" spans="12:93" x14ac:dyDescent="0.35">
      <c r="L205" t="s">
        <v>3010</v>
      </c>
      <c r="P205" t="s">
        <v>3252</v>
      </c>
      <c r="AC205" t="s">
        <v>5229</v>
      </c>
      <c r="CO205" t="s">
        <v>5562</v>
      </c>
    </row>
    <row r="206" spans="12:93" x14ac:dyDescent="0.35">
      <c r="L206" t="s">
        <v>3011</v>
      </c>
      <c r="P206" t="s">
        <v>3253</v>
      </c>
      <c r="AC206" t="s">
        <v>5230</v>
      </c>
      <c r="CO206" t="s">
        <v>5563</v>
      </c>
    </row>
    <row r="207" spans="12:93" x14ac:dyDescent="0.35">
      <c r="L207" t="s">
        <v>3012</v>
      </c>
      <c r="AC207" t="s">
        <v>5231</v>
      </c>
      <c r="CO207" t="s">
        <v>5564</v>
      </c>
    </row>
    <row r="208" spans="12:93" x14ac:dyDescent="0.35">
      <c r="L208" t="s">
        <v>3013</v>
      </c>
      <c r="AC208" t="s">
        <v>5232</v>
      </c>
      <c r="CO208" t="s">
        <v>5565</v>
      </c>
    </row>
    <row r="209" spans="12:93" x14ac:dyDescent="0.35">
      <c r="L209" t="s">
        <v>3014</v>
      </c>
      <c r="AC209" t="s">
        <v>5233</v>
      </c>
      <c r="CO209" t="s">
        <v>5566</v>
      </c>
    </row>
    <row r="210" spans="12:93" x14ac:dyDescent="0.35">
      <c r="L210" t="s">
        <v>3015</v>
      </c>
      <c r="AC210" t="s">
        <v>5234</v>
      </c>
      <c r="CO210" t="s">
        <v>5567</v>
      </c>
    </row>
    <row r="211" spans="12:93" x14ac:dyDescent="0.35">
      <c r="L211" t="s">
        <v>3016</v>
      </c>
      <c r="AC211" t="s">
        <v>5235</v>
      </c>
      <c r="CO211" t="s">
        <v>5568</v>
      </c>
    </row>
    <row r="212" spans="12:93" x14ac:dyDescent="0.35">
      <c r="L212" t="s">
        <v>3017</v>
      </c>
      <c r="AC212" t="s">
        <v>5236</v>
      </c>
      <c r="CO212" t="s">
        <v>5569</v>
      </c>
    </row>
    <row r="213" spans="12:93" x14ac:dyDescent="0.35">
      <c r="L213" t="s">
        <v>3018</v>
      </c>
      <c r="AC213" t="s">
        <v>5237</v>
      </c>
      <c r="CO213" t="s">
        <v>5570</v>
      </c>
    </row>
    <row r="214" spans="12:93" x14ac:dyDescent="0.35">
      <c r="L214" t="s">
        <v>3019</v>
      </c>
      <c r="AC214" t="s">
        <v>5238</v>
      </c>
      <c r="CO214" t="s">
        <v>5571</v>
      </c>
    </row>
    <row r="215" spans="12:93" x14ac:dyDescent="0.35">
      <c r="L215" t="s">
        <v>3020</v>
      </c>
      <c r="AC215" t="s">
        <v>5239</v>
      </c>
      <c r="CO215" t="s">
        <v>5572</v>
      </c>
    </row>
    <row r="216" spans="12:93" x14ac:dyDescent="0.35">
      <c r="L216" t="s">
        <v>3021</v>
      </c>
      <c r="AC216" t="s">
        <v>5240</v>
      </c>
      <c r="CO216" t="s">
        <v>5573</v>
      </c>
    </row>
    <row r="217" spans="12:93" x14ac:dyDescent="0.35">
      <c r="L217" t="s">
        <v>3022</v>
      </c>
      <c r="AC217" t="s">
        <v>5241</v>
      </c>
      <c r="CO217" t="s">
        <v>5574</v>
      </c>
    </row>
    <row r="218" spans="12:93" x14ac:dyDescent="0.35">
      <c r="L218" t="s">
        <v>3023</v>
      </c>
      <c r="AC218" t="s">
        <v>5242</v>
      </c>
      <c r="CO218" t="s">
        <v>5575</v>
      </c>
    </row>
    <row r="219" spans="12:93" x14ac:dyDescent="0.35">
      <c r="L219" t="s">
        <v>3024</v>
      </c>
      <c r="AC219" t="s">
        <v>5243</v>
      </c>
      <c r="CO219" t="s">
        <v>5576</v>
      </c>
    </row>
    <row r="220" spans="12:93" x14ac:dyDescent="0.35">
      <c r="L220" t="s">
        <v>3025</v>
      </c>
      <c r="AC220" t="s">
        <v>5244</v>
      </c>
      <c r="CO220" t="s">
        <v>5577</v>
      </c>
    </row>
    <row r="221" spans="12:93" x14ac:dyDescent="0.35">
      <c r="L221" t="s">
        <v>3026</v>
      </c>
      <c r="AC221" t="s">
        <v>5245</v>
      </c>
      <c r="CO221" t="s">
        <v>5578</v>
      </c>
    </row>
    <row r="222" spans="12:93" x14ac:dyDescent="0.35">
      <c r="L222" t="s">
        <v>3027</v>
      </c>
      <c r="AC222" t="s">
        <v>5246</v>
      </c>
      <c r="CO222" t="s">
        <v>5579</v>
      </c>
    </row>
    <row r="223" spans="12:93" x14ac:dyDescent="0.35">
      <c r="L223" t="s">
        <v>3028</v>
      </c>
      <c r="AC223" t="s">
        <v>5247</v>
      </c>
      <c r="CO223" t="s">
        <v>5580</v>
      </c>
    </row>
    <row r="224" spans="12:93" x14ac:dyDescent="0.35">
      <c r="L224" t="s">
        <v>3029</v>
      </c>
      <c r="AC224" t="s">
        <v>5248</v>
      </c>
      <c r="CO224" t="s">
        <v>5581</v>
      </c>
    </row>
    <row r="225" spans="12:93" x14ac:dyDescent="0.35">
      <c r="L225" t="s">
        <v>3030</v>
      </c>
      <c r="AC225" t="s">
        <v>5249</v>
      </c>
      <c r="CO225" t="s">
        <v>5582</v>
      </c>
    </row>
    <row r="226" spans="12:93" x14ac:dyDescent="0.35">
      <c r="L226" t="s">
        <v>3031</v>
      </c>
      <c r="AC226" t="s">
        <v>5250</v>
      </c>
      <c r="CO226" t="s">
        <v>5583</v>
      </c>
    </row>
    <row r="227" spans="12:93" x14ac:dyDescent="0.35">
      <c r="L227" t="s">
        <v>3032</v>
      </c>
      <c r="AC227" t="s">
        <v>5251</v>
      </c>
      <c r="CO227" t="s">
        <v>5584</v>
      </c>
    </row>
    <row r="228" spans="12:93" x14ac:dyDescent="0.35">
      <c r="L228" t="s">
        <v>3033</v>
      </c>
      <c r="AC228" t="s">
        <v>5252</v>
      </c>
      <c r="CO228" t="s">
        <v>5585</v>
      </c>
    </row>
    <row r="229" spans="12:93" x14ac:dyDescent="0.35">
      <c r="L229" t="s">
        <v>3034</v>
      </c>
      <c r="AC229" t="s">
        <v>5253</v>
      </c>
      <c r="CO229" t="s">
        <v>5586</v>
      </c>
    </row>
    <row r="230" spans="12:93" x14ac:dyDescent="0.35">
      <c r="L230" t="s">
        <v>3035</v>
      </c>
      <c r="AC230" t="s">
        <v>5254</v>
      </c>
      <c r="CO230" t="s">
        <v>5587</v>
      </c>
    </row>
    <row r="231" spans="12:93" x14ac:dyDescent="0.35">
      <c r="L231" t="s">
        <v>3036</v>
      </c>
      <c r="AC231" t="s">
        <v>5255</v>
      </c>
      <c r="CO231" t="s">
        <v>5588</v>
      </c>
    </row>
    <row r="232" spans="12:93" x14ac:dyDescent="0.35">
      <c r="L232" t="s">
        <v>3037</v>
      </c>
      <c r="AC232" t="s">
        <v>5256</v>
      </c>
      <c r="CO232" t="s">
        <v>5589</v>
      </c>
    </row>
    <row r="233" spans="12:93" x14ac:dyDescent="0.35">
      <c r="L233" t="s">
        <v>3038</v>
      </c>
      <c r="AC233" t="s">
        <v>5257</v>
      </c>
      <c r="CO233" t="s">
        <v>5590</v>
      </c>
    </row>
    <row r="234" spans="12:93" x14ac:dyDescent="0.35">
      <c r="L234" t="s">
        <v>3039</v>
      </c>
      <c r="AC234" t="s">
        <v>5258</v>
      </c>
      <c r="CO234" t="s">
        <v>5591</v>
      </c>
    </row>
    <row r="235" spans="12:93" x14ac:dyDescent="0.35">
      <c r="L235" t="s">
        <v>3040</v>
      </c>
      <c r="AC235" t="s">
        <v>5259</v>
      </c>
      <c r="CO235" t="s">
        <v>5592</v>
      </c>
    </row>
    <row r="236" spans="12:93" x14ac:dyDescent="0.35">
      <c r="L236" t="s">
        <v>3041</v>
      </c>
      <c r="AC236" t="s">
        <v>5260</v>
      </c>
      <c r="CO236" t="s">
        <v>5593</v>
      </c>
    </row>
    <row r="237" spans="12:93" x14ac:dyDescent="0.35">
      <c r="L237" t="s">
        <v>3042</v>
      </c>
      <c r="AC237" t="s">
        <v>5261</v>
      </c>
      <c r="CO237" t="s">
        <v>5594</v>
      </c>
    </row>
    <row r="238" spans="12:93" x14ac:dyDescent="0.35">
      <c r="L238" t="s">
        <v>3043</v>
      </c>
      <c r="AC238" t="s">
        <v>5262</v>
      </c>
      <c r="CO238" t="s">
        <v>5595</v>
      </c>
    </row>
    <row r="239" spans="12:93" x14ac:dyDescent="0.35">
      <c r="L239" t="s">
        <v>3044</v>
      </c>
      <c r="AC239" t="s">
        <v>5263</v>
      </c>
      <c r="CO239" t="s">
        <v>5596</v>
      </c>
    </row>
    <row r="240" spans="12:93" x14ac:dyDescent="0.35">
      <c r="L240" t="s">
        <v>3045</v>
      </c>
      <c r="AC240" t="s">
        <v>5264</v>
      </c>
      <c r="CO240" t="s">
        <v>5597</v>
      </c>
    </row>
    <row r="241" spans="12:93" x14ac:dyDescent="0.35">
      <c r="L241" t="s">
        <v>3046</v>
      </c>
      <c r="AC241" t="s">
        <v>5265</v>
      </c>
      <c r="CO241" t="s">
        <v>5598</v>
      </c>
    </row>
    <row r="242" spans="12:93" x14ac:dyDescent="0.35">
      <c r="L242" t="s">
        <v>3047</v>
      </c>
      <c r="AC242" t="s">
        <v>5266</v>
      </c>
      <c r="CO242" t="s">
        <v>5599</v>
      </c>
    </row>
    <row r="243" spans="12:93" x14ac:dyDescent="0.35">
      <c r="L243" t="s">
        <v>3048</v>
      </c>
      <c r="AC243" t="s">
        <v>5267</v>
      </c>
      <c r="CO243" t="s">
        <v>5600</v>
      </c>
    </row>
    <row r="244" spans="12:93" x14ac:dyDescent="0.35">
      <c r="L244" t="s">
        <v>3049</v>
      </c>
      <c r="AC244" t="s">
        <v>5268</v>
      </c>
      <c r="CO244" t="s">
        <v>5601</v>
      </c>
    </row>
    <row r="245" spans="12:93" x14ac:dyDescent="0.35">
      <c r="AC245" t="s">
        <v>5269</v>
      </c>
      <c r="CO245" t="s">
        <v>5602</v>
      </c>
    </row>
    <row r="246" spans="12:93" x14ac:dyDescent="0.35">
      <c r="AC246" t="s">
        <v>5270</v>
      </c>
      <c r="CO246" t="s">
        <v>5603</v>
      </c>
    </row>
    <row r="247" spans="12:93" x14ac:dyDescent="0.35">
      <c r="AC247" t="s">
        <v>5271</v>
      </c>
      <c r="CO247" t="s">
        <v>5604</v>
      </c>
    </row>
    <row r="248" spans="12:93" x14ac:dyDescent="0.35">
      <c r="AC248" t="s">
        <v>5272</v>
      </c>
      <c r="CO248" t="s">
        <v>5605</v>
      </c>
    </row>
    <row r="249" spans="12:93" x14ac:dyDescent="0.35">
      <c r="CO249" t="s">
        <v>5606</v>
      </c>
    </row>
    <row r="250" spans="12:93" x14ac:dyDescent="0.35">
      <c r="CO250" t="s">
        <v>5607</v>
      </c>
    </row>
    <row r="251" spans="12:93" x14ac:dyDescent="0.35">
      <c r="CO251" t="s">
        <v>5608</v>
      </c>
    </row>
    <row r="252" spans="12:93" x14ac:dyDescent="0.35">
      <c r="CO252" t="s">
        <v>5609</v>
      </c>
    </row>
    <row r="253" spans="12:93" x14ac:dyDescent="0.35">
      <c r="CO253" t="s">
        <v>5610</v>
      </c>
    </row>
    <row r="254" spans="12:93" x14ac:dyDescent="0.35">
      <c r="CO254" t="s">
        <v>5611</v>
      </c>
    </row>
    <row r="255" spans="12:93" x14ac:dyDescent="0.35">
      <c r="CO255" t="s">
        <v>5612</v>
      </c>
    </row>
    <row r="256" spans="12:93" x14ac:dyDescent="0.35">
      <c r="CO256" t="s">
        <v>5613</v>
      </c>
    </row>
    <row r="257" spans="93:93" x14ac:dyDescent="0.35">
      <c r="CO257" t="s">
        <v>5614</v>
      </c>
    </row>
    <row r="258" spans="93:93" x14ac:dyDescent="0.35">
      <c r="CO258" t="s">
        <v>5615</v>
      </c>
    </row>
    <row r="259" spans="93:93" x14ac:dyDescent="0.35">
      <c r="CO259" t="s">
        <v>5616</v>
      </c>
    </row>
    <row r="260" spans="93:93" x14ac:dyDescent="0.35">
      <c r="CO260" t="s">
        <v>5617</v>
      </c>
    </row>
    <row r="261" spans="93:93" x14ac:dyDescent="0.35">
      <c r="CO261" t="s">
        <v>5618</v>
      </c>
    </row>
    <row r="262" spans="93:93" x14ac:dyDescent="0.35">
      <c r="CO262" t="s">
        <v>5619</v>
      </c>
    </row>
    <row r="263" spans="93:93" x14ac:dyDescent="0.35">
      <c r="CO263" t="s">
        <v>5620</v>
      </c>
    </row>
    <row r="264" spans="93:93" x14ac:dyDescent="0.35">
      <c r="CO264" t="s">
        <v>5621</v>
      </c>
    </row>
    <row r="265" spans="93:93" x14ac:dyDescent="0.35">
      <c r="CO265" t="s">
        <v>5622</v>
      </c>
    </row>
    <row r="266" spans="93:93" x14ac:dyDescent="0.35">
      <c r="CO266" t="s">
        <v>5623</v>
      </c>
    </row>
    <row r="267" spans="93:93" x14ac:dyDescent="0.35">
      <c r="CO267" t="s">
        <v>5624</v>
      </c>
    </row>
    <row r="268" spans="93:93" x14ac:dyDescent="0.35">
      <c r="CO268" t="s">
        <v>5625</v>
      </c>
    </row>
    <row r="269" spans="93:93" x14ac:dyDescent="0.35">
      <c r="CO269" t="s">
        <v>75</v>
      </c>
    </row>
    <row r="270" spans="93:93" x14ac:dyDescent="0.35">
      <c r="CO270" t="s">
        <v>5626</v>
      </c>
    </row>
    <row r="271" spans="93:93" x14ac:dyDescent="0.35">
      <c r="CO271" t="s">
        <v>5627</v>
      </c>
    </row>
    <row r="272" spans="93:93" x14ac:dyDescent="0.35">
      <c r="CO272" t="s">
        <v>5628</v>
      </c>
    </row>
    <row r="273" spans="93:93" x14ac:dyDescent="0.35">
      <c r="CO273" t="s">
        <v>5629</v>
      </c>
    </row>
    <row r="274" spans="93:93" x14ac:dyDescent="0.35">
      <c r="CO274" t="s">
        <v>5630</v>
      </c>
    </row>
    <row r="275" spans="93:93" x14ac:dyDescent="0.35">
      <c r="CO275" t="s">
        <v>5631</v>
      </c>
    </row>
    <row r="276" spans="93:93" x14ac:dyDescent="0.35">
      <c r="CO276" t="s">
        <v>5632</v>
      </c>
    </row>
    <row r="277" spans="93:93" x14ac:dyDescent="0.35">
      <c r="CO277" t="s">
        <v>5633</v>
      </c>
    </row>
    <row r="278" spans="93:93" x14ac:dyDescent="0.35">
      <c r="CO278" t="s">
        <v>5634</v>
      </c>
    </row>
    <row r="279" spans="93:93" x14ac:dyDescent="0.35">
      <c r="CO279" t="s">
        <v>5635</v>
      </c>
    </row>
    <row r="280" spans="93:93" x14ac:dyDescent="0.35">
      <c r="CO280" t="s">
        <v>5636</v>
      </c>
    </row>
    <row r="281" spans="93:93" x14ac:dyDescent="0.35">
      <c r="CO281" t="s">
        <v>5637</v>
      </c>
    </row>
    <row r="282" spans="93:93" x14ac:dyDescent="0.35">
      <c r="CO282" t="s">
        <v>5638</v>
      </c>
    </row>
    <row r="283" spans="93:93" x14ac:dyDescent="0.35">
      <c r="CO283" t="s">
        <v>5639</v>
      </c>
    </row>
    <row r="284" spans="93:93" x14ac:dyDescent="0.35">
      <c r="CO284" t="s">
        <v>5640</v>
      </c>
    </row>
    <row r="285" spans="93:93" x14ac:dyDescent="0.35">
      <c r="CO285" t="s">
        <v>5641</v>
      </c>
    </row>
    <row r="286" spans="93:93" x14ac:dyDescent="0.35">
      <c r="CO286" t="s">
        <v>5642</v>
      </c>
    </row>
    <row r="287" spans="93:93" x14ac:dyDescent="0.35">
      <c r="CO287" t="s">
        <v>5643</v>
      </c>
    </row>
    <row r="288" spans="93:93" x14ac:dyDescent="0.35">
      <c r="CO288" t="s">
        <v>5644</v>
      </c>
    </row>
    <row r="289" spans="93:93" x14ac:dyDescent="0.35">
      <c r="CO289" t="s">
        <v>5645</v>
      </c>
    </row>
    <row r="290" spans="93:93" x14ac:dyDescent="0.35">
      <c r="CO290" t="s">
        <v>5646</v>
      </c>
    </row>
    <row r="291" spans="93:93" x14ac:dyDescent="0.35">
      <c r="CO291" t="s">
        <v>5647</v>
      </c>
    </row>
    <row r="292" spans="93:93" x14ac:dyDescent="0.35">
      <c r="CO292" t="s">
        <v>5648</v>
      </c>
    </row>
    <row r="293" spans="93:93" x14ac:dyDescent="0.35">
      <c r="CO293" t="s">
        <v>5649</v>
      </c>
    </row>
    <row r="294" spans="93:93" x14ac:dyDescent="0.35">
      <c r="CO294" t="s">
        <v>5650</v>
      </c>
    </row>
    <row r="295" spans="93:93" x14ac:dyDescent="0.35">
      <c r="CO295" t="s">
        <v>5651</v>
      </c>
    </row>
    <row r="296" spans="93:93" x14ac:dyDescent="0.35">
      <c r="CO296" t="s">
        <v>5652</v>
      </c>
    </row>
    <row r="297" spans="93:93" x14ac:dyDescent="0.35">
      <c r="CO297" t="s">
        <v>5653</v>
      </c>
    </row>
    <row r="298" spans="93:93" x14ac:dyDescent="0.35">
      <c r="CO298" t="s">
        <v>5654</v>
      </c>
    </row>
    <row r="299" spans="93:93" x14ac:dyDescent="0.35">
      <c r="CO299" t="s">
        <v>5655</v>
      </c>
    </row>
    <row r="300" spans="93:93" x14ac:dyDescent="0.35">
      <c r="CO300" t="s">
        <v>5656</v>
      </c>
    </row>
    <row r="301" spans="93:93" x14ac:dyDescent="0.35">
      <c r="CO301" t="s">
        <v>5657</v>
      </c>
    </row>
    <row r="302" spans="93:93" x14ac:dyDescent="0.35">
      <c r="CO302" t="s">
        <v>5658</v>
      </c>
    </row>
    <row r="303" spans="93:93" x14ac:dyDescent="0.35">
      <c r="CO303" t="s">
        <v>5659</v>
      </c>
    </row>
    <row r="304" spans="93:93" x14ac:dyDescent="0.35">
      <c r="CO304" t="s">
        <v>5660</v>
      </c>
    </row>
    <row r="305" spans="93:93" x14ac:dyDescent="0.35">
      <c r="CO305" t="s">
        <v>5661</v>
      </c>
    </row>
    <row r="306" spans="93:93" x14ac:dyDescent="0.35">
      <c r="CO306" t="s">
        <v>5662</v>
      </c>
    </row>
    <row r="307" spans="93:93" x14ac:dyDescent="0.35">
      <c r="CO307" t="s">
        <v>5663</v>
      </c>
    </row>
    <row r="308" spans="93:93" x14ac:dyDescent="0.35">
      <c r="CO308" t="s">
        <v>5664</v>
      </c>
    </row>
    <row r="309" spans="93:93" x14ac:dyDescent="0.35">
      <c r="CO309" t="s">
        <v>5665</v>
      </c>
    </row>
    <row r="310" spans="93:93" x14ac:dyDescent="0.35">
      <c r="CO310" t="s">
        <v>5666</v>
      </c>
    </row>
    <row r="311" spans="93:93" x14ac:dyDescent="0.35">
      <c r="CO311" t="s">
        <v>5667</v>
      </c>
    </row>
    <row r="312" spans="93:93" x14ac:dyDescent="0.35">
      <c r="CO312" t="s">
        <v>5668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8073</v>
      </c>
      <c r="D1" t="s">
        <v>89</v>
      </c>
      <c r="E1" t="s">
        <v>8074</v>
      </c>
    </row>
    <row r="2" spans="1:5" x14ac:dyDescent="0.35">
      <c r="A2" t="s">
        <v>205</v>
      </c>
      <c r="B2" t="s">
        <v>8075</v>
      </c>
      <c r="D2" t="s">
        <v>146</v>
      </c>
      <c r="E2" t="s">
        <v>8076</v>
      </c>
    </row>
    <row r="3" spans="1:5" x14ac:dyDescent="0.35">
      <c r="A3" t="s">
        <v>206</v>
      </c>
      <c r="B3" t="s">
        <v>8077</v>
      </c>
      <c r="D3" t="s">
        <v>231</v>
      </c>
      <c r="E3" t="s">
        <v>8078</v>
      </c>
    </row>
    <row r="4" spans="1:5" x14ac:dyDescent="0.35">
      <c r="A4" t="s">
        <v>207</v>
      </c>
      <c r="B4" t="s">
        <v>8079</v>
      </c>
      <c r="D4" t="s">
        <v>229</v>
      </c>
      <c r="E4" t="s">
        <v>8080</v>
      </c>
    </row>
    <row r="5" spans="1:5" x14ac:dyDescent="0.35">
      <c r="A5" t="s">
        <v>208</v>
      </c>
      <c r="B5" t="s">
        <v>8081</v>
      </c>
      <c r="D5" t="s">
        <v>232</v>
      </c>
      <c r="E5" t="s">
        <v>8082</v>
      </c>
    </row>
    <row r="6" spans="1:5" x14ac:dyDescent="0.35">
      <c r="A6" t="s">
        <v>209</v>
      </c>
      <c r="B6" t="s">
        <v>8083</v>
      </c>
      <c r="D6" t="s">
        <v>242</v>
      </c>
      <c r="E6" t="s">
        <v>8084</v>
      </c>
    </row>
    <row r="7" spans="1:5" x14ac:dyDescent="0.35">
      <c r="A7" t="s">
        <v>210</v>
      </c>
      <c r="B7" t="s">
        <v>8085</v>
      </c>
      <c r="D7" t="s">
        <v>244</v>
      </c>
      <c r="E7" t="s">
        <v>8086</v>
      </c>
    </row>
    <row r="8" spans="1:5" x14ac:dyDescent="0.35">
      <c r="A8" t="s">
        <v>211</v>
      </c>
      <c r="B8" t="s">
        <v>8087</v>
      </c>
      <c r="D8" t="s">
        <v>227</v>
      </c>
      <c r="E8" t="s">
        <v>8088</v>
      </c>
    </row>
    <row r="9" spans="1:5" x14ac:dyDescent="0.35">
      <c r="A9" t="s">
        <v>212</v>
      </c>
      <c r="B9" t="s">
        <v>8089</v>
      </c>
      <c r="D9" t="s">
        <v>30</v>
      </c>
      <c r="E9" t="s">
        <v>8090</v>
      </c>
    </row>
    <row r="10" spans="1:5" x14ac:dyDescent="0.35">
      <c r="A10" t="s">
        <v>213</v>
      </c>
      <c r="B10" t="s">
        <v>8091</v>
      </c>
      <c r="D10" t="s">
        <v>245</v>
      </c>
      <c r="E10" t="s">
        <v>8092</v>
      </c>
    </row>
    <row r="11" spans="1:5" x14ac:dyDescent="0.35">
      <c r="A11" t="s">
        <v>214</v>
      </c>
      <c r="B11" t="s">
        <v>8093</v>
      </c>
      <c r="D11" t="s">
        <v>234</v>
      </c>
      <c r="E11" t="s">
        <v>8094</v>
      </c>
    </row>
    <row r="12" spans="1:5" x14ac:dyDescent="0.35">
      <c r="A12" t="s">
        <v>215</v>
      </c>
      <c r="B12" t="s">
        <v>8095</v>
      </c>
      <c r="D12" t="s">
        <v>237</v>
      </c>
      <c r="E12" t="s">
        <v>8096</v>
      </c>
    </row>
    <row r="13" spans="1:5" x14ac:dyDescent="0.35">
      <c r="A13" t="s">
        <v>216</v>
      </c>
      <c r="B13" t="s">
        <v>8097</v>
      </c>
      <c r="D13" t="s">
        <v>35</v>
      </c>
      <c r="E13" t="s">
        <v>8098</v>
      </c>
    </row>
    <row r="14" spans="1:5" x14ac:dyDescent="0.35">
      <c r="A14" t="s">
        <v>217</v>
      </c>
      <c r="B14" t="s">
        <v>8099</v>
      </c>
      <c r="D14" t="s">
        <v>258</v>
      </c>
      <c r="E14" t="s">
        <v>8100</v>
      </c>
    </row>
    <row r="15" spans="1:5" x14ac:dyDescent="0.35">
      <c r="A15" t="s">
        <v>218</v>
      </c>
      <c r="B15" t="s">
        <v>8101</v>
      </c>
      <c r="D15" t="s">
        <v>39</v>
      </c>
      <c r="E15" t="s">
        <v>8102</v>
      </c>
    </row>
    <row r="16" spans="1:5" x14ac:dyDescent="0.35">
      <c r="A16" t="s">
        <v>117</v>
      </c>
      <c r="B16" t="s">
        <v>8103</v>
      </c>
      <c r="D16" t="s">
        <v>233</v>
      </c>
      <c r="E16" t="s">
        <v>8104</v>
      </c>
    </row>
    <row r="17" spans="1:5" x14ac:dyDescent="0.35">
      <c r="A17" t="s">
        <v>219</v>
      </c>
      <c r="B17" t="s">
        <v>8105</v>
      </c>
      <c r="D17" t="s">
        <v>46</v>
      </c>
      <c r="E17" t="s">
        <v>8106</v>
      </c>
    </row>
    <row r="18" spans="1:5" x14ac:dyDescent="0.35">
      <c r="A18" t="s">
        <v>220</v>
      </c>
      <c r="B18" t="s">
        <v>8107</v>
      </c>
      <c r="D18" t="s">
        <v>259</v>
      </c>
      <c r="E18" t="s">
        <v>8108</v>
      </c>
    </row>
    <row r="19" spans="1:5" x14ac:dyDescent="0.35">
      <c r="A19" t="s">
        <v>221</v>
      </c>
      <c r="B19" t="s">
        <v>8109</v>
      </c>
      <c r="D19" t="s">
        <v>50</v>
      </c>
      <c r="E19" t="s">
        <v>8110</v>
      </c>
    </row>
    <row r="20" spans="1:5" x14ac:dyDescent="0.35">
      <c r="A20" t="s">
        <v>222</v>
      </c>
      <c r="B20" t="s">
        <v>8111</v>
      </c>
      <c r="D20" t="s">
        <v>247</v>
      </c>
      <c r="E20" t="s">
        <v>8112</v>
      </c>
    </row>
    <row r="21" spans="1:5" x14ac:dyDescent="0.35">
      <c r="A21" t="s">
        <v>223</v>
      </c>
      <c r="B21" t="s">
        <v>8113</v>
      </c>
      <c r="D21" t="s">
        <v>230</v>
      </c>
      <c r="E21" t="s">
        <v>8114</v>
      </c>
    </row>
    <row r="22" spans="1:5" x14ac:dyDescent="0.35">
      <c r="D22" t="s">
        <v>251</v>
      </c>
      <c r="E22" t="s">
        <v>8115</v>
      </c>
    </row>
    <row r="23" spans="1:5" x14ac:dyDescent="0.35">
      <c r="D23" t="s">
        <v>3</v>
      </c>
      <c r="E23" t="s">
        <v>8116</v>
      </c>
    </row>
    <row r="24" spans="1:5" x14ac:dyDescent="0.35">
      <c r="D24" t="s">
        <v>226</v>
      </c>
      <c r="E24" t="s">
        <v>8117</v>
      </c>
    </row>
    <row r="25" spans="1:5" x14ac:dyDescent="0.35">
      <c r="D25" t="s">
        <v>224</v>
      </c>
      <c r="E25" t="s">
        <v>8118</v>
      </c>
    </row>
    <row r="26" spans="1:5" x14ac:dyDescent="0.35">
      <c r="D26" t="s">
        <v>256</v>
      </c>
      <c r="E26" t="s">
        <v>8119</v>
      </c>
    </row>
    <row r="27" spans="1:5" x14ac:dyDescent="0.35">
      <c r="D27" t="s">
        <v>52</v>
      </c>
      <c r="E27" t="s">
        <v>8120</v>
      </c>
    </row>
    <row r="28" spans="1:5" x14ac:dyDescent="0.35">
      <c r="D28" t="s">
        <v>268</v>
      </c>
      <c r="E28" t="s">
        <v>8121</v>
      </c>
    </row>
    <row r="29" spans="1:5" x14ac:dyDescent="0.35">
      <c r="D29" t="s">
        <v>250</v>
      </c>
      <c r="E29" t="s">
        <v>8122</v>
      </c>
    </row>
    <row r="30" spans="1:5" x14ac:dyDescent="0.35">
      <c r="D30" t="s">
        <v>53</v>
      </c>
      <c r="E30" t="s">
        <v>8123</v>
      </c>
    </row>
    <row r="31" spans="1:5" x14ac:dyDescent="0.35">
      <c r="D31" t="s">
        <v>159</v>
      </c>
      <c r="E31" t="s">
        <v>8124</v>
      </c>
    </row>
    <row r="32" spans="1:5" x14ac:dyDescent="0.35">
      <c r="D32" t="s">
        <v>257</v>
      </c>
      <c r="E32" t="s">
        <v>8125</v>
      </c>
    </row>
    <row r="33" spans="4:5" x14ac:dyDescent="0.35">
      <c r="D33" t="s">
        <v>238</v>
      </c>
      <c r="E33" t="s">
        <v>8126</v>
      </c>
    </row>
    <row r="34" spans="4:5" x14ac:dyDescent="0.35">
      <c r="D34" t="s">
        <v>54</v>
      </c>
      <c r="E34" t="s">
        <v>8127</v>
      </c>
    </row>
    <row r="35" spans="4:5" x14ac:dyDescent="0.35">
      <c r="D35" t="s">
        <v>270</v>
      </c>
      <c r="E35" t="s">
        <v>8128</v>
      </c>
    </row>
    <row r="36" spans="4:5" x14ac:dyDescent="0.35">
      <c r="D36" t="s">
        <v>252</v>
      </c>
      <c r="E36" t="s">
        <v>8129</v>
      </c>
    </row>
    <row r="37" spans="4:5" x14ac:dyDescent="0.35">
      <c r="D37" t="s">
        <v>55</v>
      </c>
      <c r="E37" t="s">
        <v>8130</v>
      </c>
    </row>
    <row r="38" spans="4:5" x14ac:dyDescent="0.35">
      <c r="D38" t="s">
        <v>56</v>
      </c>
      <c r="E38" t="s">
        <v>8131</v>
      </c>
    </row>
    <row r="39" spans="4:5" x14ac:dyDescent="0.35">
      <c r="D39" t="s">
        <v>228</v>
      </c>
      <c r="E39" t="s">
        <v>8132</v>
      </c>
    </row>
    <row r="40" spans="4:5" x14ac:dyDescent="0.35">
      <c r="D40" t="s">
        <v>261</v>
      </c>
      <c r="E40" t="s">
        <v>8133</v>
      </c>
    </row>
    <row r="41" spans="4:5" x14ac:dyDescent="0.35">
      <c r="D41" t="s">
        <v>241</v>
      </c>
      <c r="E41" t="s">
        <v>8134</v>
      </c>
    </row>
    <row r="42" spans="4:5" x14ac:dyDescent="0.35">
      <c r="D42" t="s">
        <v>243</v>
      </c>
      <c r="E42" t="s">
        <v>8135</v>
      </c>
    </row>
    <row r="43" spans="4:5" x14ac:dyDescent="0.35">
      <c r="D43" t="s">
        <v>235</v>
      </c>
      <c r="E43" t="s">
        <v>8136</v>
      </c>
    </row>
    <row r="44" spans="4:5" x14ac:dyDescent="0.35">
      <c r="D44" t="s">
        <v>255</v>
      </c>
      <c r="E44" t="s">
        <v>8137</v>
      </c>
    </row>
    <row r="45" spans="4:5" x14ac:dyDescent="0.35">
      <c r="D45" t="s">
        <v>240</v>
      </c>
      <c r="E45" t="s">
        <v>8138</v>
      </c>
    </row>
    <row r="46" spans="4:5" x14ac:dyDescent="0.35">
      <c r="D46" t="s">
        <v>275</v>
      </c>
      <c r="E46" t="s">
        <v>8139</v>
      </c>
    </row>
    <row r="47" spans="4:5" x14ac:dyDescent="0.35">
      <c r="D47" t="s">
        <v>57</v>
      </c>
      <c r="E47" t="s">
        <v>8140</v>
      </c>
    </row>
    <row r="48" spans="4:5" x14ac:dyDescent="0.35">
      <c r="D48" t="s">
        <v>58</v>
      </c>
      <c r="E48" t="s">
        <v>8141</v>
      </c>
    </row>
    <row r="49" spans="4:5" x14ac:dyDescent="0.35">
      <c r="D49" t="s">
        <v>279</v>
      </c>
      <c r="E49" t="s">
        <v>8142</v>
      </c>
    </row>
    <row r="50" spans="4:5" x14ac:dyDescent="0.35">
      <c r="D50" t="s">
        <v>59</v>
      </c>
      <c r="E50" t="s">
        <v>8143</v>
      </c>
    </row>
    <row r="51" spans="4:5" x14ac:dyDescent="0.35">
      <c r="D51" t="s">
        <v>269</v>
      </c>
      <c r="E51" t="s">
        <v>8144</v>
      </c>
    </row>
    <row r="52" spans="4:5" x14ac:dyDescent="0.35">
      <c r="D52" t="s">
        <v>283</v>
      </c>
      <c r="E52" t="s">
        <v>8145</v>
      </c>
    </row>
    <row r="53" spans="4:5" x14ac:dyDescent="0.35">
      <c r="D53" t="s">
        <v>281</v>
      </c>
      <c r="E53" t="s">
        <v>8146</v>
      </c>
    </row>
    <row r="54" spans="4:5" x14ac:dyDescent="0.35">
      <c r="D54" t="s">
        <v>225</v>
      </c>
      <c r="E54" t="s">
        <v>8147</v>
      </c>
    </row>
    <row r="55" spans="4:5" x14ac:dyDescent="0.35">
      <c r="D55" t="s">
        <v>277</v>
      </c>
      <c r="E55" t="s">
        <v>8148</v>
      </c>
    </row>
    <row r="56" spans="4:5" x14ac:dyDescent="0.35">
      <c r="D56" t="s">
        <v>288</v>
      </c>
      <c r="E56" t="s">
        <v>8149</v>
      </c>
    </row>
    <row r="57" spans="4:5" x14ac:dyDescent="0.35">
      <c r="D57" t="s">
        <v>265</v>
      </c>
      <c r="E57" t="s">
        <v>8150</v>
      </c>
    </row>
    <row r="58" spans="4:5" x14ac:dyDescent="0.35">
      <c r="D58" t="s">
        <v>291</v>
      </c>
      <c r="E58" t="s">
        <v>8151</v>
      </c>
    </row>
    <row r="59" spans="4:5" x14ac:dyDescent="0.35">
      <c r="D59" t="s">
        <v>64</v>
      </c>
      <c r="E59" t="s">
        <v>8152</v>
      </c>
    </row>
    <row r="60" spans="4:5" x14ac:dyDescent="0.35">
      <c r="D60" t="s">
        <v>274</v>
      </c>
      <c r="E60" t="s">
        <v>8153</v>
      </c>
    </row>
    <row r="61" spans="4:5" x14ac:dyDescent="0.35">
      <c r="D61" t="s">
        <v>246</v>
      </c>
      <c r="E61" t="s">
        <v>8154</v>
      </c>
    </row>
    <row r="62" spans="4:5" x14ac:dyDescent="0.35">
      <c r="D62" t="s">
        <v>260</v>
      </c>
      <c r="E62" t="s">
        <v>8155</v>
      </c>
    </row>
    <row r="63" spans="4:5" x14ac:dyDescent="0.35">
      <c r="D63" t="s">
        <v>65</v>
      </c>
      <c r="E63" t="s">
        <v>8156</v>
      </c>
    </row>
    <row r="64" spans="4:5" x14ac:dyDescent="0.35">
      <c r="D64" t="s">
        <v>141</v>
      </c>
      <c r="E64" t="s">
        <v>8157</v>
      </c>
    </row>
    <row r="65" spans="4:5" x14ac:dyDescent="0.35">
      <c r="D65" t="s">
        <v>66</v>
      </c>
      <c r="E65" t="s">
        <v>8158</v>
      </c>
    </row>
    <row r="66" spans="4:5" x14ac:dyDescent="0.35">
      <c r="D66" t="s">
        <v>293</v>
      </c>
      <c r="E66" t="s">
        <v>8159</v>
      </c>
    </row>
    <row r="67" spans="4:5" x14ac:dyDescent="0.35">
      <c r="D67" t="s">
        <v>67</v>
      </c>
      <c r="E67" t="s">
        <v>8160</v>
      </c>
    </row>
    <row r="68" spans="4:5" x14ac:dyDescent="0.35">
      <c r="D68" t="s">
        <v>273</v>
      </c>
      <c r="E68" t="s">
        <v>8161</v>
      </c>
    </row>
    <row r="69" spans="4:5" x14ac:dyDescent="0.35">
      <c r="D69" t="s">
        <v>249</v>
      </c>
      <c r="E69" t="s">
        <v>8162</v>
      </c>
    </row>
    <row r="70" spans="4:5" x14ac:dyDescent="0.35">
      <c r="D70" t="s">
        <v>278</v>
      </c>
      <c r="E70" t="s">
        <v>8163</v>
      </c>
    </row>
    <row r="71" spans="4:5" x14ac:dyDescent="0.35">
      <c r="D71" t="s">
        <v>285</v>
      </c>
      <c r="E71" t="s">
        <v>8164</v>
      </c>
    </row>
    <row r="72" spans="4:5" x14ac:dyDescent="0.35">
      <c r="D72" t="s">
        <v>290</v>
      </c>
      <c r="E72" t="s">
        <v>8165</v>
      </c>
    </row>
    <row r="73" spans="4:5" x14ac:dyDescent="0.35">
      <c r="D73" t="s">
        <v>239</v>
      </c>
      <c r="E73" t="s">
        <v>8166</v>
      </c>
    </row>
    <row r="74" spans="4:5" x14ac:dyDescent="0.35">
      <c r="D74" t="s">
        <v>236</v>
      </c>
      <c r="E74" t="s">
        <v>8167</v>
      </c>
    </row>
    <row r="75" spans="4:5" x14ac:dyDescent="0.35">
      <c r="D75" t="s">
        <v>292</v>
      </c>
      <c r="E75" t="s">
        <v>8168</v>
      </c>
    </row>
    <row r="76" spans="4:5" x14ac:dyDescent="0.35">
      <c r="D76" t="s">
        <v>180</v>
      </c>
      <c r="E76" t="s">
        <v>8169</v>
      </c>
    </row>
    <row r="77" spans="4:5" x14ac:dyDescent="0.35">
      <c r="D77" t="s">
        <v>282</v>
      </c>
      <c r="E77" t="s">
        <v>8170</v>
      </c>
    </row>
    <row r="78" spans="4:5" x14ac:dyDescent="0.35">
      <c r="D78" t="s">
        <v>264</v>
      </c>
      <c r="E78" t="s">
        <v>8171</v>
      </c>
    </row>
    <row r="79" spans="4:5" x14ac:dyDescent="0.35">
      <c r="D79" t="s">
        <v>287</v>
      </c>
      <c r="E79" t="s">
        <v>8172</v>
      </c>
    </row>
    <row r="80" spans="4:5" x14ac:dyDescent="0.35">
      <c r="D80" t="s">
        <v>254</v>
      </c>
      <c r="E80" t="s">
        <v>8173</v>
      </c>
    </row>
    <row r="81" spans="4:5" x14ac:dyDescent="0.35">
      <c r="D81" t="s">
        <v>68</v>
      </c>
      <c r="E81" t="s">
        <v>8174</v>
      </c>
    </row>
    <row r="82" spans="4:5" x14ac:dyDescent="0.35">
      <c r="D82" t="s">
        <v>266</v>
      </c>
      <c r="E82" t="s">
        <v>8175</v>
      </c>
    </row>
    <row r="83" spans="4:5" x14ac:dyDescent="0.35">
      <c r="D83" t="s">
        <v>262</v>
      </c>
      <c r="E83" t="s">
        <v>8176</v>
      </c>
    </row>
    <row r="84" spans="4:5" x14ac:dyDescent="0.35">
      <c r="D84" t="s">
        <v>71</v>
      </c>
      <c r="E84" t="s">
        <v>8177</v>
      </c>
    </row>
    <row r="85" spans="4:5" x14ac:dyDescent="0.35">
      <c r="D85" t="s">
        <v>72</v>
      </c>
      <c r="E85" t="s">
        <v>8178</v>
      </c>
    </row>
    <row r="86" spans="4:5" x14ac:dyDescent="0.35">
      <c r="D86" t="s">
        <v>267</v>
      </c>
      <c r="E86" t="s">
        <v>8179</v>
      </c>
    </row>
    <row r="87" spans="4:5" x14ac:dyDescent="0.35">
      <c r="D87" t="s">
        <v>294</v>
      </c>
      <c r="E87" t="s">
        <v>8180</v>
      </c>
    </row>
    <row r="88" spans="4:5" x14ac:dyDescent="0.35">
      <c r="D88" t="s">
        <v>122</v>
      </c>
      <c r="E88" t="s">
        <v>8181</v>
      </c>
    </row>
    <row r="89" spans="4:5" x14ac:dyDescent="0.35">
      <c r="D89" t="s">
        <v>74</v>
      </c>
      <c r="E89" t="s">
        <v>8182</v>
      </c>
    </row>
    <row r="90" spans="4:5" x14ac:dyDescent="0.35">
      <c r="D90" t="s">
        <v>276</v>
      </c>
      <c r="E90" t="s">
        <v>8183</v>
      </c>
    </row>
    <row r="91" spans="4:5" x14ac:dyDescent="0.35">
      <c r="D91" t="s">
        <v>280</v>
      </c>
      <c r="E91" t="s">
        <v>8184</v>
      </c>
    </row>
    <row r="92" spans="4:5" x14ac:dyDescent="0.35">
      <c r="D92" t="s">
        <v>263</v>
      </c>
      <c r="E92" t="s">
        <v>8185</v>
      </c>
    </row>
    <row r="93" spans="4:5" x14ac:dyDescent="0.35">
      <c r="D93" t="s">
        <v>248</v>
      </c>
      <c r="E93" t="s">
        <v>8186</v>
      </c>
    </row>
    <row r="94" spans="4:5" x14ac:dyDescent="0.35">
      <c r="D94" t="s">
        <v>75</v>
      </c>
      <c r="E94" t="s">
        <v>8187</v>
      </c>
    </row>
    <row r="95" spans="4:5" x14ac:dyDescent="0.35">
      <c r="D95" t="s">
        <v>130</v>
      </c>
      <c r="E95" t="s">
        <v>8188</v>
      </c>
    </row>
    <row r="96" spans="4:5" x14ac:dyDescent="0.35">
      <c r="D96" t="s">
        <v>76</v>
      </c>
      <c r="E96" t="s">
        <v>8189</v>
      </c>
    </row>
    <row r="97" spans="4:5" x14ac:dyDescent="0.35">
      <c r="D97" t="s">
        <v>77</v>
      </c>
      <c r="E97" t="s">
        <v>8190</v>
      </c>
    </row>
    <row r="98" spans="4:5" x14ac:dyDescent="0.35">
      <c r="D98" t="s">
        <v>253</v>
      </c>
      <c r="E98" t="s">
        <v>8191</v>
      </c>
    </row>
    <row r="99" spans="4:5" x14ac:dyDescent="0.35">
      <c r="D99" t="s">
        <v>78</v>
      </c>
      <c r="E99" t="s">
        <v>8192</v>
      </c>
    </row>
    <row r="100" spans="4:5" x14ac:dyDescent="0.35">
      <c r="D100" t="s">
        <v>222</v>
      </c>
      <c r="E100" t="s">
        <v>8193</v>
      </c>
    </row>
    <row r="101" spans="4:5" x14ac:dyDescent="0.35">
      <c r="D101" t="s">
        <v>295</v>
      </c>
      <c r="E101" t="s">
        <v>8194</v>
      </c>
    </row>
    <row r="102" spans="4:5" x14ac:dyDescent="0.35">
      <c r="D102" t="s">
        <v>79</v>
      </c>
      <c r="E102" t="s">
        <v>8195</v>
      </c>
    </row>
    <row r="103" spans="4:5" x14ac:dyDescent="0.35">
      <c r="D103" t="s">
        <v>284</v>
      </c>
      <c r="E103" t="s">
        <v>8196</v>
      </c>
    </row>
    <row r="104" spans="4:5" x14ac:dyDescent="0.35">
      <c r="D104" t="s">
        <v>289</v>
      </c>
      <c r="E104" t="s">
        <v>8197</v>
      </c>
    </row>
    <row r="105" spans="4:5" x14ac:dyDescent="0.35">
      <c r="D105" t="s">
        <v>80</v>
      </c>
      <c r="E105" t="s">
        <v>8198</v>
      </c>
    </row>
    <row r="106" spans="4:5" x14ac:dyDescent="0.35">
      <c r="D106" t="s">
        <v>271</v>
      </c>
      <c r="E106" t="s">
        <v>8199</v>
      </c>
    </row>
    <row r="107" spans="4:5" x14ac:dyDescent="0.35">
      <c r="D107" t="s">
        <v>286</v>
      </c>
      <c r="E107" t="s">
        <v>8200</v>
      </c>
    </row>
    <row r="108" spans="4:5" x14ac:dyDescent="0.35">
      <c r="D108" t="s">
        <v>272</v>
      </c>
      <c r="E108" t="s">
        <v>8201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7b7d34-4df7-40bf-9eb1-208952470e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40406D9EE34E48977C379A242BB45D" ma:contentTypeVersion="15" ma:contentTypeDescription="Creare un nuovo documento." ma:contentTypeScope="" ma:versionID="1ab2d492e43f6bec9a26aa4599c840e9">
  <xsd:schema xmlns:xsd="http://www.w3.org/2001/XMLSchema" xmlns:xs="http://www.w3.org/2001/XMLSchema" xmlns:p="http://schemas.microsoft.com/office/2006/metadata/properties" xmlns:ns3="877b7d34-4df7-40bf-9eb1-208952470e96" xmlns:ns4="05fc27dd-4454-4248-9c78-3d72b2b155c8" targetNamespace="http://schemas.microsoft.com/office/2006/metadata/properties" ma:root="true" ma:fieldsID="ebc604e5d4aadf5a992ba83f8d4fb519" ns3:_="" ns4:_="">
    <xsd:import namespace="877b7d34-4df7-40bf-9eb1-208952470e96"/>
    <xsd:import namespace="05fc27dd-4454-4248-9c78-3d72b2b155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b7d34-4df7-40bf-9eb1-208952470e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c27dd-4454-4248-9c78-3d72b2b155c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D5C857-CD9A-4C1C-B26F-310522483E81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5fc27dd-4454-4248-9c78-3d72b2b155c8"/>
    <ds:schemaRef ds:uri="877b7d34-4df7-40bf-9eb1-208952470e9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79A0DA-D770-4843-B11E-58B7DFE22A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6C4DB7-0755-4C75-92F7-25C5F22DE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b7d34-4df7-40bf-9eb1-208952470e96"/>
    <ds:schemaRef ds:uri="05fc27dd-4454-4248-9c78-3d72b2b15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147</vt:i4>
      </vt:variant>
    </vt:vector>
  </HeadingPairs>
  <TitlesOfParts>
    <vt:vector size="155" baseType="lpstr">
      <vt:lpstr>Istruzioni</vt:lpstr>
      <vt:lpstr>Progetti</vt:lpstr>
      <vt:lpstr>Liste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2026-04-17T14:53:29Z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0x010100F040406D9EE34E48977C379A242BB45D</vt:lpwstr>
  </property>
</Properties>
</file>